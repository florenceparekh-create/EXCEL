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Mayank\Desktop\fo\xel\"/>
    </mc:Choice>
  </mc:AlternateContent>
  <xr:revisionPtr revIDLastSave="0" documentId="13_ncr:10000001_{CF37E95C-096D-4B1A-9B4C-0964A372BC16}" xr6:coauthVersionLast="47" xr6:coauthVersionMax="47" xr10:uidLastSave="{00000000-0000-0000-0000-000000000000}"/>
  <bookViews>
    <workbookView xWindow="-108" yWindow="-108" windowWidth="23256" windowHeight="12456" firstSheet="2" activeTab="4" xr2:uid="{515E679A-3F5B-4E12-97A1-1AE4C65EE468}"/>
  </bookViews>
  <sheets>
    <sheet name="Detail1" sheetId="5" r:id="rId1"/>
    <sheet name="Sheet5" sheetId="6" r:id="rId2"/>
    <sheet name="Sheet1" sheetId="11" r:id="rId3"/>
    <sheet name="DATA" sheetId="1" r:id="rId4"/>
    <sheet name="DASHBOARD" sheetId="8" r:id="rId5"/>
    <sheet name="PIVOT" sheetId="2" r:id="rId6"/>
  </sheets>
  <definedNames>
    <definedName name="_xlnm._FilterDatabase" localSheetId="5" hidden="1">PIVOT!$A$2:$B$13</definedName>
    <definedName name="_xlchart.v5.0" hidden="1">DATA!$F$1</definedName>
    <definedName name="_xlchart.v5.1" hidden="1">DATA!$F$2:$F$955</definedName>
    <definedName name="_xlchart.v5.2" hidden="1">DATA!$T$1</definedName>
    <definedName name="_xlchart.v5.3" hidden="1">DATA!$T$2:$T$955</definedName>
    <definedName name="_xlchart.v5.4" hidden="1">DATA!$F$1</definedName>
    <definedName name="_xlchart.v5.5" hidden="1">DATA!$F$2:$F$955</definedName>
    <definedName name="_xlchart.v5.6" hidden="1">DATA!$T$1</definedName>
    <definedName name="_xlchart.v5.7" hidden="1">DATA!$T$2:$T$955</definedName>
    <definedName name="Slicer_Category">#N/A</definedName>
    <definedName name="Slicer_Months__OrderDateTime">#N/A</definedName>
    <definedName name="Slicer_Years__OrderDateTime">#N/A</definedName>
  </definedNames>
  <calcPr calcId="191029"/>
  <pivotCaches>
    <pivotCache cacheId="0" r:id="rId7"/>
    <pivotCache cacheId="1"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51" i="1" l="1"/>
  <c r="F951" i="1"/>
  <c r="F951" i="1" a="1"/>
  <c r="T950" i="1"/>
  <c r="F950" i="1"/>
  <c r="F950" i="1" a="1"/>
  <c r="T949" i="1"/>
  <c r="F949" i="1"/>
  <c r="F949" i="1" a="1"/>
  <c r="T948" i="1"/>
  <c r="F948" i="1"/>
  <c r="F948" i="1" a="1"/>
  <c r="T947" i="1"/>
  <c r="F947" i="1"/>
  <c r="F947" i="1" a="1"/>
  <c r="T946" i="1"/>
  <c r="F946" i="1"/>
  <c r="F946" i="1" a="1"/>
  <c r="T945" i="1"/>
  <c r="F945" i="1"/>
  <c r="F945" i="1" a="1"/>
  <c r="T944" i="1"/>
  <c r="F944" i="1"/>
  <c r="F944" i="1" a="1"/>
  <c r="T943" i="1"/>
  <c r="F943" i="1"/>
  <c r="F943" i="1" a="1"/>
  <c r="T942" i="1"/>
  <c r="F942" i="1"/>
  <c r="F942" i="1" a="1"/>
  <c r="T941" i="1"/>
  <c r="F941" i="1"/>
  <c r="F941" i="1" a="1"/>
  <c r="T940" i="1"/>
  <c r="F940" i="1"/>
  <c r="F940" i="1" a="1"/>
  <c r="T939" i="1"/>
  <c r="F939" i="1"/>
  <c r="F939" i="1" a="1"/>
  <c r="T938" i="1"/>
  <c r="F938" i="1"/>
  <c r="F938" i="1" a="1"/>
  <c r="T937" i="1"/>
  <c r="F937" i="1"/>
  <c r="F937" i="1" a="1"/>
  <c r="T936" i="1"/>
  <c r="F936" i="1"/>
  <c r="F936" i="1" a="1"/>
  <c r="T935" i="1"/>
  <c r="F935" i="1"/>
  <c r="F935" i="1" a="1"/>
  <c r="T934" i="1"/>
  <c r="F934" i="1"/>
  <c r="F934" i="1" a="1"/>
  <c r="T933" i="1"/>
  <c r="F933" i="1"/>
  <c r="F933" i="1" a="1"/>
  <c r="T932" i="1"/>
  <c r="F932" i="1"/>
  <c r="F932" i="1" a="1"/>
  <c r="T931" i="1"/>
  <c r="F931" i="1"/>
  <c r="F931" i="1" a="1"/>
  <c r="T930" i="1"/>
  <c r="F930" i="1"/>
  <c r="F930" i="1" a="1"/>
  <c r="T929" i="1"/>
  <c r="F929" i="1"/>
  <c r="F929" i="1" a="1"/>
  <c r="T928" i="1"/>
  <c r="F928" i="1"/>
  <c r="F928" i="1" a="1"/>
  <c r="T927" i="1"/>
  <c r="F927" i="1"/>
  <c r="F927" i="1" a="1"/>
  <c r="T926" i="1"/>
  <c r="F926" i="1"/>
  <c r="F926" i="1" a="1"/>
  <c r="T925" i="1"/>
  <c r="F925" i="1"/>
  <c r="F925" i="1" a="1"/>
  <c r="T924" i="1"/>
  <c r="F924" i="1"/>
  <c r="F924" i="1" a="1"/>
  <c r="T923" i="1"/>
  <c r="F923" i="1"/>
  <c r="F923" i="1" a="1"/>
  <c r="T922" i="1"/>
  <c r="F922" i="1"/>
  <c r="F922" i="1" a="1"/>
  <c r="T921" i="1"/>
  <c r="F921" i="1"/>
  <c r="F921" i="1" a="1"/>
  <c r="T920" i="1"/>
  <c r="F920" i="1"/>
  <c r="F920" i="1" a="1"/>
  <c r="T919" i="1"/>
  <c r="F919" i="1"/>
  <c r="F919" i="1" a="1"/>
  <c r="T918" i="1"/>
  <c r="F918" i="1"/>
  <c r="F918" i="1" a="1"/>
  <c r="T917" i="1"/>
  <c r="F917" i="1"/>
  <c r="F917" i="1" a="1"/>
  <c r="T916" i="1"/>
  <c r="F916" i="1"/>
  <c r="F916" i="1" a="1"/>
  <c r="T915" i="1"/>
  <c r="F915" i="1"/>
  <c r="F915" i="1" a="1"/>
  <c r="T914" i="1"/>
  <c r="F914" i="1"/>
  <c r="F914" i="1" a="1"/>
  <c r="T913" i="1"/>
  <c r="F913" i="1"/>
  <c r="F913" i="1" a="1"/>
  <c r="T912" i="1"/>
  <c r="F912" i="1"/>
  <c r="F912" i="1" a="1"/>
  <c r="T911" i="1"/>
  <c r="F911" i="1"/>
  <c r="F911" i="1" a="1"/>
  <c r="T910" i="1"/>
  <c r="F910" i="1"/>
  <c r="F910" i="1" a="1"/>
  <c r="T909" i="1"/>
  <c r="F909" i="1"/>
  <c r="F909" i="1" a="1"/>
  <c r="T908" i="1"/>
  <c r="F908" i="1"/>
  <c r="F908" i="1" a="1"/>
  <c r="T907" i="1"/>
  <c r="F907" i="1"/>
  <c r="F907" i="1" a="1"/>
  <c r="T906" i="1"/>
  <c r="F906" i="1"/>
  <c r="F906" i="1" a="1"/>
  <c r="T905" i="1"/>
  <c r="F905" i="1"/>
  <c r="F905" i="1" a="1"/>
  <c r="T904" i="1"/>
  <c r="F904" i="1"/>
  <c r="F904" i="1" a="1"/>
  <c r="T903" i="1"/>
  <c r="F903" i="1"/>
  <c r="F903" i="1" a="1"/>
  <c r="T902" i="1"/>
  <c r="F902" i="1"/>
  <c r="F902" i="1" a="1"/>
  <c r="T901" i="1"/>
  <c r="F901" i="1"/>
  <c r="F901" i="1" a="1"/>
  <c r="T900" i="1"/>
  <c r="F900" i="1"/>
  <c r="F900" i="1" a="1"/>
  <c r="T899" i="1"/>
  <c r="F899" i="1"/>
  <c r="F899" i="1" a="1"/>
  <c r="T898" i="1"/>
  <c r="F898" i="1"/>
  <c r="F898" i="1" a="1"/>
  <c r="T897" i="1"/>
  <c r="F897" i="1"/>
  <c r="F897" i="1" a="1"/>
  <c r="T896" i="1"/>
  <c r="F896" i="1"/>
  <c r="F896" i="1" a="1"/>
  <c r="T895" i="1"/>
  <c r="F895" i="1"/>
  <c r="F895" i="1" a="1"/>
  <c r="T894" i="1"/>
  <c r="F894" i="1"/>
  <c r="F894" i="1" a="1"/>
  <c r="T893" i="1"/>
  <c r="F893" i="1"/>
  <c r="F893" i="1" a="1"/>
  <c r="T892" i="1"/>
  <c r="F892" i="1"/>
  <c r="F892" i="1" a="1"/>
  <c r="T891" i="1"/>
  <c r="F891" i="1"/>
  <c r="F891" i="1" a="1"/>
  <c r="T890" i="1"/>
  <c r="F890" i="1"/>
  <c r="F890" i="1" a="1"/>
  <c r="T889" i="1"/>
  <c r="F889" i="1"/>
  <c r="F889" i="1" a="1"/>
  <c r="T888" i="1"/>
  <c r="F888" i="1"/>
  <c r="F888" i="1" a="1"/>
  <c r="T887" i="1"/>
  <c r="F887" i="1"/>
  <c r="F887" i="1" a="1"/>
  <c r="T886" i="1"/>
  <c r="F886" i="1"/>
  <c r="F886" i="1" a="1"/>
  <c r="T885" i="1"/>
  <c r="F885" i="1"/>
  <c r="F885" i="1" a="1"/>
  <c r="T884" i="1"/>
  <c r="F884" i="1"/>
  <c r="F884" i="1" a="1"/>
  <c r="T883" i="1"/>
  <c r="F883" i="1"/>
  <c r="F883" i="1" a="1"/>
  <c r="T882" i="1"/>
  <c r="F882" i="1"/>
  <c r="F882" i="1" a="1"/>
  <c r="T881" i="1"/>
  <c r="F881" i="1"/>
  <c r="F881" i="1" a="1"/>
  <c r="T880" i="1"/>
  <c r="F880" i="1"/>
  <c r="F880" i="1" a="1"/>
  <c r="T879" i="1"/>
  <c r="F879" i="1"/>
  <c r="F879" i="1" a="1"/>
  <c r="T878" i="1"/>
  <c r="F878" i="1"/>
  <c r="F878" i="1" a="1"/>
  <c r="T877" i="1"/>
  <c r="F877" i="1"/>
  <c r="F877" i="1" a="1"/>
  <c r="T876" i="1"/>
  <c r="F876" i="1"/>
  <c r="F876" i="1" a="1"/>
  <c r="T875" i="1"/>
  <c r="F875" i="1"/>
  <c r="F875" i="1" a="1"/>
  <c r="T874" i="1"/>
  <c r="F874" i="1"/>
  <c r="F874" i="1" a="1"/>
  <c r="T873" i="1"/>
  <c r="F873" i="1"/>
  <c r="F873" i="1" a="1"/>
  <c r="T872" i="1"/>
  <c r="F872" i="1"/>
  <c r="F872" i="1" a="1"/>
  <c r="T871" i="1"/>
  <c r="F871" i="1"/>
  <c r="F871" i="1" a="1"/>
  <c r="T870" i="1"/>
  <c r="F870" i="1"/>
  <c r="F870" i="1" a="1"/>
  <c r="T869" i="1"/>
  <c r="F869" i="1"/>
  <c r="F869" i="1" a="1"/>
  <c r="T868" i="1"/>
  <c r="F868" i="1"/>
  <c r="F868" i="1" a="1"/>
  <c r="T867" i="1"/>
  <c r="F867" i="1"/>
  <c r="F867" i="1" a="1"/>
  <c r="T866" i="1"/>
  <c r="F866" i="1"/>
  <c r="F866" i="1" a="1"/>
  <c r="T865" i="1"/>
  <c r="F865" i="1"/>
  <c r="F865" i="1" a="1"/>
  <c r="T864" i="1"/>
  <c r="F864" i="1"/>
  <c r="F864" i="1" a="1"/>
  <c r="T863" i="1"/>
  <c r="F863" i="1"/>
  <c r="F863" i="1" a="1"/>
  <c r="T862" i="1"/>
  <c r="F862" i="1"/>
  <c r="F862" i="1" a="1"/>
  <c r="T861" i="1"/>
  <c r="F861" i="1"/>
  <c r="F861" i="1" a="1"/>
  <c r="T860" i="1"/>
  <c r="F860" i="1"/>
  <c r="F860" i="1" a="1"/>
  <c r="T859" i="1"/>
  <c r="F859" i="1"/>
  <c r="F859" i="1" a="1"/>
  <c r="T858" i="1"/>
  <c r="F858" i="1"/>
  <c r="F858" i="1" a="1"/>
  <c r="T857" i="1"/>
  <c r="F857" i="1"/>
  <c r="F857" i="1" a="1"/>
  <c r="T856" i="1"/>
  <c r="F856" i="1"/>
  <c r="F856" i="1" a="1"/>
  <c r="T855" i="1"/>
  <c r="F855" i="1"/>
  <c r="F855" i="1" a="1"/>
  <c r="T854" i="1"/>
  <c r="F854" i="1"/>
  <c r="F854" i="1" a="1"/>
  <c r="T853" i="1"/>
  <c r="F853" i="1"/>
  <c r="F853" i="1" a="1"/>
  <c r="T852" i="1"/>
  <c r="F852" i="1"/>
  <c r="F852" i="1" a="1"/>
  <c r="T851" i="1"/>
  <c r="F851" i="1"/>
  <c r="F851" i="1" a="1"/>
  <c r="T850" i="1"/>
  <c r="F850" i="1"/>
  <c r="F850" i="1" a="1"/>
  <c r="T849" i="1"/>
  <c r="F849" i="1"/>
  <c r="F849" i="1" a="1"/>
  <c r="T848" i="1"/>
  <c r="F848" i="1"/>
  <c r="F848" i="1" a="1"/>
  <c r="T847" i="1"/>
  <c r="F847" i="1"/>
  <c r="F847" i="1" a="1"/>
  <c r="T846" i="1"/>
  <c r="F846" i="1"/>
  <c r="F846" i="1" a="1"/>
  <c r="T845" i="1"/>
  <c r="F845" i="1"/>
  <c r="F845" i="1" a="1"/>
  <c r="T844" i="1"/>
  <c r="F844" i="1"/>
  <c r="F844" i="1" a="1"/>
  <c r="T843" i="1"/>
  <c r="F843" i="1"/>
  <c r="F843" i="1" a="1"/>
  <c r="T842" i="1"/>
  <c r="F842" i="1"/>
  <c r="F842" i="1" a="1"/>
  <c r="T841" i="1"/>
  <c r="F841" i="1"/>
  <c r="F841" i="1" a="1"/>
  <c r="T840" i="1"/>
  <c r="F840" i="1"/>
  <c r="F840" i="1" a="1"/>
  <c r="T839" i="1"/>
  <c r="F839" i="1"/>
  <c r="F839" i="1" a="1"/>
  <c r="T838" i="1"/>
  <c r="F838" i="1"/>
  <c r="F838" i="1" a="1"/>
  <c r="T837" i="1"/>
  <c r="F837" i="1"/>
  <c r="F837" i="1" a="1"/>
  <c r="T836" i="1"/>
  <c r="F836" i="1"/>
  <c r="F836" i="1" a="1"/>
  <c r="T835" i="1"/>
  <c r="F835" i="1"/>
  <c r="F835" i="1" a="1"/>
  <c r="T834" i="1"/>
  <c r="F834" i="1"/>
  <c r="F834" i="1" a="1"/>
  <c r="T833" i="1"/>
  <c r="F833" i="1"/>
  <c r="F833" i="1" a="1"/>
  <c r="T832" i="1"/>
  <c r="F832" i="1"/>
  <c r="F832" i="1" a="1"/>
  <c r="T831" i="1"/>
  <c r="F831" i="1"/>
  <c r="F831" i="1" a="1"/>
  <c r="T830" i="1"/>
  <c r="F830" i="1"/>
  <c r="F830" i="1" a="1"/>
  <c r="T829" i="1"/>
  <c r="F829" i="1"/>
  <c r="F829" i="1" a="1"/>
  <c r="T828" i="1"/>
  <c r="F828" i="1"/>
  <c r="F828" i="1" a="1"/>
  <c r="T827" i="1"/>
  <c r="F827" i="1"/>
  <c r="F827" i="1" a="1"/>
  <c r="T826" i="1"/>
  <c r="F826" i="1"/>
  <c r="F826" i="1" a="1"/>
  <c r="T825" i="1"/>
  <c r="F825" i="1"/>
  <c r="F825" i="1" a="1"/>
  <c r="T824" i="1"/>
  <c r="F824" i="1"/>
  <c r="F824" i="1" a="1"/>
  <c r="T823" i="1"/>
  <c r="F823" i="1"/>
  <c r="F823" i="1" a="1"/>
  <c r="T822" i="1"/>
  <c r="F822" i="1"/>
  <c r="F822" i="1" a="1"/>
  <c r="T821" i="1"/>
  <c r="F821" i="1"/>
  <c r="F821" i="1" a="1"/>
  <c r="T820" i="1"/>
  <c r="F820" i="1"/>
  <c r="F820" i="1" a="1"/>
  <c r="T819" i="1"/>
  <c r="F819" i="1"/>
  <c r="F819" i="1" a="1"/>
  <c r="T818" i="1"/>
  <c r="F818" i="1"/>
  <c r="F818" i="1" a="1"/>
  <c r="T817" i="1"/>
  <c r="F817" i="1"/>
  <c r="F817" i="1" a="1"/>
  <c r="T816" i="1"/>
  <c r="F816" i="1"/>
  <c r="F816" i="1" a="1"/>
  <c r="T815" i="1"/>
  <c r="F815" i="1"/>
  <c r="F815" i="1" a="1"/>
  <c r="T814" i="1"/>
  <c r="F814" i="1"/>
  <c r="F814" i="1" a="1"/>
  <c r="T813" i="1"/>
  <c r="F813" i="1"/>
  <c r="F813" i="1" a="1"/>
  <c r="T812" i="1"/>
  <c r="F812" i="1"/>
  <c r="F812" i="1" a="1"/>
  <c r="T811" i="1"/>
  <c r="F811" i="1"/>
  <c r="F811" i="1" a="1"/>
  <c r="T810" i="1"/>
  <c r="F810" i="1"/>
  <c r="F810" i="1" a="1"/>
  <c r="T809" i="1"/>
  <c r="F809" i="1"/>
  <c r="F809" i="1" a="1"/>
  <c r="T808" i="1"/>
  <c r="F808" i="1"/>
  <c r="F808" i="1" a="1"/>
  <c r="T807" i="1"/>
  <c r="F807" i="1"/>
  <c r="F807" i="1" a="1"/>
  <c r="T806" i="1"/>
  <c r="F806" i="1"/>
  <c r="F806" i="1" a="1"/>
  <c r="T805" i="1"/>
  <c r="F805" i="1"/>
  <c r="F805" i="1" a="1"/>
  <c r="T804" i="1"/>
  <c r="F804" i="1"/>
  <c r="F804" i="1" a="1"/>
  <c r="T803" i="1"/>
  <c r="F803" i="1"/>
  <c r="F803" i="1" a="1"/>
  <c r="T802" i="1"/>
  <c r="F802" i="1"/>
  <c r="F802" i="1" a="1"/>
  <c r="T801" i="1"/>
  <c r="F801" i="1"/>
  <c r="F801" i="1" a="1"/>
  <c r="T800" i="1"/>
  <c r="F800" i="1"/>
  <c r="F800" i="1" a="1"/>
  <c r="T799" i="1"/>
  <c r="F799" i="1"/>
  <c r="F799" i="1" a="1"/>
  <c r="T798" i="1"/>
  <c r="F798" i="1"/>
  <c r="F798" i="1" a="1"/>
  <c r="T797" i="1"/>
  <c r="F797" i="1"/>
  <c r="F797" i="1" a="1"/>
  <c r="T796" i="1"/>
  <c r="F796" i="1"/>
  <c r="F796" i="1" a="1"/>
  <c r="T795" i="1"/>
  <c r="F795" i="1"/>
  <c r="F795" i="1" a="1"/>
  <c r="T794" i="1"/>
  <c r="F794" i="1"/>
  <c r="F794" i="1" a="1"/>
  <c r="T793" i="1"/>
  <c r="F793" i="1"/>
  <c r="F793" i="1" a="1"/>
  <c r="T792" i="1"/>
  <c r="F792" i="1"/>
  <c r="F792" i="1" a="1"/>
  <c r="T791" i="1"/>
  <c r="F791" i="1"/>
  <c r="F791" i="1" a="1"/>
  <c r="T790" i="1"/>
  <c r="F790" i="1"/>
  <c r="F790" i="1" a="1"/>
  <c r="T789" i="1"/>
  <c r="F789" i="1"/>
  <c r="F789" i="1" a="1"/>
  <c r="T788" i="1"/>
  <c r="F788" i="1"/>
  <c r="F788" i="1" a="1"/>
  <c r="T787" i="1"/>
  <c r="F787" i="1"/>
  <c r="F787" i="1" a="1"/>
  <c r="T786" i="1"/>
  <c r="F786" i="1"/>
  <c r="F786" i="1" a="1"/>
  <c r="T785" i="1"/>
  <c r="F785" i="1"/>
  <c r="F785" i="1" a="1"/>
  <c r="T784" i="1"/>
  <c r="F784" i="1"/>
  <c r="F784" i="1" a="1"/>
  <c r="T783" i="1"/>
  <c r="F783" i="1"/>
  <c r="F783" i="1" a="1"/>
  <c r="T782" i="1"/>
  <c r="F782" i="1"/>
  <c r="F782" i="1" a="1"/>
  <c r="T781" i="1"/>
  <c r="F781" i="1"/>
  <c r="F781" i="1" a="1"/>
  <c r="T780" i="1"/>
  <c r="F780" i="1"/>
  <c r="F780" i="1" a="1"/>
  <c r="T779" i="1"/>
  <c r="F779" i="1"/>
  <c r="F779" i="1" a="1"/>
  <c r="T778" i="1"/>
  <c r="F778" i="1"/>
  <c r="F778" i="1" a="1"/>
  <c r="T777" i="1"/>
  <c r="F777" i="1"/>
  <c r="F777" i="1" a="1"/>
  <c r="T776" i="1"/>
  <c r="F776" i="1"/>
  <c r="F776" i="1" a="1"/>
  <c r="T775" i="1"/>
  <c r="F775" i="1"/>
  <c r="F775" i="1" a="1"/>
  <c r="T774" i="1"/>
  <c r="F774" i="1"/>
  <c r="F774" i="1" a="1"/>
  <c r="T773" i="1"/>
  <c r="F773" i="1"/>
  <c r="F773" i="1" a="1"/>
  <c r="T772" i="1"/>
  <c r="F772" i="1"/>
  <c r="F772" i="1" a="1"/>
  <c r="T771" i="1"/>
  <c r="F771" i="1"/>
  <c r="F771" i="1" a="1"/>
  <c r="T770" i="1"/>
  <c r="F770" i="1"/>
  <c r="F770" i="1" a="1"/>
  <c r="T769" i="1"/>
  <c r="F769" i="1"/>
  <c r="F769" i="1" a="1"/>
  <c r="T768" i="1"/>
  <c r="F768" i="1"/>
  <c r="F768" i="1" a="1"/>
  <c r="T767" i="1"/>
  <c r="F767" i="1"/>
  <c r="F767" i="1" a="1"/>
  <c r="T766" i="1"/>
  <c r="F766" i="1"/>
  <c r="F766" i="1" a="1"/>
  <c r="T765" i="1"/>
  <c r="F765" i="1"/>
  <c r="F765" i="1" a="1"/>
  <c r="T764" i="1"/>
  <c r="F764" i="1"/>
  <c r="F764" i="1" a="1"/>
  <c r="T763" i="1"/>
  <c r="F763" i="1"/>
  <c r="F763" i="1" a="1"/>
  <c r="T762" i="1"/>
  <c r="F762" i="1"/>
  <c r="F762" i="1" a="1"/>
  <c r="T761" i="1"/>
  <c r="F761" i="1"/>
  <c r="F761" i="1" a="1"/>
  <c r="T760" i="1"/>
  <c r="F760" i="1"/>
  <c r="F760" i="1" a="1"/>
  <c r="T759" i="1"/>
  <c r="F759" i="1"/>
  <c r="F759" i="1" a="1"/>
  <c r="T758" i="1"/>
  <c r="F758" i="1"/>
  <c r="F758" i="1" a="1"/>
  <c r="T757" i="1"/>
  <c r="F757" i="1"/>
  <c r="F757" i="1" a="1"/>
  <c r="T756" i="1"/>
  <c r="F756" i="1"/>
  <c r="F756" i="1" a="1"/>
  <c r="T755" i="1"/>
  <c r="F755" i="1"/>
  <c r="F755" i="1" a="1"/>
  <c r="T754" i="1"/>
  <c r="F754" i="1"/>
  <c r="F754" i="1" a="1"/>
  <c r="T753" i="1"/>
  <c r="F753" i="1"/>
  <c r="F753" i="1" a="1"/>
  <c r="T752" i="1"/>
  <c r="F752" i="1"/>
  <c r="F752" i="1" a="1"/>
  <c r="T751" i="1"/>
  <c r="F751" i="1"/>
  <c r="F751" i="1" a="1"/>
  <c r="T750" i="1"/>
  <c r="F750" i="1"/>
  <c r="F750" i="1" a="1"/>
  <c r="T749" i="1"/>
  <c r="F749" i="1"/>
  <c r="F749" i="1" a="1"/>
  <c r="T748" i="1"/>
  <c r="F748" i="1"/>
  <c r="F748" i="1" a="1"/>
  <c r="T747" i="1"/>
  <c r="F747" i="1"/>
  <c r="F747" i="1" a="1"/>
  <c r="T746" i="1"/>
  <c r="F746" i="1"/>
  <c r="F746" i="1" a="1"/>
  <c r="T745" i="1"/>
  <c r="F745" i="1"/>
  <c r="F745" i="1" a="1"/>
  <c r="T744" i="1"/>
  <c r="F744" i="1"/>
  <c r="F744" i="1" a="1"/>
  <c r="T743" i="1"/>
  <c r="F743" i="1"/>
  <c r="F743" i="1" a="1"/>
  <c r="T742" i="1"/>
  <c r="F742" i="1"/>
  <c r="F742" i="1" a="1"/>
  <c r="T741" i="1"/>
  <c r="F741" i="1"/>
  <c r="F741" i="1" a="1"/>
  <c r="T740" i="1"/>
  <c r="F740" i="1"/>
  <c r="F740" i="1" a="1"/>
  <c r="T739" i="1"/>
  <c r="F739" i="1"/>
  <c r="F739" i="1" a="1"/>
  <c r="T738" i="1"/>
  <c r="F738" i="1"/>
  <c r="F738" i="1" a="1"/>
  <c r="T737" i="1"/>
  <c r="F737" i="1"/>
  <c r="F737" i="1" a="1"/>
  <c r="T736" i="1"/>
  <c r="F736" i="1"/>
  <c r="F736" i="1" a="1"/>
  <c r="T735" i="1"/>
  <c r="F735" i="1"/>
  <c r="F735" i="1" a="1"/>
  <c r="T734" i="1"/>
  <c r="F734" i="1"/>
  <c r="F734" i="1" a="1"/>
  <c r="T733" i="1"/>
  <c r="F733" i="1"/>
  <c r="F733" i="1" a="1"/>
  <c r="T732" i="1"/>
  <c r="F732" i="1"/>
  <c r="F732" i="1" a="1"/>
  <c r="T731" i="1"/>
  <c r="F731" i="1"/>
  <c r="F731" i="1" a="1"/>
  <c r="T730" i="1"/>
  <c r="F730" i="1"/>
  <c r="F730" i="1" a="1"/>
  <c r="T729" i="1"/>
  <c r="F729" i="1"/>
  <c r="F729" i="1" a="1"/>
  <c r="T728" i="1"/>
  <c r="F728" i="1"/>
  <c r="F728" i="1" a="1"/>
  <c r="T727" i="1"/>
  <c r="F727" i="1"/>
  <c r="F727" i="1" a="1"/>
  <c r="T726" i="1"/>
  <c r="F726" i="1"/>
  <c r="F726" i="1" a="1"/>
  <c r="T725" i="1"/>
  <c r="F725" i="1"/>
  <c r="F725" i="1" a="1"/>
  <c r="T724" i="1"/>
  <c r="F724" i="1"/>
  <c r="F724" i="1" a="1"/>
  <c r="T723" i="1"/>
  <c r="F723" i="1"/>
  <c r="F723" i="1" a="1"/>
  <c r="T722" i="1"/>
  <c r="F722" i="1"/>
  <c r="F722" i="1" a="1"/>
  <c r="T721" i="1"/>
  <c r="F721" i="1"/>
  <c r="F721" i="1" a="1"/>
  <c r="T720" i="1"/>
  <c r="F720" i="1"/>
  <c r="F720" i="1" a="1"/>
  <c r="T719" i="1"/>
  <c r="F719" i="1"/>
  <c r="F719" i="1" a="1"/>
  <c r="T718" i="1"/>
  <c r="F718" i="1"/>
  <c r="F718" i="1" a="1"/>
  <c r="T717" i="1"/>
  <c r="F717" i="1"/>
  <c r="F717" i="1" a="1"/>
  <c r="T716" i="1"/>
  <c r="F716" i="1"/>
  <c r="F716" i="1" a="1"/>
  <c r="T715" i="1"/>
  <c r="F715" i="1"/>
  <c r="F715" i="1" a="1"/>
  <c r="T714" i="1"/>
  <c r="F714" i="1"/>
  <c r="F714" i="1" a="1"/>
  <c r="T713" i="1"/>
  <c r="F713" i="1"/>
  <c r="F713" i="1" a="1"/>
  <c r="T712" i="1"/>
  <c r="F712" i="1"/>
  <c r="F712" i="1" a="1"/>
  <c r="T711" i="1"/>
  <c r="F711" i="1"/>
  <c r="F711" i="1" a="1"/>
  <c r="T710" i="1"/>
  <c r="F710" i="1"/>
  <c r="F710" i="1" a="1"/>
  <c r="T709" i="1"/>
  <c r="F709" i="1"/>
  <c r="F709" i="1" a="1"/>
  <c r="T708" i="1"/>
  <c r="F708" i="1"/>
  <c r="F708" i="1" a="1"/>
  <c r="T707" i="1"/>
  <c r="F707" i="1"/>
  <c r="F707" i="1" a="1"/>
  <c r="T706" i="1"/>
  <c r="F706" i="1"/>
  <c r="F706" i="1" a="1"/>
  <c r="T705" i="1"/>
  <c r="F705" i="1"/>
  <c r="F705" i="1" a="1"/>
  <c r="T704" i="1"/>
  <c r="F704" i="1"/>
  <c r="F704" i="1" a="1"/>
  <c r="T703" i="1"/>
  <c r="F703" i="1"/>
  <c r="F703" i="1" a="1"/>
  <c r="T702" i="1"/>
  <c r="F702" i="1"/>
  <c r="F702" i="1" a="1"/>
  <c r="T701" i="1"/>
  <c r="F701" i="1"/>
  <c r="F701" i="1" a="1"/>
  <c r="T700" i="1"/>
  <c r="F700" i="1"/>
  <c r="F700" i="1" a="1"/>
  <c r="T699" i="1"/>
  <c r="F699" i="1"/>
  <c r="F699" i="1" a="1"/>
  <c r="T698" i="1"/>
  <c r="F698" i="1"/>
  <c r="F698" i="1" a="1"/>
  <c r="T697" i="1"/>
  <c r="F697" i="1"/>
  <c r="F697" i="1" a="1"/>
  <c r="T696" i="1"/>
  <c r="F696" i="1"/>
  <c r="F696" i="1" a="1"/>
  <c r="T695" i="1"/>
  <c r="F695" i="1"/>
  <c r="F695" i="1" a="1"/>
  <c r="T694" i="1"/>
  <c r="F694" i="1"/>
  <c r="F694" i="1" a="1"/>
  <c r="T693" i="1"/>
  <c r="F693" i="1"/>
  <c r="F693" i="1" a="1"/>
  <c r="T692" i="1"/>
  <c r="F692" i="1"/>
  <c r="F692" i="1" a="1"/>
  <c r="T691" i="1"/>
  <c r="F691" i="1"/>
  <c r="F691" i="1" a="1"/>
  <c r="T690" i="1"/>
  <c r="F690" i="1"/>
  <c r="F690" i="1" a="1"/>
  <c r="T689" i="1"/>
  <c r="F689" i="1"/>
  <c r="F689" i="1" a="1"/>
  <c r="T688" i="1"/>
  <c r="F688" i="1"/>
  <c r="F688" i="1" a="1"/>
  <c r="T687" i="1"/>
  <c r="F687" i="1"/>
  <c r="F687" i="1" a="1"/>
  <c r="T686" i="1"/>
  <c r="F686" i="1"/>
  <c r="F686" i="1" a="1"/>
  <c r="T685" i="1"/>
  <c r="F685" i="1"/>
  <c r="F685" i="1" a="1"/>
  <c r="T684" i="1"/>
  <c r="F684" i="1"/>
  <c r="F684" i="1" a="1"/>
  <c r="T683" i="1"/>
  <c r="F683" i="1"/>
  <c r="F683" i="1" a="1"/>
  <c r="T682" i="1"/>
  <c r="F682" i="1"/>
  <c r="F682" i="1" a="1"/>
  <c r="T681" i="1"/>
  <c r="F681" i="1"/>
  <c r="F681" i="1" a="1"/>
  <c r="T680" i="1"/>
  <c r="F680" i="1"/>
  <c r="F680" i="1" a="1"/>
  <c r="T679" i="1"/>
  <c r="F679" i="1"/>
  <c r="F679" i="1" a="1"/>
  <c r="T678" i="1"/>
  <c r="F678" i="1"/>
  <c r="F678" i="1" a="1"/>
  <c r="T677" i="1"/>
  <c r="F677" i="1"/>
  <c r="F677" i="1" a="1"/>
  <c r="T676" i="1"/>
  <c r="F676" i="1"/>
  <c r="F676" i="1" a="1"/>
  <c r="T675" i="1"/>
  <c r="F675" i="1"/>
  <c r="F675" i="1" a="1"/>
  <c r="T674" i="1"/>
  <c r="F674" i="1"/>
  <c r="F674" i="1" a="1"/>
  <c r="T673" i="1"/>
  <c r="F673" i="1"/>
  <c r="F673" i="1" a="1"/>
  <c r="T672" i="1"/>
  <c r="F672" i="1"/>
  <c r="F672" i="1" a="1"/>
  <c r="T671" i="1"/>
  <c r="F671" i="1"/>
  <c r="F671" i="1" a="1"/>
  <c r="T670" i="1"/>
  <c r="F670" i="1"/>
  <c r="F670" i="1" a="1"/>
  <c r="T669" i="1"/>
  <c r="F669" i="1"/>
  <c r="F669" i="1" a="1"/>
  <c r="T668" i="1"/>
  <c r="F668" i="1"/>
  <c r="F668" i="1" a="1"/>
  <c r="T667" i="1"/>
  <c r="F667" i="1"/>
  <c r="F667" i="1" a="1"/>
  <c r="T666" i="1"/>
  <c r="F666" i="1"/>
  <c r="F666" i="1" a="1"/>
  <c r="T665" i="1"/>
  <c r="F665" i="1"/>
  <c r="F665" i="1" a="1"/>
  <c r="T664" i="1"/>
  <c r="F664" i="1"/>
  <c r="F664" i="1" a="1"/>
  <c r="T663" i="1"/>
  <c r="F663" i="1"/>
  <c r="F663" i="1" a="1"/>
  <c r="T662" i="1"/>
  <c r="F662" i="1"/>
  <c r="F662" i="1" a="1"/>
  <c r="T661" i="1"/>
  <c r="F661" i="1"/>
  <c r="F661" i="1" a="1"/>
  <c r="T660" i="1"/>
  <c r="F660" i="1"/>
  <c r="F660" i="1" a="1"/>
  <c r="T659" i="1"/>
  <c r="F659" i="1"/>
  <c r="F659" i="1" a="1"/>
  <c r="T658" i="1"/>
  <c r="F658" i="1"/>
  <c r="F658" i="1" a="1"/>
  <c r="T657" i="1"/>
  <c r="F657" i="1"/>
  <c r="F657" i="1" a="1"/>
  <c r="T656" i="1"/>
  <c r="F656" i="1"/>
  <c r="F656" i="1" a="1"/>
  <c r="T655" i="1"/>
  <c r="F655" i="1"/>
  <c r="F655" i="1" a="1"/>
  <c r="T654" i="1"/>
  <c r="F654" i="1"/>
  <c r="F654" i="1" a="1"/>
  <c r="T653" i="1"/>
  <c r="F653" i="1"/>
  <c r="F653" i="1" a="1"/>
  <c r="T652" i="1"/>
  <c r="F652" i="1"/>
  <c r="F652" i="1" a="1"/>
  <c r="T651" i="1"/>
  <c r="F651" i="1"/>
  <c r="F651" i="1" a="1"/>
  <c r="T650" i="1"/>
  <c r="F650" i="1"/>
  <c r="F650" i="1" a="1"/>
  <c r="T649" i="1"/>
  <c r="F649" i="1"/>
  <c r="F649" i="1" a="1"/>
  <c r="T648" i="1"/>
  <c r="F648" i="1"/>
  <c r="F648" i="1" a="1"/>
  <c r="T647" i="1"/>
  <c r="F647" i="1"/>
  <c r="F647" i="1" a="1"/>
  <c r="T646" i="1"/>
  <c r="F646" i="1"/>
  <c r="F646" i="1" a="1"/>
  <c r="T645" i="1"/>
  <c r="F645" i="1"/>
  <c r="F645" i="1" a="1"/>
  <c r="T644" i="1"/>
  <c r="F644" i="1"/>
  <c r="F644" i="1" a="1"/>
  <c r="T643" i="1"/>
  <c r="F643" i="1"/>
  <c r="F643" i="1" a="1"/>
  <c r="T642" i="1"/>
  <c r="F642" i="1"/>
  <c r="F642" i="1" a="1"/>
  <c r="T641" i="1"/>
  <c r="F641" i="1"/>
  <c r="F641" i="1" a="1"/>
  <c r="T640" i="1"/>
  <c r="F640" i="1"/>
  <c r="F640" i="1" a="1"/>
  <c r="T639" i="1"/>
  <c r="F639" i="1"/>
  <c r="F639" i="1" a="1"/>
  <c r="T638" i="1"/>
  <c r="F638" i="1"/>
  <c r="F638" i="1" a="1"/>
  <c r="T637" i="1"/>
  <c r="F637" i="1"/>
  <c r="F637" i="1" a="1"/>
  <c r="T636" i="1"/>
  <c r="F636" i="1"/>
  <c r="F636" i="1" a="1"/>
  <c r="T635" i="1"/>
  <c r="F635" i="1"/>
  <c r="F635" i="1" a="1"/>
  <c r="T634" i="1"/>
  <c r="F634" i="1"/>
  <c r="F634" i="1" a="1"/>
  <c r="T633" i="1"/>
  <c r="F633" i="1"/>
  <c r="F633" i="1" a="1"/>
  <c r="T632" i="1"/>
  <c r="F632" i="1"/>
  <c r="F632" i="1" a="1"/>
  <c r="T631" i="1"/>
  <c r="F631" i="1"/>
  <c r="F631" i="1" a="1"/>
  <c r="T630" i="1"/>
  <c r="F630" i="1"/>
  <c r="F630" i="1" a="1"/>
  <c r="T629" i="1"/>
  <c r="F629" i="1"/>
  <c r="F629" i="1" a="1"/>
  <c r="T628" i="1"/>
  <c r="F628" i="1"/>
  <c r="F628" i="1" a="1"/>
  <c r="T627" i="1"/>
  <c r="F627" i="1"/>
  <c r="F627" i="1" a="1"/>
  <c r="T626" i="1"/>
  <c r="F626" i="1"/>
  <c r="F626" i="1" a="1"/>
  <c r="T625" i="1"/>
  <c r="F625" i="1"/>
  <c r="F625" i="1" a="1"/>
  <c r="T624" i="1"/>
  <c r="F624" i="1"/>
  <c r="F624" i="1" a="1"/>
  <c r="T623" i="1"/>
  <c r="F623" i="1"/>
  <c r="F623" i="1" a="1"/>
  <c r="T622" i="1"/>
  <c r="F622" i="1"/>
  <c r="F622" i="1" a="1"/>
  <c r="T621" i="1"/>
  <c r="F621" i="1"/>
  <c r="F621" i="1" a="1"/>
  <c r="T620" i="1"/>
  <c r="F620" i="1"/>
  <c r="F620" i="1" a="1"/>
  <c r="T619" i="1"/>
  <c r="F619" i="1"/>
  <c r="F619" i="1" a="1"/>
  <c r="T618" i="1"/>
  <c r="F618" i="1"/>
  <c r="F618" i="1" a="1"/>
  <c r="T617" i="1"/>
  <c r="F617" i="1"/>
  <c r="F617" i="1" a="1"/>
  <c r="T616" i="1"/>
  <c r="F616" i="1"/>
  <c r="F616" i="1" a="1"/>
  <c r="T615" i="1"/>
  <c r="F615" i="1"/>
  <c r="F615" i="1" a="1"/>
  <c r="T614" i="1"/>
  <c r="F614" i="1"/>
  <c r="F614" i="1" a="1"/>
  <c r="T613" i="1"/>
  <c r="F613" i="1"/>
  <c r="F613" i="1" a="1"/>
  <c r="T612" i="1"/>
  <c r="F612" i="1"/>
  <c r="F612" i="1" a="1"/>
  <c r="T611" i="1"/>
  <c r="F611" i="1"/>
  <c r="F611" i="1" a="1"/>
  <c r="T610" i="1"/>
  <c r="F610" i="1"/>
  <c r="F610" i="1" a="1"/>
  <c r="T609" i="1"/>
  <c r="F609" i="1"/>
  <c r="F609" i="1" a="1"/>
  <c r="T608" i="1"/>
  <c r="F608" i="1"/>
  <c r="F608" i="1" a="1"/>
  <c r="T607" i="1"/>
  <c r="F607" i="1"/>
  <c r="F607" i="1" a="1"/>
  <c r="T606" i="1"/>
  <c r="F606" i="1"/>
  <c r="F606" i="1" a="1"/>
  <c r="T605" i="1"/>
  <c r="F605" i="1"/>
  <c r="F605" i="1" a="1"/>
  <c r="T604" i="1"/>
  <c r="F604" i="1"/>
  <c r="F604" i="1" a="1"/>
  <c r="T603" i="1"/>
  <c r="F603" i="1"/>
  <c r="F603" i="1" a="1"/>
  <c r="T602" i="1"/>
  <c r="F602" i="1"/>
  <c r="F602" i="1" a="1"/>
  <c r="T601" i="1"/>
  <c r="F601" i="1"/>
  <c r="F601" i="1" a="1"/>
  <c r="T600" i="1"/>
  <c r="F600" i="1"/>
  <c r="F600" i="1" a="1"/>
  <c r="T599" i="1"/>
  <c r="F599" i="1"/>
  <c r="F599" i="1" a="1"/>
  <c r="T598" i="1"/>
  <c r="F598" i="1"/>
  <c r="F598" i="1" a="1"/>
  <c r="T597" i="1"/>
  <c r="F597" i="1"/>
  <c r="F597" i="1" a="1"/>
  <c r="T596" i="1"/>
  <c r="F596" i="1"/>
  <c r="F596" i="1" a="1"/>
  <c r="T595" i="1"/>
  <c r="F595" i="1"/>
  <c r="F595" i="1" a="1"/>
  <c r="T594" i="1"/>
  <c r="F594" i="1"/>
  <c r="F594" i="1" a="1"/>
  <c r="T593" i="1"/>
  <c r="F593" i="1"/>
  <c r="F593" i="1" a="1"/>
  <c r="T592" i="1"/>
  <c r="F592" i="1"/>
  <c r="F592" i="1" a="1"/>
  <c r="T591" i="1"/>
  <c r="F591" i="1"/>
  <c r="F591" i="1" a="1"/>
  <c r="T590" i="1"/>
  <c r="F590" i="1"/>
  <c r="F590" i="1" a="1"/>
  <c r="T589" i="1"/>
  <c r="F589" i="1"/>
  <c r="F589" i="1" a="1"/>
  <c r="T588" i="1"/>
  <c r="F588" i="1"/>
  <c r="F588" i="1" a="1"/>
  <c r="T587" i="1"/>
  <c r="F587" i="1"/>
  <c r="F587" i="1" a="1"/>
  <c r="T586" i="1"/>
  <c r="F586" i="1"/>
  <c r="F586" i="1" a="1"/>
  <c r="T585" i="1"/>
  <c r="F585" i="1"/>
  <c r="F585" i="1" a="1"/>
  <c r="T584" i="1"/>
  <c r="F584" i="1"/>
  <c r="F584" i="1" a="1"/>
  <c r="T583" i="1"/>
  <c r="F583" i="1"/>
  <c r="F583" i="1" a="1"/>
  <c r="T582" i="1"/>
  <c r="F582" i="1"/>
  <c r="F582" i="1" a="1"/>
  <c r="T581" i="1"/>
  <c r="F581" i="1"/>
  <c r="F581" i="1" a="1"/>
  <c r="T580" i="1"/>
  <c r="F580" i="1"/>
  <c r="F580" i="1" a="1"/>
  <c r="T579" i="1"/>
  <c r="F579" i="1"/>
  <c r="F579" i="1" a="1"/>
  <c r="T578" i="1"/>
  <c r="F578" i="1"/>
  <c r="F578" i="1" a="1"/>
  <c r="T577" i="1"/>
  <c r="F577" i="1"/>
  <c r="F577" i="1" a="1"/>
  <c r="T576" i="1"/>
  <c r="F576" i="1"/>
  <c r="F576" i="1" a="1"/>
  <c r="T575" i="1"/>
  <c r="F575" i="1"/>
  <c r="F575" i="1" a="1"/>
  <c r="T574" i="1"/>
  <c r="F574" i="1"/>
  <c r="F574" i="1" a="1"/>
  <c r="T573" i="1"/>
  <c r="F573" i="1"/>
  <c r="F573" i="1" a="1"/>
  <c r="T572" i="1"/>
  <c r="F572" i="1"/>
  <c r="F572" i="1" a="1"/>
  <c r="T571" i="1"/>
  <c r="F571" i="1"/>
  <c r="F571" i="1" a="1"/>
  <c r="T570" i="1"/>
  <c r="F570" i="1"/>
  <c r="F570" i="1" a="1"/>
  <c r="T569" i="1"/>
  <c r="F569" i="1"/>
  <c r="F569" i="1" a="1"/>
  <c r="T568" i="1"/>
  <c r="F568" i="1"/>
  <c r="F568" i="1" a="1"/>
  <c r="T567" i="1"/>
  <c r="F567" i="1"/>
  <c r="F567" i="1" a="1"/>
  <c r="T566" i="1"/>
  <c r="F566" i="1"/>
  <c r="F566" i="1" a="1"/>
  <c r="T565" i="1"/>
  <c r="F565" i="1"/>
  <c r="F565" i="1" a="1"/>
  <c r="T564" i="1"/>
  <c r="F564" i="1"/>
  <c r="F564" i="1" a="1"/>
  <c r="T563" i="1"/>
  <c r="F563" i="1"/>
  <c r="F563" i="1" a="1"/>
  <c r="T562" i="1"/>
  <c r="F562" i="1"/>
  <c r="F562" i="1" a="1"/>
  <c r="T561" i="1"/>
  <c r="F561" i="1"/>
  <c r="F561" i="1" a="1"/>
  <c r="T560" i="1"/>
  <c r="F560" i="1"/>
  <c r="F560" i="1" a="1"/>
  <c r="T559" i="1"/>
  <c r="F559" i="1"/>
  <c r="F559" i="1" a="1"/>
  <c r="T558" i="1"/>
  <c r="F558" i="1"/>
  <c r="F558" i="1" a="1"/>
  <c r="T557" i="1"/>
  <c r="F557" i="1"/>
  <c r="F557" i="1" a="1"/>
  <c r="T556" i="1"/>
  <c r="F556" i="1"/>
  <c r="F556" i="1" a="1"/>
  <c r="T555" i="1"/>
  <c r="F555" i="1"/>
  <c r="F555" i="1" a="1"/>
  <c r="T554" i="1"/>
  <c r="F554" i="1"/>
  <c r="F554" i="1" a="1"/>
  <c r="T553" i="1"/>
  <c r="F553" i="1"/>
  <c r="F553" i="1" a="1"/>
  <c r="T552" i="1"/>
  <c r="F552" i="1"/>
  <c r="F552" i="1" a="1"/>
  <c r="T551" i="1"/>
  <c r="F551" i="1"/>
  <c r="F551" i="1" a="1"/>
  <c r="T550" i="1"/>
  <c r="F550" i="1"/>
  <c r="F550" i="1" a="1"/>
  <c r="T549" i="1"/>
  <c r="F549" i="1"/>
  <c r="F549" i="1" a="1"/>
  <c r="T548" i="1"/>
  <c r="F548" i="1"/>
  <c r="F548" i="1" a="1"/>
  <c r="T547" i="1"/>
  <c r="F547" i="1"/>
  <c r="F547" i="1" a="1"/>
  <c r="T546" i="1"/>
  <c r="F546" i="1"/>
  <c r="F546" i="1" a="1"/>
  <c r="T545" i="1"/>
  <c r="F545" i="1"/>
  <c r="F545" i="1" a="1"/>
  <c r="T544" i="1"/>
  <c r="F544" i="1"/>
  <c r="F544" i="1" a="1"/>
  <c r="T543" i="1"/>
  <c r="F543" i="1"/>
  <c r="F543" i="1" a="1"/>
  <c r="T542" i="1"/>
  <c r="F542" i="1"/>
  <c r="F542" i="1" a="1"/>
  <c r="T541" i="1"/>
  <c r="F541" i="1"/>
  <c r="F541" i="1" a="1"/>
  <c r="T540" i="1"/>
  <c r="F540" i="1"/>
  <c r="F540" i="1" a="1"/>
  <c r="T539" i="1"/>
  <c r="F539" i="1"/>
  <c r="F539" i="1" a="1"/>
  <c r="T538" i="1"/>
  <c r="F538" i="1"/>
  <c r="F538" i="1" a="1"/>
  <c r="T537" i="1"/>
  <c r="F537" i="1"/>
  <c r="F537" i="1" a="1"/>
  <c r="T536" i="1"/>
  <c r="F536" i="1"/>
  <c r="F536" i="1" a="1"/>
  <c r="T535" i="1"/>
  <c r="F535" i="1"/>
  <c r="F535" i="1" a="1"/>
  <c r="T534" i="1"/>
  <c r="F534" i="1"/>
  <c r="F534" i="1" a="1"/>
  <c r="T533" i="1"/>
  <c r="F533" i="1"/>
  <c r="F533" i="1" a="1"/>
  <c r="T532" i="1"/>
  <c r="F532" i="1"/>
  <c r="F532" i="1" a="1"/>
  <c r="T531" i="1"/>
  <c r="F531" i="1"/>
  <c r="F531" i="1" a="1"/>
  <c r="T530" i="1"/>
  <c r="F530" i="1"/>
  <c r="F530" i="1" a="1"/>
  <c r="T529" i="1"/>
  <c r="F529" i="1"/>
  <c r="F529" i="1" a="1"/>
  <c r="T528" i="1"/>
  <c r="F528" i="1"/>
  <c r="F528" i="1" a="1"/>
  <c r="T527" i="1"/>
  <c r="F527" i="1"/>
  <c r="F527" i="1" a="1"/>
  <c r="T526" i="1"/>
  <c r="F526" i="1"/>
  <c r="F526" i="1" a="1"/>
  <c r="T525" i="1"/>
  <c r="F525" i="1"/>
  <c r="F525" i="1" a="1"/>
  <c r="T524" i="1"/>
  <c r="F524" i="1"/>
  <c r="F524" i="1" a="1"/>
  <c r="T523" i="1"/>
  <c r="F523" i="1"/>
  <c r="F523" i="1" a="1"/>
  <c r="T522" i="1"/>
  <c r="F522" i="1"/>
  <c r="F522" i="1" a="1"/>
  <c r="T521" i="1"/>
  <c r="F521" i="1"/>
  <c r="F521" i="1" a="1"/>
  <c r="T520" i="1"/>
  <c r="F520" i="1"/>
  <c r="F520" i="1" a="1"/>
  <c r="T519" i="1"/>
  <c r="F519" i="1"/>
  <c r="F519" i="1" a="1"/>
  <c r="T518" i="1"/>
  <c r="F518" i="1"/>
  <c r="F518" i="1" a="1"/>
  <c r="T517" i="1"/>
  <c r="F517" i="1"/>
  <c r="F517" i="1" a="1"/>
  <c r="T516" i="1"/>
  <c r="F516" i="1"/>
  <c r="F516" i="1" a="1"/>
  <c r="T515" i="1"/>
  <c r="F515" i="1"/>
  <c r="F515" i="1" a="1"/>
  <c r="T514" i="1"/>
  <c r="F514" i="1"/>
  <c r="F514" i="1" a="1"/>
  <c r="T513" i="1"/>
  <c r="F513" i="1"/>
  <c r="F513" i="1" a="1"/>
  <c r="T512" i="1"/>
  <c r="F512" i="1"/>
  <c r="F512" i="1" a="1"/>
  <c r="T511" i="1"/>
  <c r="F511" i="1"/>
  <c r="F511" i="1" a="1"/>
  <c r="T510" i="1"/>
  <c r="F510" i="1"/>
  <c r="F510" i="1" a="1"/>
  <c r="T509" i="1"/>
  <c r="F509" i="1"/>
  <c r="F509" i="1" a="1"/>
  <c r="T508" i="1"/>
  <c r="F508" i="1"/>
  <c r="F508" i="1" a="1"/>
  <c r="T507" i="1"/>
  <c r="F507" i="1"/>
  <c r="F507" i="1" a="1"/>
  <c r="T506" i="1"/>
  <c r="F506" i="1"/>
  <c r="F506" i="1" a="1"/>
  <c r="T505" i="1"/>
  <c r="F505" i="1"/>
  <c r="F505" i="1" a="1"/>
  <c r="T504" i="1"/>
  <c r="F504" i="1"/>
  <c r="F504" i="1" a="1"/>
  <c r="T503" i="1"/>
  <c r="F503" i="1"/>
  <c r="F503" i="1" a="1"/>
  <c r="T502" i="1"/>
  <c r="F502" i="1"/>
  <c r="F502" i="1" a="1"/>
  <c r="T501" i="1"/>
  <c r="F501" i="1"/>
  <c r="F501" i="1" a="1"/>
  <c r="T500" i="1"/>
  <c r="F500" i="1"/>
  <c r="F500" i="1" a="1"/>
  <c r="T499" i="1"/>
  <c r="F499" i="1"/>
  <c r="F499" i="1" a="1"/>
  <c r="T498" i="1"/>
  <c r="F498" i="1"/>
  <c r="F498" i="1" a="1"/>
  <c r="T497" i="1"/>
  <c r="F497" i="1"/>
  <c r="F497" i="1" a="1"/>
  <c r="T496" i="1"/>
  <c r="F496" i="1"/>
  <c r="F496" i="1" a="1"/>
  <c r="T495" i="1"/>
  <c r="F495" i="1"/>
  <c r="F495" i="1" a="1"/>
  <c r="T494" i="1"/>
  <c r="F494" i="1"/>
  <c r="F494" i="1" a="1"/>
  <c r="T493" i="1"/>
  <c r="F493" i="1"/>
  <c r="F493" i="1" a="1"/>
  <c r="T492" i="1"/>
  <c r="F492" i="1"/>
  <c r="F492" i="1" a="1"/>
  <c r="T491" i="1"/>
  <c r="F491" i="1"/>
  <c r="F491" i="1" a="1"/>
  <c r="T490" i="1"/>
  <c r="F490" i="1"/>
  <c r="F490" i="1" a="1"/>
  <c r="T489" i="1"/>
  <c r="F489" i="1"/>
  <c r="F489" i="1" a="1"/>
  <c r="T488" i="1"/>
  <c r="F488" i="1"/>
  <c r="F488" i="1" a="1"/>
  <c r="T487" i="1"/>
  <c r="F487" i="1"/>
  <c r="F487" i="1" a="1"/>
  <c r="T486" i="1"/>
  <c r="F486" i="1"/>
  <c r="F486" i="1" a="1"/>
  <c r="T485" i="1"/>
  <c r="F485" i="1"/>
  <c r="F485" i="1" a="1"/>
  <c r="T484" i="1"/>
  <c r="F484" i="1"/>
  <c r="F484" i="1" a="1"/>
  <c r="T483" i="1"/>
  <c r="F483" i="1"/>
  <c r="F483" i="1" a="1"/>
  <c r="T482" i="1"/>
  <c r="F482" i="1"/>
  <c r="F482" i="1" a="1"/>
  <c r="T481" i="1"/>
  <c r="F481" i="1"/>
  <c r="F481" i="1" a="1"/>
  <c r="T480" i="1"/>
  <c r="F480" i="1"/>
  <c r="F480" i="1" a="1"/>
  <c r="T479" i="1"/>
  <c r="F479" i="1"/>
  <c r="F479" i="1" a="1"/>
  <c r="T478" i="1"/>
  <c r="F478" i="1"/>
  <c r="F478" i="1" a="1"/>
  <c r="T477" i="1"/>
  <c r="F477" i="1"/>
  <c r="F477" i="1" a="1"/>
  <c r="T476" i="1"/>
  <c r="F476" i="1"/>
  <c r="F476" i="1" a="1"/>
  <c r="T475" i="1"/>
  <c r="F475" i="1"/>
  <c r="F475" i="1" a="1"/>
  <c r="T474" i="1"/>
  <c r="F474" i="1"/>
  <c r="F474" i="1" a="1"/>
  <c r="T473" i="1"/>
  <c r="F473" i="1"/>
  <c r="F473" i="1" a="1"/>
  <c r="T472" i="1"/>
  <c r="F472" i="1"/>
  <c r="F472" i="1" a="1"/>
  <c r="T471" i="1"/>
  <c r="F471" i="1"/>
  <c r="F471" i="1" a="1"/>
  <c r="T470" i="1"/>
  <c r="F470" i="1"/>
  <c r="F470" i="1" a="1"/>
  <c r="T469" i="1"/>
  <c r="F469" i="1"/>
  <c r="F469" i="1" a="1"/>
  <c r="T468" i="1"/>
  <c r="F468" i="1"/>
  <c r="F468" i="1" a="1"/>
  <c r="T467" i="1"/>
  <c r="F467" i="1"/>
  <c r="F467" i="1" a="1"/>
  <c r="T466" i="1"/>
  <c r="F466" i="1"/>
  <c r="F466" i="1" a="1"/>
  <c r="T465" i="1"/>
  <c r="F465" i="1"/>
  <c r="F465" i="1" a="1"/>
  <c r="T464" i="1"/>
  <c r="F464" i="1"/>
  <c r="F464" i="1" a="1"/>
  <c r="T463" i="1"/>
  <c r="F463" i="1"/>
  <c r="F463" i="1" a="1"/>
  <c r="T462" i="1"/>
  <c r="F462" i="1"/>
  <c r="F462" i="1" a="1"/>
  <c r="T461" i="1"/>
  <c r="F461" i="1"/>
  <c r="F461" i="1" a="1"/>
  <c r="T460" i="1"/>
  <c r="F460" i="1"/>
  <c r="F460" i="1" a="1"/>
  <c r="T459" i="1"/>
  <c r="F459" i="1"/>
  <c r="F459" i="1" a="1"/>
  <c r="T458" i="1"/>
  <c r="F458" i="1"/>
  <c r="F458" i="1" a="1"/>
  <c r="T457" i="1"/>
  <c r="F457" i="1"/>
  <c r="F457" i="1" a="1"/>
  <c r="T456" i="1"/>
  <c r="F456" i="1"/>
  <c r="F456" i="1" a="1"/>
  <c r="T455" i="1"/>
  <c r="F455" i="1"/>
  <c r="F455" i="1" a="1"/>
  <c r="T454" i="1"/>
  <c r="F454" i="1"/>
  <c r="F454" i="1" a="1"/>
  <c r="T453" i="1"/>
  <c r="F453" i="1"/>
  <c r="F453" i="1" a="1"/>
  <c r="T452" i="1"/>
  <c r="F452" i="1"/>
  <c r="F452" i="1" a="1"/>
  <c r="T451" i="1"/>
  <c r="F451" i="1"/>
  <c r="F451" i="1" a="1"/>
  <c r="T450" i="1"/>
  <c r="F450" i="1"/>
  <c r="F450" i="1" a="1"/>
  <c r="T449" i="1"/>
  <c r="F449" i="1"/>
  <c r="F449" i="1" a="1"/>
  <c r="T448" i="1"/>
  <c r="F448" i="1"/>
  <c r="F448" i="1" a="1"/>
  <c r="T447" i="1"/>
  <c r="F447" i="1"/>
  <c r="F447" i="1" a="1"/>
  <c r="T446" i="1"/>
  <c r="F446" i="1"/>
  <c r="F446" i="1" a="1"/>
  <c r="T445" i="1"/>
  <c r="F445" i="1"/>
  <c r="F445" i="1" a="1"/>
  <c r="T444" i="1"/>
  <c r="F444" i="1"/>
  <c r="F444" i="1" a="1"/>
  <c r="T443" i="1"/>
  <c r="F443" i="1"/>
  <c r="F443" i="1" a="1"/>
  <c r="T442" i="1"/>
  <c r="F442" i="1"/>
  <c r="F442" i="1" a="1"/>
  <c r="T441" i="1"/>
  <c r="F441" i="1"/>
  <c r="F441" i="1" a="1"/>
  <c r="T440" i="1"/>
  <c r="F440" i="1"/>
  <c r="F440" i="1" a="1"/>
  <c r="T439" i="1"/>
  <c r="F439" i="1"/>
  <c r="F439" i="1" a="1"/>
  <c r="T438" i="1"/>
  <c r="F438" i="1"/>
  <c r="F438" i="1" a="1"/>
  <c r="T437" i="1"/>
  <c r="F437" i="1"/>
  <c r="F437" i="1" a="1"/>
  <c r="T436" i="1"/>
  <c r="F436" i="1"/>
  <c r="F436" i="1" a="1"/>
  <c r="T435" i="1"/>
  <c r="F435" i="1"/>
  <c r="F435" i="1" a="1"/>
  <c r="T434" i="1"/>
  <c r="F434" i="1"/>
  <c r="F434" i="1" a="1"/>
  <c r="T433" i="1"/>
  <c r="F433" i="1"/>
  <c r="F433" i="1" a="1"/>
  <c r="T432" i="1"/>
  <c r="F432" i="1"/>
  <c r="F432" i="1" a="1"/>
  <c r="T431" i="1"/>
  <c r="F431" i="1"/>
  <c r="F431" i="1" a="1"/>
  <c r="T430" i="1"/>
  <c r="F430" i="1"/>
  <c r="F430" i="1" a="1"/>
  <c r="T429" i="1"/>
  <c r="F429" i="1"/>
  <c r="F429" i="1" a="1"/>
  <c r="T428" i="1"/>
  <c r="F428" i="1"/>
  <c r="F428" i="1" a="1"/>
  <c r="T427" i="1"/>
  <c r="F427" i="1"/>
  <c r="F427" i="1" a="1"/>
  <c r="T426" i="1"/>
  <c r="F426" i="1"/>
  <c r="F426" i="1" a="1"/>
  <c r="T425" i="1"/>
  <c r="F425" i="1"/>
  <c r="F425" i="1" a="1"/>
  <c r="T424" i="1"/>
  <c r="F424" i="1"/>
  <c r="F424" i="1" a="1"/>
  <c r="T423" i="1"/>
  <c r="F423" i="1"/>
  <c r="F423" i="1" a="1"/>
  <c r="T422" i="1"/>
  <c r="F422" i="1"/>
  <c r="F422" i="1" a="1"/>
  <c r="T421" i="1"/>
  <c r="F421" i="1"/>
  <c r="F421" i="1" a="1"/>
  <c r="T420" i="1"/>
  <c r="F420" i="1"/>
  <c r="F420" i="1" a="1"/>
  <c r="T419" i="1"/>
  <c r="F419" i="1"/>
  <c r="F419" i="1" a="1"/>
  <c r="T418" i="1"/>
  <c r="F418" i="1"/>
  <c r="F418" i="1" a="1"/>
  <c r="T417" i="1"/>
  <c r="F417" i="1"/>
  <c r="F417" i="1" a="1"/>
  <c r="T416" i="1"/>
  <c r="F416" i="1"/>
  <c r="F416" i="1" a="1"/>
  <c r="T415" i="1"/>
  <c r="F415" i="1"/>
  <c r="F415" i="1" a="1"/>
  <c r="T414" i="1"/>
  <c r="F414" i="1"/>
  <c r="F414" i="1" a="1"/>
  <c r="T413" i="1"/>
  <c r="F413" i="1"/>
  <c r="F413" i="1" a="1"/>
  <c r="T412" i="1"/>
  <c r="F412" i="1"/>
  <c r="F412" i="1" a="1"/>
  <c r="T411" i="1"/>
  <c r="F411" i="1"/>
  <c r="F411" i="1" a="1"/>
  <c r="T410" i="1"/>
  <c r="F410" i="1"/>
  <c r="F410" i="1" a="1"/>
  <c r="T409" i="1"/>
  <c r="F409" i="1"/>
  <c r="F409" i="1" a="1"/>
  <c r="T408" i="1"/>
  <c r="F408" i="1"/>
  <c r="F408" i="1" a="1"/>
  <c r="T407" i="1"/>
  <c r="F407" i="1"/>
  <c r="F407" i="1" a="1"/>
  <c r="T406" i="1"/>
  <c r="F406" i="1"/>
  <c r="F406" i="1" a="1"/>
  <c r="T405" i="1"/>
  <c r="F405" i="1"/>
  <c r="F405" i="1" a="1"/>
  <c r="T404" i="1"/>
  <c r="F404" i="1"/>
  <c r="F404" i="1" a="1"/>
  <c r="T403" i="1"/>
  <c r="F403" i="1"/>
  <c r="F403" i="1" a="1"/>
  <c r="T402" i="1"/>
  <c r="F402" i="1"/>
  <c r="F402" i="1" a="1"/>
  <c r="T401" i="1"/>
  <c r="F401" i="1"/>
  <c r="F401" i="1" a="1"/>
  <c r="T400" i="1"/>
  <c r="F400" i="1"/>
  <c r="F400" i="1" a="1"/>
  <c r="T399" i="1"/>
  <c r="F399" i="1"/>
  <c r="F399" i="1" a="1"/>
  <c r="T398" i="1"/>
  <c r="F398" i="1"/>
  <c r="F398" i="1" a="1"/>
  <c r="T397" i="1"/>
  <c r="F397" i="1"/>
  <c r="F397" i="1" a="1"/>
  <c r="T396" i="1"/>
  <c r="F396" i="1"/>
  <c r="F396" i="1" a="1"/>
  <c r="T395" i="1"/>
  <c r="F395" i="1"/>
  <c r="F395" i="1" a="1"/>
  <c r="T394" i="1"/>
  <c r="F394" i="1"/>
  <c r="F394" i="1" a="1"/>
  <c r="T393" i="1"/>
  <c r="F393" i="1"/>
  <c r="F393" i="1" a="1"/>
  <c r="T392" i="1"/>
  <c r="F392" i="1"/>
  <c r="F392" i="1" a="1"/>
  <c r="T391" i="1"/>
  <c r="F391" i="1"/>
  <c r="F391" i="1" a="1"/>
  <c r="T390" i="1"/>
  <c r="F390" i="1"/>
  <c r="F390" i="1" a="1"/>
  <c r="T389" i="1"/>
  <c r="F389" i="1"/>
  <c r="F389" i="1" a="1"/>
  <c r="T388" i="1"/>
  <c r="F388" i="1"/>
  <c r="F388" i="1" a="1"/>
  <c r="T387" i="1"/>
  <c r="F387" i="1"/>
  <c r="F387" i="1" a="1"/>
  <c r="T386" i="1"/>
  <c r="F386" i="1"/>
  <c r="F386" i="1" a="1"/>
  <c r="T385" i="1"/>
  <c r="F385" i="1"/>
  <c r="F385" i="1" a="1"/>
  <c r="T384" i="1"/>
  <c r="F384" i="1"/>
  <c r="F384" i="1" a="1"/>
  <c r="T383" i="1"/>
  <c r="F383" i="1"/>
  <c r="F383" i="1" a="1"/>
  <c r="T382" i="1"/>
  <c r="F382" i="1"/>
  <c r="F382" i="1" a="1"/>
  <c r="T381" i="1"/>
  <c r="F381" i="1"/>
  <c r="F381" i="1" a="1"/>
  <c r="T380" i="1"/>
  <c r="F380" i="1"/>
  <c r="F380" i="1" a="1"/>
  <c r="T379" i="1"/>
  <c r="F379" i="1"/>
  <c r="F379" i="1" a="1"/>
  <c r="T378" i="1"/>
  <c r="F378" i="1"/>
  <c r="F378" i="1" a="1"/>
  <c r="T377" i="1"/>
  <c r="F377" i="1"/>
  <c r="F377" i="1" a="1"/>
  <c r="T376" i="1"/>
  <c r="F376" i="1"/>
  <c r="F376" i="1" a="1"/>
  <c r="T375" i="1"/>
  <c r="F375" i="1"/>
  <c r="F375" i="1" a="1"/>
  <c r="T374" i="1"/>
  <c r="F374" i="1"/>
  <c r="F374" i="1" a="1"/>
  <c r="T373" i="1"/>
  <c r="F373" i="1"/>
  <c r="F373" i="1" a="1"/>
  <c r="T372" i="1"/>
  <c r="F372" i="1"/>
  <c r="F372" i="1" a="1"/>
  <c r="T371" i="1"/>
  <c r="F371" i="1"/>
  <c r="F371" i="1" a="1"/>
  <c r="T370" i="1"/>
  <c r="F370" i="1"/>
  <c r="F370" i="1" a="1"/>
  <c r="T369" i="1"/>
  <c r="F369" i="1"/>
  <c r="F369" i="1" a="1"/>
  <c r="T368" i="1"/>
  <c r="F368" i="1"/>
  <c r="F368" i="1" a="1"/>
  <c r="T367" i="1"/>
  <c r="F367" i="1"/>
  <c r="F367" i="1" a="1"/>
  <c r="T366" i="1"/>
  <c r="F366" i="1"/>
  <c r="F366" i="1" a="1"/>
  <c r="T365" i="1"/>
  <c r="F365" i="1"/>
  <c r="F365" i="1" a="1"/>
  <c r="T364" i="1"/>
  <c r="F364" i="1"/>
  <c r="F364" i="1" a="1"/>
  <c r="T363" i="1"/>
  <c r="F363" i="1"/>
  <c r="F363" i="1" a="1"/>
  <c r="T362" i="1"/>
  <c r="F362" i="1"/>
  <c r="F362" i="1" a="1"/>
  <c r="T361" i="1"/>
  <c r="F361" i="1"/>
  <c r="F361" i="1" a="1"/>
  <c r="T360" i="1"/>
  <c r="F360" i="1"/>
  <c r="F360" i="1" a="1"/>
  <c r="T359" i="1"/>
  <c r="F359" i="1"/>
  <c r="F359" i="1" a="1"/>
  <c r="T358" i="1"/>
  <c r="F358" i="1"/>
  <c r="F358" i="1" a="1"/>
  <c r="T357" i="1"/>
  <c r="F357" i="1"/>
  <c r="F357" i="1" a="1"/>
  <c r="T356" i="1"/>
  <c r="F356" i="1"/>
  <c r="F356" i="1" a="1"/>
  <c r="T355" i="1"/>
  <c r="F355" i="1"/>
  <c r="F355" i="1" a="1"/>
  <c r="T354" i="1"/>
  <c r="F354" i="1"/>
  <c r="F354" i="1" a="1"/>
  <c r="T353" i="1"/>
  <c r="F353" i="1"/>
  <c r="F353" i="1" a="1"/>
  <c r="T352" i="1"/>
  <c r="F352" i="1"/>
  <c r="F352" i="1" a="1"/>
  <c r="T351" i="1"/>
  <c r="F351" i="1"/>
  <c r="F351" i="1" a="1"/>
  <c r="T350" i="1"/>
  <c r="F350" i="1"/>
  <c r="F350" i="1" a="1"/>
  <c r="T349" i="1"/>
  <c r="F349" i="1"/>
  <c r="F349" i="1" a="1"/>
  <c r="T348" i="1"/>
  <c r="F348" i="1"/>
  <c r="F348" i="1" a="1"/>
  <c r="T347" i="1"/>
  <c r="F347" i="1"/>
  <c r="F347" i="1" a="1"/>
  <c r="T346" i="1"/>
  <c r="F346" i="1"/>
  <c r="F346" i="1" a="1"/>
  <c r="T345" i="1"/>
  <c r="F345" i="1"/>
  <c r="F345" i="1" a="1"/>
  <c r="T344" i="1"/>
  <c r="F344" i="1"/>
  <c r="F344" i="1" a="1"/>
  <c r="T343" i="1"/>
  <c r="F343" i="1"/>
  <c r="F343" i="1" a="1"/>
  <c r="T342" i="1"/>
  <c r="F342" i="1"/>
  <c r="F342" i="1" a="1"/>
  <c r="T341" i="1"/>
  <c r="F341" i="1"/>
  <c r="F341" i="1" a="1"/>
  <c r="T340" i="1"/>
  <c r="F340" i="1"/>
  <c r="F340" i="1" a="1"/>
  <c r="T339" i="1"/>
  <c r="F339" i="1"/>
  <c r="F339" i="1" a="1"/>
  <c r="T338" i="1"/>
  <c r="F338" i="1"/>
  <c r="F338" i="1" a="1"/>
  <c r="T337" i="1"/>
  <c r="F337" i="1"/>
  <c r="F337" i="1" a="1"/>
  <c r="T336" i="1"/>
  <c r="F336" i="1"/>
  <c r="F336" i="1" a="1"/>
  <c r="T335" i="1"/>
  <c r="F335" i="1"/>
  <c r="F335" i="1" a="1"/>
  <c r="T334" i="1"/>
  <c r="F334" i="1"/>
  <c r="F334" i="1" a="1"/>
  <c r="T333" i="1"/>
  <c r="F333" i="1"/>
  <c r="F333" i="1" a="1"/>
  <c r="T332" i="1"/>
  <c r="F332" i="1"/>
  <c r="F332" i="1" a="1"/>
  <c r="T331" i="1"/>
  <c r="F331" i="1"/>
  <c r="F331" i="1" a="1"/>
  <c r="T330" i="1"/>
  <c r="F330" i="1"/>
  <c r="F330" i="1" a="1"/>
  <c r="T329" i="1"/>
  <c r="F329" i="1"/>
  <c r="F329" i="1" a="1"/>
  <c r="T328" i="1"/>
  <c r="F328" i="1"/>
  <c r="F328" i="1" a="1"/>
  <c r="T327" i="1"/>
  <c r="F327" i="1"/>
  <c r="F327" i="1" a="1"/>
  <c r="T326" i="1"/>
  <c r="F326" i="1"/>
  <c r="F326" i="1" a="1"/>
  <c r="T325" i="1"/>
  <c r="F325" i="1"/>
  <c r="F325" i="1" a="1"/>
  <c r="T324" i="1"/>
  <c r="F324" i="1"/>
  <c r="F324" i="1" a="1"/>
  <c r="T323" i="1"/>
  <c r="F323" i="1"/>
  <c r="F323" i="1" a="1"/>
  <c r="T322" i="1"/>
  <c r="F322" i="1"/>
  <c r="F322" i="1" a="1"/>
  <c r="T321" i="1"/>
  <c r="F321" i="1"/>
  <c r="F321" i="1" a="1"/>
  <c r="T320" i="1"/>
  <c r="F320" i="1"/>
  <c r="F320" i="1" a="1"/>
  <c r="T319" i="1"/>
  <c r="F319" i="1"/>
  <c r="F319" i="1" a="1"/>
  <c r="T318" i="1"/>
  <c r="F318" i="1"/>
  <c r="F318" i="1" a="1"/>
  <c r="T317" i="1"/>
  <c r="F317" i="1"/>
  <c r="F317" i="1" a="1"/>
  <c r="T316" i="1"/>
  <c r="F316" i="1"/>
  <c r="F316" i="1" a="1"/>
  <c r="T315" i="1"/>
  <c r="F315" i="1"/>
  <c r="F315" i="1" a="1"/>
  <c r="T314" i="1"/>
  <c r="F314" i="1"/>
  <c r="F314" i="1" a="1"/>
  <c r="T313" i="1"/>
  <c r="F313" i="1"/>
  <c r="F313" i="1" a="1"/>
  <c r="T312" i="1"/>
  <c r="F312" i="1"/>
  <c r="F312" i="1" a="1"/>
  <c r="T311" i="1"/>
  <c r="F311" i="1"/>
  <c r="F311" i="1" a="1"/>
  <c r="T310" i="1"/>
  <c r="F310" i="1"/>
  <c r="F310" i="1" a="1"/>
  <c r="T309" i="1"/>
  <c r="F309" i="1"/>
  <c r="F309" i="1" a="1"/>
  <c r="T308" i="1"/>
  <c r="F308" i="1"/>
  <c r="F308" i="1" a="1"/>
  <c r="T307" i="1"/>
  <c r="F307" i="1"/>
  <c r="F307" i="1" a="1"/>
  <c r="T306" i="1"/>
  <c r="F306" i="1"/>
  <c r="F306" i="1" a="1"/>
  <c r="T305" i="1"/>
  <c r="F305" i="1"/>
  <c r="F305" i="1" a="1"/>
  <c r="T304" i="1"/>
  <c r="F304" i="1"/>
  <c r="F304" i="1" a="1"/>
  <c r="T303" i="1"/>
  <c r="F303" i="1"/>
  <c r="F303" i="1" a="1"/>
  <c r="T302" i="1"/>
  <c r="F302" i="1"/>
  <c r="F302" i="1" a="1"/>
  <c r="T301" i="1"/>
  <c r="F301" i="1"/>
  <c r="F301" i="1" a="1"/>
  <c r="T300" i="1"/>
  <c r="F300" i="1"/>
  <c r="F300" i="1" a="1"/>
  <c r="T299" i="1"/>
  <c r="F299" i="1"/>
  <c r="F299" i="1" a="1"/>
  <c r="T298" i="1"/>
  <c r="F298" i="1"/>
  <c r="F298" i="1" a="1"/>
  <c r="T297" i="1"/>
  <c r="F297" i="1"/>
  <c r="F297" i="1" a="1"/>
  <c r="T296" i="1"/>
  <c r="F296" i="1"/>
  <c r="F296" i="1" a="1"/>
  <c r="T295" i="1"/>
  <c r="F295" i="1"/>
  <c r="F295" i="1" a="1"/>
  <c r="T294" i="1"/>
  <c r="F294" i="1"/>
  <c r="F294" i="1" a="1"/>
  <c r="T293" i="1"/>
  <c r="F293" i="1"/>
  <c r="F293" i="1" a="1"/>
  <c r="T292" i="1"/>
  <c r="F292" i="1"/>
  <c r="F292" i="1" a="1"/>
  <c r="T291" i="1"/>
  <c r="F291" i="1"/>
  <c r="F291" i="1" a="1"/>
  <c r="T290" i="1"/>
  <c r="F290" i="1"/>
  <c r="F290" i="1" a="1"/>
  <c r="T289" i="1"/>
  <c r="F289" i="1"/>
  <c r="F289" i="1" a="1"/>
  <c r="T288" i="1"/>
  <c r="F288" i="1"/>
  <c r="F288" i="1" a="1"/>
  <c r="T287" i="1"/>
  <c r="F287" i="1"/>
  <c r="F287" i="1" a="1"/>
  <c r="T286" i="1"/>
  <c r="F286" i="1"/>
  <c r="F286" i="1" a="1"/>
  <c r="T285" i="1"/>
  <c r="F285" i="1"/>
  <c r="F285" i="1" a="1"/>
  <c r="T284" i="1"/>
  <c r="F284" i="1"/>
  <c r="F284" i="1" a="1"/>
  <c r="T283" i="1"/>
  <c r="F283" i="1"/>
  <c r="F283" i="1" a="1"/>
  <c r="T282" i="1"/>
  <c r="F282" i="1"/>
  <c r="F282" i="1" a="1"/>
  <c r="T281" i="1"/>
  <c r="F281" i="1"/>
  <c r="F281" i="1" a="1"/>
  <c r="T280" i="1"/>
  <c r="F280" i="1"/>
  <c r="F280" i="1" a="1"/>
  <c r="T279" i="1"/>
  <c r="F279" i="1"/>
  <c r="F279" i="1" a="1"/>
  <c r="T278" i="1"/>
  <c r="F278" i="1"/>
  <c r="F278" i="1" a="1"/>
  <c r="T277" i="1"/>
  <c r="F277" i="1"/>
  <c r="F277" i="1" a="1"/>
  <c r="T276" i="1"/>
  <c r="F276" i="1"/>
  <c r="F276" i="1" a="1"/>
  <c r="T275" i="1"/>
  <c r="F275" i="1"/>
  <c r="F275" i="1" a="1"/>
  <c r="T274" i="1"/>
  <c r="F274" i="1"/>
  <c r="F274" i="1" a="1"/>
  <c r="T273" i="1"/>
  <c r="F273" i="1"/>
  <c r="F273" i="1" a="1"/>
  <c r="T272" i="1"/>
  <c r="F272" i="1"/>
  <c r="F272" i="1" a="1"/>
  <c r="T271" i="1"/>
  <c r="F271" i="1"/>
  <c r="F271" i="1" a="1"/>
  <c r="T270" i="1"/>
  <c r="F270" i="1"/>
  <c r="F270" i="1" a="1"/>
  <c r="T269" i="1"/>
  <c r="F269" i="1"/>
  <c r="F269" i="1" a="1"/>
  <c r="T268" i="1"/>
  <c r="F268" i="1"/>
  <c r="F268" i="1" a="1"/>
  <c r="T267" i="1"/>
  <c r="F267" i="1"/>
  <c r="F267" i="1" a="1"/>
  <c r="T266" i="1"/>
  <c r="F266" i="1"/>
  <c r="F266" i="1" a="1"/>
  <c r="T265" i="1"/>
  <c r="F265" i="1"/>
  <c r="F265" i="1" a="1"/>
  <c r="T264" i="1"/>
  <c r="F264" i="1"/>
  <c r="F264" i="1" a="1"/>
  <c r="T263" i="1"/>
  <c r="F263" i="1"/>
  <c r="F263" i="1" a="1"/>
  <c r="T262" i="1"/>
  <c r="F262" i="1"/>
  <c r="F262" i="1" a="1"/>
  <c r="T261" i="1"/>
  <c r="F261" i="1"/>
  <c r="F261" i="1" a="1"/>
  <c r="T260" i="1"/>
  <c r="F260" i="1"/>
  <c r="F260" i="1" a="1"/>
  <c r="T259" i="1"/>
  <c r="F259" i="1"/>
  <c r="F259" i="1" a="1"/>
  <c r="T258" i="1"/>
  <c r="F258" i="1"/>
  <c r="F258" i="1" a="1"/>
  <c r="T257" i="1"/>
  <c r="F257" i="1"/>
  <c r="F257" i="1" a="1"/>
  <c r="T256" i="1"/>
  <c r="F256" i="1"/>
  <c r="F256" i="1" a="1"/>
  <c r="T255" i="1"/>
  <c r="F255" i="1"/>
  <c r="F255" i="1" a="1"/>
  <c r="T254" i="1"/>
  <c r="F254" i="1"/>
  <c r="F254" i="1" a="1"/>
  <c r="T253" i="1"/>
  <c r="F253" i="1"/>
  <c r="F253" i="1" a="1"/>
  <c r="T252" i="1"/>
  <c r="F252" i="1"/>
  <c r="F252" i="1" a="1"/>
  <c r="T251" i="1"/>
  <c r="F251" i="1"/>
  <c r="F251" i="1" a="1"/>
  <c r="T250" i="1"/>
  <c r="F250" i="1"/>
  <c r="F250" i="1" a="1"/>
  <c r="T249" i="1"/>
  <c r="F249" i="1"/>
  <c r="F249" i="1" a="1"/>
  <c r="T248" i="1"/>
  <c r="F248" i="1"/>
  <c r="F248" i="1" a="1"/>
  <c r="T247" i="1"/>
  <c r="F247" i="1"/>
  <c r="F247" i="1" a="1"/>
  <c r="T246" i="1"/>
  <c r="F246" i="1"/>
  <c r="F246" i="1" a="1"/>
  <c r="T245" i="1"/>
  <c r="F245" i="1"/>
  <c r="F245" i="1" a="1"/>
  <c r="T244" i="1"/>
  <c r="F244" i="1"/>
  <c r="F244" i="1" a="1"/>
  <c r="T243" i="1"/>
  <c r="F243" i="1"/>
  <c r="F243" i="1" a="1"/>
  <c r="T242" i="1"/>
  <c r="F242" i="1"/>
  <c r="F242" i="1" a="1"/>
  <c r="T241" i="1"/>
  <c r="F241" i="1"/>
  <c r="F241" i="1" a="1"/>
  <c r="T240" i="1"/>
  <c r="F240" i="1"/>
  <c r="F240" i="1" a="1"/>
  <c r="T239" i="1"/>
  <c r="F239" i="1"/>
  <c r="F239" i="1" a="1"/>
  <c r="T238" i="1"/>
  <c r="F238" i="1"/>
  <c r="F238" i="1" a="1"/>
  <c r="T237" i="1"/>
  <c r="F237" i="1"/>
  <c r="F237" i="1" a="1"/>
  <c r="T236" i="1"/>
  <c r="F236" i="1"/>
  <c r="F236" i="1" a="1"/>
  <c r="T235" i="1"/>
  <c r="F235" i="1"/>
  <c r="F235" i="1" a="1"/>
  <c r="T234" i="1"/>
  <c r="F234" i="1"/>
  <c r="F234" i="1" a="1"/>
  <c r="T233" i="1"/>
  <c r="F233" i="1"/>
  <c r="F233" i="1" a="1"/>
  <c r="T232" i="1"/>
  <c r="F232" i="1"/>
  <c r="F232" i="1" a="1"/>
  <c r="T231" i="1"/>
  <c r="F231" i="1"/>
  <c r="F231" i="1" a="1"/>
  <c r="T230" i="1"/>
  <c r="F230" i="1"/>
  <c r="F230" i="1" a="1"/>
  <c r="T229" i="1"/>
  <c r="F229" i="1"/>
  <c r="F229" i="1" a="1"/>
  <c r="T228" i="1"/>
  <c r="F228" i="1"/>
  <c r="F228" i="1" a="1"/>
  <c r="T227" i="1"/>
  <c r="F227" i="1"/>
  <c r="F227" i="1" a="1"/>
  <c r="T226" i="1"/>
  <c r="F226" i="1"/>
  <c r="F226" i="1" a="1"/>
  <c r="T225" i="1"/>
  <c r="F225" i="1"/>
  <c r="F225" i="1" a="1"/>
  <c r="T224" i="1"/>
  <c r="F224" i="1"/>
  <c r="F224" i="1" a="1"/>
  <c r="T223" i="1"/>
  <c r="F223" i="1"/>
  <c r="F223" i="1" a="1"/>
  <c r="T222" i="1"/>
  <c r="F222" i="1"/>
  <c r="F222" i="1" a="1"/>
  <c r="T221" i="1"/>
  <c r="F221" i="1"/>
  <c r="F221" i="1" a="1"/>
  <c r="T220" i="1"/>
  <c r="F220" i="1"/>
  <c r="F220" i="1" a="1"/>
  <c r="T219" i="1"/>
  <c r="F219" i="1"/>
  <c r="F219" i="1" a="1"/>
  <c r="T218" i="1"/>
  <c r="F218" i="1"/>
  <c r="F218" i="1" a="1"/>
  <c r="T217" i="1"/>
  <c r="F217" i="1"/>
  <c r="F217" i="1" a="1"/>
  <c r="T216" i="1"/>
  <c r="F216" i="1"/>
  <c r="F216" i="1" a="1"/>
  <c r="T215" i="1"/>
  <c r="F215" i="1"/>
  <c r="F215" i="1" a="1"/>
  <c r="T214" i="1"/>
  <c r="F214" i="1"/>
  <c r="F214" i="1" a="1"/>
  <c r="T213" i="1"/>
  <c r="F213" i="1"/>
  <c r="F213" i="1" a="1"/>
  <c r="T212" i="1"/>
  <c r="F212" i="1"/>
  <c r="F212" i="1" a="1"/>
  <c r="T211" i="1"/>
  <c r="F211" i="1"/>
  <c r="F211" i="1" a="1"/>
  <c r="T210" i="1"/>
  <c r="F210" i="1"/>
  <c r="F210" i="1" a="1"/>
  <c r="T209" i="1"/>
  <c r="F209" i="1"/>
  <c r="F209" i="1" a="1"/>
  <c r="T208" i="1"/>
  <c r="F208" i="1"/>
  <c r="F208" i="1" a="1"/>
  <c r="T207" i="1"/>
  <c r="F207" i="1"/>
  <c r="F207" i="1" a="1"/>
  <c r="T206" i="1"/>
  <c r="F206" i="1"/>
  <c r="F206" i="1" a="1"/>
  <c r="T205" i="1"/>
  <c r="F205" i="1"/>
  <c r="F205" i="1" a="1"/>
  <c r="T204" i="1"/>
  <c r="F204" i="1"/>
  <c r="F204" i="1" a="1"/>
  <c r="T203" i="1"/>
  <c r="F203" i="1"/>
  <c r="F203" i="1" a="1"/>
  <c r="T202" i="1"/>
  <c r="F202" i="1"/>
  <c r="F202" i="1" a="1"/>
  <c r="T201" i="1"/>
  <c r="F201" i="1"/>
  <c r="F201" i="1" a="1"/>
  <c r="T200" i="1"/>
  <c r="F200" i="1"/>
  <c r="F200" i="1" a="1"/>
  <c r="T199" i="1"/>
  <c r="F199" i="1"/>
  <c r="F199" i="1" a="1"/>
  <c r="T198" i="1"/>
  <c r="F198" i="1"/>
  <c r="F198" i="1" a="1"/>
  <c r="T197" i="1"/>
  <c r="F197" i="1"/>
  <c r="F197" i="1" a="1"/>
  <c r="T196" i="1"/>
  <c r="F196" i="1"/>
  <c r="F196" i="1" a="1"/>
  <c r="T195" i="1"/>
  <c r="F195" i="1"/>
  <c r="F195" i="1" a="1"/>
  <c r="T194" i="1"/>
  <c r="F194" i="1"/>
  <c r="F194" i="1" a="1"/>
  <c r="T193" i="1"/>
  <c r="F193" i="1"/>
  <c r="F193" i="1" a="1"/>
  <c r="T192" i="1"/>
  <c r="F192" i="1"/>
  <c r="F192" i="1" a="1"/>
  <c r="T191" i="1"/>
  <c r="F191" i="1"/>
  <c r="F191" i="1" a="1"/>
  <c r="T190" i="1"/>
  <c r="F190" i="1"/>
  <c r="F190" i="1" a="1"/>
  <c r="T189" i="1"/>
  <c r="F189" i="1"/>
  <c r="F189" i="1" a="1"/>
  <c r="T188" i="1"/>
  <c r="F188" i="1"/>
  <c r="F188" i="1" a="1"/>
  <c r="T187" i="1"/>
  <c r="F187" i="1"/>
  <c r="F187" i="1" a="1"/>
  <c r="T186" i="1"/>
  <c r="F186" i="1"/>
  <c r="F186" i="1" a="1"/>
  <c r="T185" i="1"/>
  <c r="F185" i="1"/>
  <c r="F185" i="1" a="1"/>
  <c r="T184" i="1"/>
  <c r="F184" i="1"/>
  <c r="F184" i="1" a="1"/>
  <c r="T183" i="1"/>
  <c r="F183" i="1"/>
  <c r="F183" i="1" a="1"/>
  <c r="T182" i="1"/>
  <c r="F182" i="1"/>
  <c r="F182" i="1" a="1"/>
  <c r="T181" i="1"/>
  <c r="F181" i="1"/>
  <c r="F181" i="1" a="1"/>
  <c r="T180" i="1"/>
  <c r="F180" i="1"/>
  <c r="F180" i="1" a="1"/>
  <c r="T179" i="1"/>
  <c r="F179" i="1"/>
  <c r="F179" i="1" a="1"/>
  <c r="T178" i="1"/>
  <c r="F178" i="1"/>
  <c r="F178" i="1" a="1"/>
  <c r="T177" i="1"/>
  <c r="F177" i="1"/>
  <c r="F177" i="1" a="1"/>
  <c r="T176" i="1"/>
  <c r="F176" i="1"/>
  <c r="F176" i="1" a="1"/>
  <c r="T175" i="1"/>
  <c r="F175" i="1"/>
  <c r="F175" i="1" a="1"/>
  <c r="T174" i="1"/>
  <c r="F174" i="1"/>
  <c r="F174" i="1" a="1"/>
  <c r="T173" i="1"/>
  <c r="F173" i="1"/>
  <c r="F173" i="1" a="1"/>
  <c r="T172" i="1"/>
  <c r="F172" i="1"/>
  <c r="F172" i="1" a="1"/>
  <c r="T171" i="1"/>
  <c r="F171" i="1"/>
  <c r="F171" i="1" a="1"/>
  <c r="T170" i="1"/>
  <c r="F170" i="1"/>
  <c r="F170" i="1" a="1"/>
  <c r="T169" i="1"/>
  <c r="F169" i="1"/>
  <c r="F169" i="1" a="1"/>
  <c r="T168" i="1"/>
  <c r="F168" i="1"/>
  <c r="F168" i="1" a="1"/>
  <c r="T167" i="1"/>
  <c r="F167" i="1"/>
  <c r="F167" i="1" a="1"/>
  <c r="T166" i="1"/>
  <c r="F166" i="1"/>
  <c r="F166" i="1" a="1"/>
  <c r="T165" i="1"/>
  <c r="F165" i="1"/>
  <c r="F165" i="1" a="1"/>
  <c r="T164" i="1"/>
  <c r="F164" i="1"/>
  <c r="F164" i="1" a="1"/>
  <c r="T163" i="1"/>
  <c r="F163" i="1"/>
  <c r="F163" i="1" a="1"/>
  <c r="T162" i="1"/>
  <c r="F162" i="1"/>
  <c r="F162" i="1" a="1"/>
  <c r="T161" i="1"/>
  <c r="F161" i="1"/>
  <c r="F161" i="1" a="1"/>
  <c r="T160" i="1"/>
  <c r="F160" i="1"/>
  <c r="F160" i="1" a="1"/>
  <c r="T159" i="1"/>
  <c r="F159" i="1"/>
  <c r="F159" i="1" a="1"/>
  <c r="T158" i="1"/>
  <c r="F158" i="1"/>
  <c r="F158" i="1" a="1"/>
  <c r="T157" i="1"/>
  <c r="F157" i="1"/>
  <c r="F157" i="1" a="1"/>
  <c r="T156" i="1"/>
  <c r="F156" i="1"/>
  <c r="F156" i="1" a="1"/>
  <c r="T155" i="1"/>
  <c r="F155" i="1"/>
  <c r="F155" i="1" a="1"/>
  <c r="T154" i="1"/>
  <c r="F154" i="1"/>
  <c r="F154" i="1" a="1"/>
  <c r="T153" i="1"/>
  <c r="F153" i="1"/>
  <c r="F153" i="1" a="1"/>
  <c r="T152" i="1"/>
  <c r="F152" i="1"/>
  <c r="F152" i="1" a="1"/>
  <c r="T151" i="1"/>
  <c r="F151" i="1"/>
  <c r="F151" i="1" a="1"/>
  <c r="T150" i="1"/>
  <c r="F150" i="1"/>
  <c r="F150" i="1" a="1"/>
  <c r="T149" i="1"/>
  <c r="F149" i="1"/>
  <c r="F149" i="1" a="1"/>
  <c r="T148" i="1"/>
  <c r="F148" i="1"/>
  <c r="F148" i="1" a="1"/>
  <c r="T147" i="1"/>
  <c r="F147" i="1"/>
  <c r="F147" i="1" a="1"/>
  <c r="T146" i="1"/>
  <c r="F146" i="1"/>
  <c r="F146" i="1" a="1"/>
  <c r="T145" i="1"/>
  <c r="F145" i="1"/>
  <c r="F145" i="1" a="1"/>
  <c r="T144" i="1"/>
  <c r="F144" i="1"/>
  <c r="F144" i="1" a="1"/>
  <c r="T143" i="1"/>
  <c r="F143" i="1"/>
  <c r="F143" i="1" a="1"/>
  <c r="T142" i="1"/>
  <c r="F142" i="1"/>
  <c r="F142" i="1" a="1"/>
  <c r="T141" i="1"/>
  <c r="F141" i="1"/>
  <c r="F141" i="1" a="1"/>
  <c r="T140" i="1"/>
  <c r="F140" i="1"/>
  <c r="F140" i="1" a="1"/>
  <c r="T139" i="1"/>
  <c r="F139" i="1"/>
  <c r="F139" i="1" a="1"/>
  <c r="T138" i="1"/>
  <c r="F138" i="1"/>
  <c r="F138" i="1" a="1"/>
  <c r="T137" i="1"/>
  <c r="F137" i="1"/>
  <c r="F137" i="1" a="1"/>
  <c r="T136" i="1"/>
  <c r="F136" i="1"/>
  <c r="F136" i="1" a="1"/>
  <c r="T135" i="1"/>
  <c r="F135" i="1"/>
  <c r="F135" i="1" a="1"/>
  <c r="T134" i="1"/>
  <c r="F134" i="1"/>
  <c r="F134" i="1" a="1"/>
  <c r="T133" i="1"/>
  <c r="F133" i="1"/>
  <c r="F133" i="1" a="1"/>
  <c r="T132" i="1"/>
  <c r="F132" i="1"/>
  <c r="F132" i="1" a="1"/>
  <c r="T131" i="1"/>
  <c r="F131" i="1"/>
  <c r="F131" i="1" a="1"/>
  <c r="T130" i="1"/>
  <c r="F130" i="1"/>
  <c r="F130" i="1" a="1"/>
  <c r="T129" i="1"/>
  <c r="F129" i="1"/>
  <c r="F129" i="1" a="1"/>
  <c r="T128" i="1"/>
  <c r="F128" i="1"/>
  <c r="F128" i="1" a="1"/>
  <c r="T127" i="1"/>
  <c r="F127" i="1"/>
  <c r="F127" i="1" a="1"/>
  <c r="T126" i="1"/>
  <c r="F126" i="1"/>
  <c r="F126" i="1" a="1"/>
  <c r="T125" i="1"/>
  <c r="F125" i="1"/>
  <c r="F125" i="1" a="1"/>
  <c r="T124" i="1"/>
  <c r="F124" i="1"/>
  <c r="F124" i="1" a="1"/>
  <c r="T123" i="1"/>
  <c r="F123" i="1"/>
  <c r="F123" i="1" a="1"/>
  <c r="T122" i="1"/>
  <c r="F122" i="1"/>
  <c r="F122" i="1" a="1"/>
  <c r="T121" i="1"/>
  <c r="F121" i="1"/>
  <c r="F121" i="1" a="1"/>
  <c r="T120" i="1"/>
  <c r="F120" i="1"/>
  <c r="F120" i="1" a="1"/>
  <c r="T119" i="1"/>
  <c r="F119" i="1"/>
  <c r="F119" i="1" a="1"/>
  <c r="T118" i="1"/>
  <c r="F118" i="1"/>
  <c r="F118" i="1" a="1"/>
  <c r="T117" i="1"/>
  <c r="F117" i="1"/>
  <c r="F117" i="1" a="1"/>
  <c r="T116" i="1"/>
  <c r="F116" i="1"/>
  <c r="F116" i="1" a="1"/>
  <c r="T115" i="1"/>
  <c r="F115" i="1"/>
  <c r="F115" i="1" a="1"/>
  <c r="T114" i="1"/>
  <c r="F114" i="1"/>
  <c r="F114" i="1" a="1"/>
  <c r="T113" i="1"/>
  <c r="F113" i="1"/>
  <c r="F113" i="1" a="1"/>
  <c r="T112" i="1"/>
  <c r="F112" i="1"/>
  <c r="F112" i="1" a="1"/>
  <c r="T111" i="1"/>
  <c r="F111" i="1"/>
  <c r="F111" i="1" a="1"/>
  <c r="T110" i="1"/>
  <c r="F110" i="1"/>
  <c r="F110" i="1" a="1"/>
  <c r="T109" i="1"/>
  <c r="F109" i="1"/>
  <c r="F109" i="1" a="1"/>
  <c r="T108" i="1"/>
  <c r="F108" i="1"/>
  <c r="F108" i="1" a="1"/>
  <c r="T107" i="1"/>
  <c r="F107" i="1"/>
  <c r="F107" i="1" a="1"/>
  <c r="T106" i="1"/>
  <c r="F106" i="1"/>
  <c r="F106" i="1" a="1"/>
  <c r="T105" i="1"/>
  <c r="F105" i="1"/>
  <c r="F105" i="1" a="1"/>
  <c r="T104" i="1"/>
  <c r="F104" i="1"/>
  <c r="F104" i="1" a="1"/>
  <c r="T103" i="1"/>
  <c r="F103" i="1"/>
  <c r="F103" i="1" a="1"/>
  <c r="T102" i="1"/>
  <c r="F102" i="1"/>
  <c r="F102" i="1" a="1"/>
  <c r="T101" i="1"/>
  <c r="F101" i="1"/>
  <c r="F101" i="1" a="1"/>
  <c r="T100" i="1"/>
  <c r="F100" i="1"/>
  <c r="F100" i="1" a="1"/>
  <c r="T99" i="1"/>
  <c r="F99" i="1"/>
  <c r="F99" i="1" a="1"/>
  <c r="T98" i="1"/>
  <c r="F98" i="1"/>
  <c r="F98" i="1" a="1"/>
  <c r="T97" i="1"/>
  <c r="F97" i="1"/>
  <c r="F97" i="1" a="1"/>
  <c r="T96" i="1"/>
  <c r="F96" i="1"/>
  <c r="F96" i="1" a="1"/>
  <c r="T95" i="1"/>
  <c r="F95" i="1"/>
  <c r="F95" i="1" a="1"/>
  <c r="T94" i="1"/>
  <c r="F94" i="1"/>
  <c r="F94" i="1" a="1"/>
  <c r="T93" i="1"/>
  <c r="F93" i="1"/>
  <c r="F93" i="1" a="1"/>
  <c r="T92" i="1"/>
  <c r="F92" i="1"/>
  <c r="F92" i="1" a="1"/>
  <c r="T91" i="1"/>
  <c r="F91" i="1"/>
  <c r="F91" i="1" a="1"/>
  <c r="T90" i="1"/>
  <c r="F90" i="1"/>
  <c r="F90" i="1" a="1"/>
  <c r="T89" i="1"/>
  <c r="F89" i="1"/>
  <c r="F89" i="1" a="1"/>
  <c r="T88" i="1"/>
  <c r="F88" i="1"/>
  <c r="F88" i="1" a="1"/>
  <c r="T87" i="1"/>
  <c r="F87" i="1"/>
  <c r="F87" i="1" a="1"/>
  <c r="T86" i="1"/>
  <c r="F86" i="1"/>
  <c r="F86" i="1" a="1"/>
  <c r="T85" i="1"/>
  <c r="F85" i="1"/>
  <c r="F85" i="1" a="1"/>
  <c r="T84" i="1"/>
  <c r="F84" i="1"/>
  <c r="F84" i="1" a="1"/>
  <c r="T83" i="1"/>
  <c r="F83" i="1"/>
  <c r="F83" i="1" a="1"/>
  <c r="T82" i="1"/>
  <c r="F82" i="1"/>
  <c r="F82" i="1" a="1"/>
  <c r="T81" i="1"/>
  <c r="F81" i="1"/>
  <c r="F81" i="1" a="1"/>
  <c r="T80" i="1"/>
  <c r="F80" i="1"/>
  <c r="F80" i="1" a="1"/>
  <c r="T79" i="1"/>
  <c r="F79" i="1"/>
  <c r="F79" i="1" a="1"/>
  <c r="T78" i="1"/>
  <c r="F78" i="1"/>
  <c r="F78" i="1" a="1"/>
  <c r="T77" i="1"/>
  <c r="F77" i="1"/>
  <c r="F77" i="1" a="1"/>
  <c r="T76" i="1"/>
  <c r="F76" i="1"/>
  <c r="F76" i="1" a="1"/>
  <c r="T75" i="1"/>
  <c r="F75" i="1"/>
  <c r="F75" i="1" a="1"/>
  <c r="T74" i="1"/>
  <c r="F74" i="1"/>
  <c r="F74" i="1" a="1"/>
  <c r="T73" i="1"/>
  <c r="F73" i="1"/>
  <c r="F73" i="1" a="1"/>
  <c r="T72" i="1"/>
  <c r="F72" i="1"/>
  <c r="F72" i="1" a="1"/>
  <c r="T71" i="1"/>
  <c r="F71" i="1"/>
  <c r="F71" i="1" a="1"/>
  <c r="T70" i="1"/>
  <c r="F70" i="1"/>
  <c r="F70" i="1" a="1"/>
  <c r="T69" i="1"/>
  <c r="F69" i="1"/>
  <c r="F69" i="1" a="1"/>
  <c r="T68" i="1"/>
  <c r="F68" i="1"/>
  <c r="F68" i="1" a="1"/>
  <c r="T67" i="1"/>
  <c r="F67" i="1"/>
  <c r="F67" i="1" a="1"/>
  <c r="T66" i="1"/>
  <c r="F66" i="1"/>
  <c r="F66" i="1" a="1"/>
  <c r="T65" i="1"/>
  <c r="F65" i="1"/>
  <c r="F65" i="1" a="1"/>
  <c r="T64" i="1"/>
  <c r="F64" i="1"/>
  <c r="F64" i="1" a="1"/>
  <c r="T63" i="1"/>
  <c r="F63" i="1"/>
  <c r="F63" i="1" a="1"/>
  <c r="T62" i="1"/>
  <c r="F62" i="1"/>
  <c r="F62" i="1" a="1"/>
  <c r="T61" i="1"/>
  <c r="F61" i="1"/>
  <c r="F61" i="1" a="1"/>
  <c r="T60" i="1"/>
  <c r="F60" i="1"/>
  <c r="F60" i="1" a="1"/>
  <c r="T59" i="1"/>
  <c r="F59" i="1"/>
  <c r="F59" i="1" a="1"/>
  <c r="T58" i="1"/>
  <c r="F58" i="1"/>
  <c r="F58" i="1" a="1"/>
  <c r="T57" i="1"/>
  <c r="F57" i="1"/>
  <c r="F57" i="1" a="1"/>
  <c r="T56" i="1"/>
  <c r="F56" i="1"/>
  <c r="F56" i="1" a="1"/>
  <c r="T55" i="1"/>
  <c r="F55" i="1"/>
  <c r="F55" i="1" a="1"/>
  <c r="T54" i="1"/>
  <c r="F54" i="1"/>
  <c r="F54" i="1" a="1"/>
  <c r="T53" i="1"/>
  <c r="F53" i="1"/>
  <c r="F53" i="1" a="1"/>
  <c r="T52" i="1"/>
  <c r="F52" i="1"/>
  <c r="F52" i="1" a="1"/>
  <c r="T51" i="1"/>
  <c r="F51" i="1"/>
  <c r="F51" i="1" a="1"/>
  <c r="T50" i="1"/>
  <c r="F50" i="1"/>
  <c r="F50" i="1" a="1"/>
  <c r="T49" i="1"/>
  <c r="F49" i="1"/>
  <c r="F49" i="1" a="1"/>
  <c r="T48" i="1"/>
  <c r="F48" i="1"/>
  <c r="F48" i="1" a="1"/>
  <c r="T47" i="1"/>
  <c r="F47" i="1"/>
  <c r="F47" i="1" a="1"/>
  <c r="T46" i="1"/>
  <c r="F46" i="1"/>
  <c r="F46" i="1" a="1"/>
  <c r="T45" i="1"/>
  <c r="F45" i="1"/>
  <c r="F45" i="1" a="1"/>
  <c r="T44" i="1"/>
  <c r="F44" i="1"/>
  <c r="F44" i="1" a="1"/>
  <c r="T43" i="1"/>
  <c r="F43" i="1"/>
  <c r="F43" i="1" a="1"/>
  <c r="T42" i="1"/>
  <c r="F42" i="1"/>
  <c r="F42" i="1" a="1"/>
  <c r="T41" i="1"/>
  <c r="F41" i="1"/>
  <c r="F41" i="1" a="1"/>
  <c r="T40" i="1"/>
  <c r="F40" i="1"/>
  <c r="F40" i="1" a="1"/>
  <c r="T39" i="1"/>
  <c r="F39" i="1"/>
  <c r="F39" i="1" a="1"/>
  <c r="T38" i="1"/>
  <c r="F38" i="1"/>
  <c r="F38" i="1" a="1"/>
  <c r="T37" i="1"/>
  <c r="F37" i="1"/>
  <c r="F37" i="1" a="1"/>
  <c r="T36" i="1"/>
  <c r="F36" i="1"/>
  <c r="F36" i="1" a="1"/>
  <c r="T35" i="1"/>
  <c r="F35" i="1"/>
  <c r="F35" i="1" a="1"/>
  <c r="T34" i="1"/>
  <c r="F34" i="1"/>
  <c r="F34" i="1" a="1"/>
  <c r="T33" i="1"/>
  <c r="F33" i="1"/>
  <c r="F33" i="1" a="1"/>
  <c r="T32" i="1"/>
  <c r="F32" i="1"/>
  <c r="F32" i="1" a="1"/>
  <c r="T31" i="1"/>
  <c r="F31" i="1"/>
  <c r="F31" i="1" a="1"/>
  <c r="T30" i="1"/>
  <c r="F30" i="1"/>
  <c r="F30" i="1" a="1"/>
  <c r="T29" i="1"/>
  <c r="F29" i="1"/>
  <c r="F29" i="1" a="1"/>
  <c r="T28" i="1"/>
  <c r="F28" i="1"/>
  <c r="F28" i="1" a="1"/>
  <c r="T27" i="1"/>
  <c r="F27" i="1"/>
  <c r="F27" i="1" a="1"/>
  <c r="T26" i="1"/>
  <c r="F26" i="1"/>
  <c r="F26" i="1" a="1"/>
  <c r="T25" i="1"/>
  <c r="F25" i="1"/>
  <c r="F25" i="1" a="1"/>
  <c r="T24" i="1"/>
  <c r="F24" i="1"/>
  <c r="F24" i="1" a="1"/>
  <c r="T23" i="1"/>
  <c r="F23" i="1"/>
  <c r="F23" i="1" a="1"/>
  <c r="T22" i="1"/>
  <c r="F22" i="1"/>
  <c r="F22" i="1" a="1"/>
  <c r="T21" i="1"/>
  <c r="F21" i="1"/>
  <c r="F21" i="1" a="1"/>
  <c r="T20" i="1"/>
  <c r="F20" i="1"/>
  <c r="F20" i="1" a="1"/>
  <c r="T19" i="1"/>
  <c r="F19" i="1"/>
  <c r="F19" i="1" a="1"/>
  <c r="T18" i="1"/>
  <c r="F18" i="1"/>
  <c r="F18" i="1" a="1"/>
  <c r="T17" i="1"/>
  <c r="F17" i="1"/>
  <c r="F17" i="1" a="1"/>
  <c r="T16" i="1"/>
  <c r="F16" i="1"/>
  <c r="F16" i="1" a="1"/>
  <c r="T15" i="1"/>
  <c r="F15" i="1"/>
  <c r="F15" i="1" a="1"/>
  <c r="T14" i="1"/>
  <c r="F14" i="1"/>
  <c r="F14" i="1" a="1"/>
  <c r="T13" i="1"/>
  <c r="F13" i="1"/>
  <c r="F13" i="1" a="1"/>
  <c r="T12" i="1"/>
  <c r="F12" i="1"/>
  <c r="F12" i="1" a="1"/>
  <c r="T11" i="1"/>
  <c r="F11" i="1"/>
  <c r="F11" i="1" a="1"/>
  <c r="T10" i="1"/>
  <c r="F10" i="1"/>
  <c r="F10" i="1" a="1"/>
  <c r="T9" i="1"/>
  <c r="F9" i="1"/>
  <c r="F9" i="1" a="1"/>
  <c r="T8" i="1"/>
  <c r="F8" i="1"/>
  <c r="F8" i="1" a="1"/>
  <c r="T7" i="1"/>
  <c r="F7" i="1"/>
  <c r="F7" i="1" a="1"/>
  <c r="T6" i="1"/>
  <c r="F6" i="1"/>
  <c r="F6" i="1" a="1"/>
  <c r="T5" i="1"/>
  <c r="F5" i="1"/>
  <c r="F5" i="1" a="1"/>
  <c r="T4" i="1"/>
  <c r="F4" i="1"/>
  <c r="F4" i="1" a="1"/>
  <c r="T3" i="1"/>
  <c r="F3" i="1"/>
  <c r="F3" i="1" a="1"/>
  <c r="T2" i="1"/>
  <c r="F2" i="1"/>
  <c r="F2" i="1" a="1"/>
  <c r="M11" i="2"/>
  <c r="A22" i="2"/>
  <c r="M9"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<sst xmlns="http://schemas.openxmlformats.org/spreadsheetml/2006/main" count="29904" uniqueCount="1429">
  <si>
    <t>OrderID</t>
  </si>
  <si>
    <t>OrderDateTime</t>
  </si>
  <si>
    <t>CustomerID</t>
  </si>
  <si>
    <t>O000001</t>
  </si>
  <si>
    <t>C0079</t>
  </si>
  <si>
    <t>O000002</t>
  </si>
  <si>
    <t>C0063</t>
  </si>
  <si>
    <t>O000003</t>
  </si>
  <si>
    <t>C0038</t>
  </si>
  <si>
    <t>O000004</t>
  </si>
  <si>
    <t>C0089</t>
  </si>
  <si>
    <t>O000005</t>
  </si>
  <si>
    <t>C0126</t>
  </si>
  <si>
    <t>O000006</t>
  </si>
  <si>
    <t>C0119</t>
  </si>
  <si>
    <t>O000007</t>
  </si>
  <si>
    <t>C0162</t>
  </si>
  <si>
    <t>O000008</t>
  </si>
  <si>
    <t>C0114</t>
  </si>
  <si>
    <t>O000009</t>
  </si>
  <si>
    <t>C0083</t>
  </si>
  <si>
    <t>O000010</t>
  </si>
  <si>
    <t>C0037</t>
  </si>
  <si>
    <t>O000011</t>
  </si>
  <si>
    <t>C0165</t>
  </si>
  <si>
    <t>O000012</t>
  </si>
  <si>
    <t>C0053</t>
  </si>
  <si>
    <t>O000013</t>
  </si>
  <si>
    <t>C0032</t>
  </si>
  <si>
    <t>O000014</t>
  </si>
  <si>
    <t>C0125</t>
  </si>
  <si>
    <t>O000015</t>
  </si>
  <si>
    <t>C0143</t>
  </si>
  <si>
    <t>O000016</t>
  </si>
  <si>
    <t>C0129</t>
  </si>
  <si>
    <t>O000017</t>
  </si>
  <si>
    <t>C0087</t>
  </si>
  <si>
    <t>O000018</t>
  </si>
  <si>
    <t>C0139</t>
  </si>
  <si>
    <t>O000019</t>
  </si>
  <si>
    <t>C0069</t>
  </si>
  <si>
    <t>O000020</t>
  </si>
  <si>
    <t>C0169</t>
  </si>
  <si>
    <t>O000021</t>
  </si>
  <si>
    <t>O000022</t>
  </si>
  <si>
    <t>C0159</t>
  </si>
  <si>
    <t>O000023</t>
  </si>
  <si>
    <t>C0102</t>
  </si>
  <si>
    <t>O000024</t>
  </si>
  <si>
    <t>O000025</t>
  </si>
  <si>
    <t>O000026</t>
  </si>
  <si>
    <t>C0120</t>
  </si>
  <si>
    <t>O000027</t>
  </si>
  <si>
    <t>C0048</t>
  </si>
  <si>
    <t>O000028</t>
  </si>
  <si>
    <t>C0107</t>
  </si>
  <si>
    <t>O000029</t>
  </si>
  <si>
    <t>C0180</t>
  </si>
  <si>
    <t>O000030</t>
  </si>
  <si>
    <t>C0148</t>
  </si>
  <si>
    <t>O000031</t>
  </si>
  <si>
    <t>C0075</t>
  </si>
  <si>
    <t>O000032</t>
  </si>
  <si>
    <t>C0092</t>
  </si>
  <si>
    <t>O000033</t>
  </si>
  <si>
    <t>C0035</t>
  </si>
  <si>
    <t>O000034</t>
  </si>
  <si>
    <t>C0021</t>
  </si>
  <si>
    <t>O000035</t>
  </si>
  <si>
    <t>C0043</t>
  </si>
  <si>
    <t>O000036</t>
  </si>
  <si>
    <t>C0099</t>
  </si>
  <si>
    <t>O000037</t>
  </si>
  <si>
    <t>C0024</t>
  </si>
  <si>
    <t>O000038</t>
  </si>
  <si>
    <t>C0005</t>
  </si>
  <si>
    <t>O000039</t>
  </si>
  <si>
    <t>C0074</t>
  </si>
  <si>
    <t>O000040</t>
  </si>
  <si>
    <t>C0006</t>
  </si>
  <si>
    <t>O000041</t>
  </si>
  <si>
    <t>C0101</t>
  </si>
  <si>
    <t>O000042</t>
  </si>
  <si>
    <t>C0135</t>
  </si>
  <si>
    <t>O000043</t>
  </si>
  <si>
    <t>O000044</t>
  </si>
  <si>
    <t>C0055</t>
  </si>
  <si>
    <t>O000045</t>
  </si>
  <si>
    <t>C0152</t>
  </si>
  <si>
    <t>O000046</t>
  </si>
  <si>
    <t>O000047</t>
  </si>
  <si>
    <t>C0133</t>
  </si>
  <si>
    <t>O000048</t>
  </si>
  <si>
    <t>C0100</t>
  </si>
  <si>
    <t>O000049</t>
  </si>
  <si>
    <t>C0130</t>
  </si>
  <si>
    <t>O000050</t>
  </si>
  <si>
    <t>O000051</t>
  </si>
  <si>
    <t>C0145</t>
  </si>
  <si>
    <t>O000052</t>
  </si>
  <si>
    <t>O000053</t>
  </si>
  <si>
    <t>O000054</t>
  </si>
  <si>
    <t>C0070</t>
  </si>
  <si>
    <t>O000055</t>
  </si>
  <si>
    <t>O000056</t>
  </si>
  <si>
    <t>C0097</t>
  </si>
  <si>
    <t>O000057</t>
  </si>
  <si>
    <t>C0096</t>
  </si>
  <si>
    <t>O000058</t>
  </si>
  <si>
    <t>C0166</t>
  </si>
  <si>
    <t>O000059</t>
  </si>
  <si>
    <t>C0077</t>
  </si>
  <si>
    <t>O000060</t>
  </si>
  <si>
    <t>O000061</t>
  </si>
  <si>
    <t>O000062</t>
  </si>
  <si>
    <t>C0052</t>
  </si>
  <si>
    <t>O000063</t>
  </si>
  <si>
    <t>C0086</t>
  </si>
  <si>
    <t>O000064</t>
  </si>
  <si>
    <t>C0020</t>
  </si>
  <si>
    <t>O000065</t>
  </si>
  <si>
    <t>C0146</t>
  </si>
  <si>
    <t>O000066</t>
  </si>
  <si>
    <t>O000067</t>
  </si>
  <si>
    <t>C0002</t>
  </si>
  <si>
    <t>O000068</t>
  </si>
  <si>
    <t>O000069</t>
  </si>
  <si>
    <t>O000070</t>
  </si>
  <si>
    <t>C0081</t>
  </si>
  <si>
    <t>O000071</t>
  </si>
  <si>
    <t>C0104</t>
  </si>
  <si>
    <t>O000072</t>
  </si>
  <si>
    <t>C0062</t>
  </si>
  <si>
    <t>O000073</t>
  </si>
  <si>
    <t>O000074</t>
  </si>
  <si>
    <t>C0098</t>
  </si>
  <si>
    <t>O000075</t>
  </si>
  <si>
    <t>C0003</t>
  </si>
  <si>
    <t>O000076</t>
  </si>
  <si>
    <t>C0103</t>
  </si>
  <si>
    <t>O000077</t>
  </si>
  <si>
    <t>C0067</t>
  </si>
  <si>
    <t>O000078</t>
  </si>
  <si>
    <t>C0095</t>
  </si>
  <si>
    <t>O000079</t>
  </si>
  <si>
    <t>O000080</t>
  </si>
  <si>
    <t>C0132</t>
  </si>
  <si>
    <t>O000081</t>
  </si>
  <si>
    <t>C0134</t>
  </si>
  <si>
    <t>O000082</t>
  </si>
  <si>
    <t>C0116</t>
  </si>
  <si>
    <t>O000083</t>
  </si>
  <si>
    <t>O000084</t>
  </si>
  <si>
    <t>C0106</t>
  </si>
  <si>
    <t>O000085</t>
  </si>
  <si>
    <t>C0150</t>
  </si>
  <si>
    <t>O000086</t>
  </si>
  <si>
    <t>O000087</t>
  </si>
  <si>
    <t>C0091</t>
  </si>
  <si>
    <t>O000088</t>
  </si>
  <si>
    <t>C0157</t>
  </si>
  <si>
    <t>O000089</t>
  </si>
  <si>
    <t>O000090</t>
  </si>
  <si>
    <t>O000091</t>
  </si>
  <si>
    <t>C0158</t>
  </si>
  <si>
    <t>O000092</t>
  </si>
  <si>
    <t>O000093</t>
  </si>
  <si>
    <t>O000094</t>
  </si>
  <si>
    <t>O000095</t>
  </si>
  <si>
    <t>C0128</t>
  </si>
  <si>
    <t>O000096</t>
  </si>
  <si>
    <t>C0123</t>
  </si>
  <si>
    <t>O000097</t>
  </si>
  <si>
    <t>C0015</t>
  </si>
  <si>
    <t>O000098</t>
  </si>
  <si>
    <t>O000099</t>
  </si>
  <si>
    <t>C0179</t>
  </si>
  <si>
    <t>O000100</t>
  </si>
  <si>
    <t>O000101</t>
  </si>
  <si>
    <t>C0012</t>
  </si>
  <si>
    <t>O000102</t>
  </si>
  <si>
    <t>C0013</t>
  </si>
  <si>
    <t>O000103</t>
  </si>
  <si>
    <t>C0072</t>
  </si>
  <si>
    <t>O000104</t>
  </si>
  <si>
    <t>C0050</t>
  </si>
  <si>
    <t>O000105</t>
  </si>
  <si>
    <t>O000106</t>
  </si>
  <si>
    <t>O000107</t>
  </si>
  <si>
    <t>C0090</t>
  </si>
  <si>
    <t>O000108</t>
  </si>
  <si>
    <t>C0025</t>
  </si>
  <si>
    <t>O000109</t>
  </si>
  <si>
    <t>C0017</t>
  </si>
  <si>
    <t>O000110</t>
  </si>
  <si>
    <t>C0073</t>
  </si>
  <si>
    <t>O000111</t>
  </si>
  <si>
    <t>C0058</t>
  </si>
  <si>
    <t>O000112</t>
  </si>
  <si>
    <t>O000113</t>
  </si>
  <si>
    <t>C0044</t>
  </si>
  <si>
    <t>O000114</t>
  </si>
  <si>
    <t>O000115</t>
  </si>
  <si>
    <t>O000116</t>
  </si>
  <si>
    <t>O000117</t>
  </si>
  <si>
    <t>O000118</t>
  </si>
  <si>
    <t>C0078</t>
  </si>
  <si>
    <t>O000119</t>
  </si>
  <si>
    <t>C0138</t>
  </si>
  <si>
    <t>O000120</t>
  </si>
  <si>
    <t>O000121</t>
  </si>
  <si>
    <t>C0117</t>
  </si>
  <si>
    <t>O000122</t>
  </si>
  <si>
    <t>C0111</t>
  </si>
  <si>
    <t>O000123</t>
  </si>
  <si>
    <t>O000124</t>
  </si>
  <si>
    <t>C0173</t>
  </si>
  <si>
    <t>O000125</t>
  </si>
  <si>
    <t>C0010</t>
  </si>
  <si>
    <t>O000126</t>
  </si>
  <si>
    <t>O000127</t>
  </si>
  <si>
    <t>O000128</t>
  </si>
  <si>
    <t>O000129</t>
  </si>
  <si>
    <t>C0064</t>
  </si>
  <si>
    <t>O000130</t>
  </si>
  <si>
    <t>O000131</t>
  </si>
  <si>
    <t>O000132</t>
  </si>
  <si>
    <t>C0027</t>
  </si>
  <si>
    <t>O000133</t>
  </si>
  <si>
    <t>C0082</t>
  </si>
  <si>
    <t>O000134</t>
  </si>
  <si>
    <t>C0028</t>
  </si>
  <si>
    <t>O000135</t>
  </si>
  <si>
    <t>C0007</t>
  </si>
  <si>
    <t>O000136</t>
  </si>
  <si>
    <t>C0088</t>
  </si>
  <si>
    <t>O000137</t>
  </si>
  <si>
    <t>C0136</t>
  </si>
  <si>
    <t>O000138</t>
  </si>
  <si>
    <t>C0109</t>
  </si>
  <si>
    <t>O000139</t>
  </si>
  <si>
    <t>C0164</t>
  </si>
  <si>
    <t>O000140</t>
  </si>
  <si>
    <t>C0061</t>
  </si>
  <si>
    <t>O000141</t>
  </si>
  <si>
    <t>C0071</t>
  </si>
  <si>
    <t>O000142</t>
  </si>
  <si>
    <t>C0036</t>
  </si>
  <si>
    <t>O000143</t>
  </si>
  <si>
    <t>O000144</t>
  </si>
  <si>
    <t>O000145</t>
  </si>
  <si>
    <t>C0108</t>
  </si>
  <si>
    <t>O000146</t>
  </si>
  <si>
    <t>O000147</t>
  </si>
  <si>
    <t>O000148</t>
  </si>
  <si>
    <t>O000149</t>
  </si>
  <si>
    <t>O000150</t>
  </si>
  <si>
    <t>O000151</t>
  </si>
  <si>
    <t>O000152</t>
  </si>
  <si>
    <t>C0001</t>
  </si>
  <si>
    <t>O000153</t>
  </si>
  <si>
    <t>O000154</t>
  </si>
  <si>
    <t>C0051</t>
  </si>
  <si>
    <t>O000155</t>
  </si>
  <si>
    <t>C0040</t>
  </si>
  <si>
    <t>O000156</t>
  </si>
  <si>
    <t>O000157</t>
  </si>
  <si>
    <t>C0042</t>
  </si>
  <si>
    <t>O000158</t>
  </si>
  <si>
    <t>C0033</t>
  </si>
  <si>
    <t>O000159</t>
  </si>
  <si>
    <t>C0057</t>
  </si>
  <si>
    <t>O000160</t>
  </si>
  <si>
    <t>C0046</t>
  </si>
  <si>
    <t>O000161</t>
  </si>
  <si>
    <t>C0054</t>
  </si>
  <si>
    <t>O000162</t>
  </si>
  <si>
    <t>O000163</t>
  </si>
  <si>
    <t>C0176</t>
  </si>
  <si>
    <t>O000164</t>
  </si>
  <si>
    <t>O000165</t>
  </si>
  <si>
    <t>O000166</t>
  </si>
  <si>
    <t>O000167</t>
  </si>
  <si>
    <t>C0047</t>
  </si>
  <si>
    <t>O000168</t>
  </si>
  <si>
    <t>O000169</t>
  </si>
  <si>
    <t>O000170</t>
  </si>
  <si>
    <t>O000171</t>
  </si>
  <si>
    <t>C0127</t>
  </si>
  <si>
    <t>O000172</t>
  </si>
  <si>
    <t>C0041</t>
  </si>
  <si>
    <t>O000173</t>
  </si>
  <si>
    <t>O000174</t>
  </si>
  <si>
    <t>O000175</t>
  </si>
  <si>
    <t>O000176</t>
  </si>
  <si>
    <t>O000177</t>
  </si>
  <si>
    <t>C0080</t>
  </si>
  <si>
    <t>O000178</t>
  </si>
  <si>
    <t>O000179</t>
  </si>
  <si>
    <t>O000180</t>
  </si>
  <si>
    <t>C0112</t>
  </si>
  <si>
    <t>O000181</t>
  </si>
  <si>
    <t>O000182</t>
  </si>
  <si>
    <t>O000183</t>
  </si>
  <si>
    <t>C0172</t>
  </si>
  <si>
    <t>O000184</t>
  </si>
  <si>
    <t>O000185</t>
  </si>
  <si>
    <t>O000186</t>
  </si>
  <si>
    <t>O000187</t>
  </si>
  <si>
    <t>O000188</t>
  </si>
  <si>
    <t>O000189</t>
  </si>
  <si>
    <t>O000190</t>
  </si>
  <si>
    <t>O000191</t>
  </si>
  <si>
    <t>C0167</t>
  </si>
  <si>
    <t>O000192</t>
  </si>
  <si>
    <t>O000193</t>
  </si>
  <si>
    <t>C0022</t>
  </si>
  <si>
    <t>O000194</t>
  </si>
  <si>
    <t>C0084</t>
  </si>
  <si>
    <t>O000195</t>
  </si>
  <si>
    <t>C0113</t>
  </si>
  <si>
    <t>O000196</t>
  </si>
  <si>
    <t>O000197</t>
  </si>
  <si>
    <t>O000198</t>
  </si>
  <si>
    <t>O000199</t>
  </si>
  <si>
    <t>C0065</t>
  </si>
  <si>
    <t>O000200</t>
  </si>
  <si>
    <t>O000201</t>
  </si>
  <si>
    <t>C0060</t>
  </si>
  <si>
    <t>O000202</t>
  </si>
  <si>
    <t>C0031</t>
  </si>
  <si>
    <t>O000203</t>
  </si>
  <si>
    <t>O000204</t>
  </si>
  <si>
    <t>O000205</t>
  </si>
  <si>
    <t>O000206</t>
  </si>
  <si>
    <t>O000207</t>
  </si>
  <si>
    <t>O000208</t>
  </si>
  <si>
    <t>O000209</t>
  </si>
  <si>
    <t>O000210</t>
  </si>
  <si>
    <t>C0115</t>
  </si>
  <si>
    <t>O000211</t>
  </si>
  <si>
    <t>C0008</t>
  </si>
  <si>
    <t>O000212</t>
  </si>
  <si>
    <t>C0174</t>
  </si>
  <si>
    <t>O000213</t>
  </si>
  <si>
    <t>O000214</t>
  </si>
  <si>
    <t>C0144</t>
  </si>
  <si>
    <t>O000215</t>
  </si>
  <si>
    <t>O000216</t>
  </si>
  <si>
    <t>O000217</t>
  </si>
  <si>
    <t>O000218</t>
  </si>
  <si>
    <t>O000219</t>
  </si>
  <si>
    <t>O000220</t>
  </si>
  <si>
    <t>O000221</t>
  </si>
  <si>
    <t>C0118</t>
  </si>
  <si>
    <t>O000222</t>
  </si>
  <si>
    <t>O000223</t>
  </si>
  <si>
    <t>O000224</t>
  </si>
  <si>
    <t>O000225</t>
  </si>
  <si>
    <t>O000226</t>
  </si>
  <si>
    <t>O000227</t>
  </si>
  <si>
    <t>O000228</t>
  </si>
  <si>
    <t>C0131</t>
  </si>
  <si>
    <t>O000229</t>
  </si>
  <si>
    <t>O000230</t>
  </si>
  <si>
    <t>O000231</t>
  </si>
  <si>
    <t>C0045</t>
  </si>
  <si>
    <t>O000232</t>
  </si>
  <si>
    <t>C0019</t>
  </si>
  <si>
    <t>O000233</t>
  </si>
  <si>
    <t>O000234</t>
  </si>
  <si>
    <t>O000235</t>
  </si>
  <si>
    <t>O000236</t>
  </si>
  <si>
    <t>O000237</t>
  </si>
  <si>
    <t>C0124</t>
  </si>
  <si>
    <t>O000238</t>
  </si>
  <si>
    <t>O000239</t>
  </si>
  <si>
    <t>O000240</t>
  </si>
  <si>
    <t>C0147</t>
  </si>
  <si>
    <t>O000241</t>
  </si>
  <si>
    <t>O000242</t>
  </si>
  <si>
    <t>O000243</t>
  </si>
  <si>
    <t>C0160</t>
  </si>
  <si>
    <t>O000244</t>
  </si>
  <si>
    <t>O000245</t>
  </si>
  <si>
    <t>C0171</t>
  </si>
  <si>
    <t>O000246</t>
  </si>
  <si>
    <t>C0151</t>
  </si>
  <si>
    <t>O000247</t>
  </si>
  <si>
    <t>O000248</t>
  </si>
  <si>
    <t>O000249</t>
  </si>
  <si>
    <t>O000250</t>
  </si>
  <si>
    <t>C0009</t>
  </si>
  <si>
    <t>O000251</t>
  </si>
  <si>
    <t>C0178</t>
  </si>
  <si>
    <t>O000252</t>
  </si>
  <si>
    <t>C0105</t>
  </si>
  <si>
    <t>O000253</t>
  </si>
  <si>
    <t>O000254</t>
  </si>
  <si>
    <t>O000255</t>
  </si>
  <si>
    <t>O000256</t>
  </si>
  <si>
    <t>O000257</t>
  </si>
  <si>
    <t>O000258</t>
  </si>
  <si>
    <t>O000259</t>
  </si>
  <si>
    <t>O000260</t>
  </si>
  <si>
    <t>O000261</t>
  </si>
  <si>
    <t>O000262</t>
  </si>
  <si>
    <t>C0026</t>
  </si>
  <si>
    <t>O000263</t>
  </si>
  <si>
    <t>O000264</t>
  </si>
  <si>
    <t>C0004</t>
  </si>
  <si>
    <t>O000265</t>
  </si>
  <si>
    <t>O000266</t>
  </si>
  <si>
    <t>O000267</t>
  </si>
  <si>
    <t>O000268</t>
  </si>
  <si>
    <t>O000269</t>
  </si>
  <si>
    <t>O000270</t>
  </si>
  <si>
    <t>O000271</t>
  </si>
  <si>
    <t>O000272</t>
  </si>
  <si>
    <t>C0137</t>
  </si>
  <si>
    <t>O000273</t>
  </si>
  <si>
    <t>C0018</t>
  </si>
  <si>
    <t>O000274</t>
  </si>
  <si>
    <t>O000275</t>
  </si>
  <si>
    <t>O000276</t>
  </si>
  <si>
    <t>O000277</t>
  </si>
  <si>
    <t>O000278</t>
  </si>
  <si>
    <t>O000279</t>
  </si>
  <si>
    <t>O000280</t>
  </si>
  <si>
    <t>O000281</t>
  </si>
  <si>
    <t>O000282</t>
  </si>
  <si>
    <t>O000283</t>
  </si>
  <si>
    <t>O000284</t>
  </si>
  <si>
    <t>O000285</t>
  </si>
  <si>
    <t>O000286</t>
  </si>
  <si>
    <t>O000287</t>
  </si>
  <si>
    <t>O000288</t>
  </si>
  <si>
    <t>O000289</t>
  </si>
  <si>
    <t>O000290</t>
  </si>
  <si>
    <t>O000291</t>
  </si>
  <si>
    <t>O000292</t>
  </si>
  <si>
    <t>O000293</t>
  </si>
  <si>
    <t>O000294</t>
  </si>
  <si>
    <t>O000295</t>
  </si>
  <si>
    <t>C0023</t>
  </si>
  <si>
    <t>O000296</t>
  </si>
  <si>
    <t>O000297</t>
  </si>
  <si>
    <t>O000298</t>
  </si>
  <si>
    <t>O000299</t>
  </si>
  <si>
    <t>O000300</t>
  </si>
  <si>
    <t>O000301</t>
  </si>
  <si>
    <t>O000302</t>
  </si>
  <si>
    <t>O000303</t>
  </si>
  <si>
    <t>O000304</t>
  </si>
  <si>
    <t>O000305</t>
  </si>
  <si>
    <t>O000306</t>
  </si>
  <si>
    <t>O000307</t>
  </si>
  <si>
    <t>C0153</t>
  </si>
  <si>
    <t>O000308</t>
  </si>
  <si>
    <t>O000309</t>
  </si>
  <si>
    <t>C0049</t>
  </si>
  <si>
    <t>O000310</t>
  </si>
  <si>
    <t>C0011</t>
  </si>
  <si>
    <t>O000311</t>
  </si>
  <si>
    <t>O000312</t>
  </si>
  <si>
    <t>O000313</t>
  </si>
  <si>
    <t>O000314</t>
  </si>
  <si>
    <t>O000315</t>
  </si>
  <si>
    <t>O000316</t>
  </si>
  <si>
    <t>C0121</t>
  </si>
  <si>
    <t>O000317</t>
  </si>
  <si>
    <t>O000318</t>
  </si>
  <si>
    <t>O000319</t>
  </si>
  <si>
    <t>O000320</t>
  </si>
  <si>
    <t>O000321</t>
  </si>
  <si>
    <t>O000322</t>
  </si>
  <si>
    <t>O000323</t>
  </si>
  <si>
    <t>O000324</t>
  </si>
  <si>
    <t>O000325</t>
  </si>
  <si>
    <t>O000326</t>
  </si>
  <si>
    <t>O000327</t>
  </si>
  <si>
    <t>O000328</t>
  </si>
  <si>
    <t>O000329</t>
  </si>
  <si>
    <t>O000330</t>
  </si>
  <si>
    <t>O000331</t>
  </si>
  <si>
    <t>O000332</t>
  </si>
  <si>
    <t>O000333</t>
  </si>
  <si>
    <t>O000334</t>
  </si>
  <si>
    <t>O000335</t>
  </si>
  <si>
    <t>O000336</t>
  </si>
  <si>
    <t>O000337</t>
  </si>
  <si>
    <t>C0155</t>
  </si>
  <si>
    <t>O000338</t>
  </si>
  <si>
    <t>O000339</t>
  </si>
  <si>
    <t>C0085</t>
  </si>
  <si>
    <t>O000340</t>
  </si>
  <si>
    <t>O000341</t>
  </si>
  <si>
    <t>O000342</t>
  </si>
  <si>
    <t>C0168</t>
  </si>
  <si>
    <t>O000343</t>
  </si>
  <si>
    <t>O000344</t>
  </si>
  <si>
    <t>O000345</t>
  </si>
  <si>
    <t>O000346</t>
  </si>
  <si>
    <t>O000347</t>
  </si>
  <si>
    <t>O000348</t>
  </si>
  <si>
    <t>C0056</t>
  </si>
  <si>
    <t>O000349</t>
  </si>
  <si>
    <t>O000350</t>
  </si>
  <si>
    <t>O000351</t>
  </si>
  <si>
    <t>O000352</t>
  </si>
  <si>
    <t>C0122</t>
  </si>
  <si>
    <t>O000353</t>
  </si>
  <si>
    <t>O000354</t>
  </si>
  <si>
    <t>O000355</t>
  </si>
  <si>
    <t>O000356</t>
  </si>
  <si>
    <t>O000357</t>
  </si>
  <si>
    <t>O000358</t>
  </si>
  <si>
    <t>O000359</t>
  </si>
  <si>
    <t>O000360</t>
  </si>
  <si>
    <t>C0142</t>
  </si>
  <si>
    <t>O000361</t>
  </si>
  <si>
    <t>C0110</t>
  </si>
  <si>
    <t>O000362</t>
  </si>
  <si>
    <t>O000363</t>
  </si>
  <si>
    <t>C0066</t>
  </si>
  <si>
    <t>O000364</t>
  </si>
  <si>
    <t>O000365</t>
  </si>
  <si>
    <t>O000366</t>
  </si>
  <si>
    <t>O000367</t>
  </si>
  <si>
    <t>O000368</t>
  </si>
  <si>
    <t>O000369</t>
  </si>
  <si>
    <t>O000370</t>
  </si>
  <si>
    <t>O000371</t>
  </si>
  <si>
    <t>O000372</t>
  </si>
  <si>
    <t>O000373</t>
  </si>
  <si>
    <t>O000374</t>
  </si>
  <si>
    <t>O000375</t>
  </si>
  <si>
    <t>C0016</t>
  </si>
  <si>
    <t>O000376</t>
  </si>
  <si>
    <t>O000377</t>
  </si>
  <si>
    <t>O000378</t>
  </si>
  <si>
    <t>O000379</t>
  </si>
  <si>
    <t>O000380</t>
  </si>
  <si>
    <t>O000381</t>
  </si>
  <si>
    <t>O000382</t>
  </si>
  <si>
    <t>C0094</t>
  </si>
  <si>
    <t>O000383</t>
  </si>
  <si>
    <t>O000384</t>
  </si>
  <si>
    <t>O000385</t>
  </si>
  <si>
    <t>O000386</t>
  </si>
  <si>
    <t>O000387</t>
  </si>
  <si>
    <t>C0068</t>
  </si>
  <si>
    <t>O000388</t>
  </si>
  <si>
    <t>O000389</t>
  </si>
  <si>
    <t>O000390</t>
  </si>
  <si>
    <t>O000391</t>
  </si>
  <si>
    <t>O000392</t>
  </si>
  <si>
    <t>O000393</t>
  </si>
  <si>
    <t>O000394</t>
  </si>
  <si>
    <t>O000395</t>
  </si>
  <si>
    <t>O000396</t>
  </si>
  <si>
    <t>O000397</t>
  </si>
  <si>
    <t>O000398</t>
  </si>
  <si>
    <t>O000399</t>
  </si>
  <si>
    <t>O000400</t>
  </si>
  <si>
    <t>O000401</t>
  </si>
  <si>
    <t>O000402</t>
  </si>
  <si>
    <t>O000403</t>
  </si>
  <si>
    <t>O000404</t>
  </si>
  <si>
    <t>O000405</t>
  </si>
  <si>
    <t>O000406</t>
  </si>
  <si>
    <t>C0030</t>
  </si>
  <si>
    <t>O000407</t>
  </si>
  <si>
    <t>O000408</t>
  </si>
  <si>
    <t>O000409</t>
  </si>
  <si>
    <t>O000410</t>
  </si>
  <si>
    <t>O000411</t>
  </si>
  <si>
    <t>O000412</t>
  </si>
  <si>
    <t>O000413</t>
  </si>
  <si>
    <t>O000414</t>
  </si>
  <si>
    <t>O000415</t>
  </si>
  <si>
    <t>O000416</t>
  </si>
  <si>
    <t>O000417</t>
  </si>
  <si>
    <t>O000418</t>
  </si>
  <si>
    <t>O000419</t>
  </si>
  <si>
    <t>O000420</t>
  </si>
  <si>
    <t>O000421</t>
  </si>
  <si>
    <t>O000422</t>
  </si>
  <si>
    <t>O000423</t>
  </si>
  <si>
    <t>O000424</t>
  </si>
  <si>
    <t>O000425</t>
  </si>
  <si>
    <t>O000426</t>
  </si>
  <si>
    <t>O000427</t>
  </si>
  <si>
    <t>O000428</t>
  </si>
  <si>
    <t>O000429</t>
  </si>
  <si>
    <t>O000430</t>
  </si>
  <si>
    <t>O000431</t>
  </si>
  <si>
    <t>O000432</t>
  </si>
  <si>
    <t>O000433</t>
  </si>
  <si>
    <t>O000434</t>
  </si>
  <si>
    <t>O000435</t>
  </si>
  <si>
    <t>O000436</t>
  </si>
  <si>
    <t>O000437</t>
  </si>
  <si>
    <t>C0177</t>
  </si>
  <si>
    <t>O000438</t>
  </si>
  <si>
    <t>O000439</t>
  </si>
  <si>
    <t>O000440</t>
  </si>
  <si>
    <t>O000441</t>
  </si>
  <si>
    <t>O000442</t>
  </si>
  <si>
    <t>O000443</t>
  </si>
  <si>
    <t>C0059</t>
  </si>
  <si>
    <t>O000444</t>
  </si>
  <si>
    <t>O000445</t>
  </si>
  <si>
    <t>O000446</t>
  </si>
  <si>
    <t>C0170</t>
  </si>
  <si>
    <t>O000447</t>
  </si>
  <si>
    <t>O000448</t>
  </si>
  <si>
    <t>O000449</t>
  </si>
  <si>
    <t>O000450</t>
  </si>
  <si>
    <t>O000451</t>
  </si>
  <si>
    <t>O000452</t>
  </si>
  <si>
    <t>O000453</t>
  </si>
  <si>
    <t>O000454</t>
  </si>
  <si>
    <t>O000455</t>
  </si>
  <si>
    <t>O000456</t>
  </si>
  <si>
    <t>O000457</t>
  </si>
  <si>
    <t>O000458</t>
  </si>
  <si>
    <t>C0154</t>
  </si>
  <si>
    <t>O000459</t>
  </si>
  <si>
    <t>C0093</t>
  </si>
  <si>
    <t>O000460</t>
  </si>
  <si>
    <t>O000461</t>
  </si>
  <si>
    <t>O000462</t>
  </si>
  <si>
    <t>O000463</t>
  </si>
  <si>
    <t>O000464</t>
  </si>
  <si>
    <t>O000465</t>
  </si>
  <si>
    <t>O000466</t>
  </si>
  <si>
    <t>O000467</t>
  </si>
  <si>
    <t>O000468</t>
  </si>
  <si>
    <t>O000469</t>
  </si>
  <si>
    <t>O000470</t>
  </si>
  <si>
    <t>O000471</t>
  </si>
  <si>
    <t>O000472</t>
  </si>
  <si>
    <t>O000473</t>
  </si>
  <si>
    <t>O000474</t>
  </si>
  <si>
    <t>O000475</t>
  </si>
  <si>
    <t>O000476</t>
  </si>
  <si>
    <t>O000477</t>
  </si>
  <si>
    <t>O000478</t>
  </si>
  <si>
    <t>O000479</t>
  </si>
  <si>
    <t>O000480</t>
  </si>
  <si>
    <t>O000481</t>
  </si>
  <si>
    <t>O000482</t>
  </si>
  <si>
    <t>O000483</t>
  </si>
  <si>
    <t>O000484</t>
  </si>
  <si>
    <t>O000485</t>
  </si>
  <si>
    <t>O000486</t>
  </si>
  <si>
    <t>O000487</t>
  </si>
  <si>
    <t>O000488</t>
  </si>
  <si>
    <t>O000489</t>
  </si>
  <si>
    <t>O000490</t>
  </si>
  <si>
    <t>O000491</t>
  </si>
  <si>
    <t>O000492</t>
  </si>
  <si>
    <t>O000493</t>
  </si>
  <si>
    <t>O000494</t>
  </si>
  <si>
    <t>O000495</t>
  </si>
  <si>
    <t>O000496</t>
  </si>
  <si>
    <t>O000497</t>
  </si>
  <si>
    <t>O000498</t>
  </si>
  <si>
    <t>C0076</t>
  </si>
  <si>
    <t>O000499</t>
  </si>
  <si>
    <t>O000500</t>
  </si>
  <si>
    <t>O000501</t>
  </si>
  <si>
    <t>O000502</t>
  </si>
  <si>
    <t>O000503</t>
  </si>
  <si>
    <t>O000504</t>
  </si>
  <si>
    <t>O000505</t>
  </si>
  <si>
    <t>O000506</t>
  </si>
  <si>
    <t>O000507</t>
  </si>
  <si>
    <t>O000508</t>
  </si>
  <si>
    <t>O000509</t>
  </si>
  <si>
    <t>O000510</t>
  </si>
  <si>
    <t>O000511</t>
  </si>
  <si>
    <t>C0141</t>
  </si>
  <si>
    <t>O000512</t>
  </si>
  <si>
    <t>O000513</t>
  </si>
  <si>
    <t>O000514</t>
  </si>
  <si>
    <t>O000515</t>
  </si>
  <si>
    <t>O000516</t>
  </si>
  <si>
    <t>O000517</t>
  </si>
  <si>
    <t>O000518</t>
  </si>
  <si>
    <t>O000519</t>
  </si>
  <si>
    <t>O000520</t>
  </si>
  <si>
    <t>O000521</t>
  </si>
  <si>
    <t>O000522</t>
  </si>
  <si>
    <t>O000523</t>
  </si>
  <si>
    <t>O000524</t>
  </si>
  <si>
    <t>O000525</t>
  </si>
  <si>
    <t>O000526</t>
  </si>
  <si>
    <t>C0156</t>
  </si>
  <si>
    <t>O000527</t>
  </si>
  <si>
    <t>O000528</t>
  </si>
  <si>
    <t>O000529</t>
  </si>
  <si>
    <t>O000530</t>
  </si>
  <si>
    <t>O000531</t>
  </si>
  <si>
    <t>O000532</t>
  </si>
  <si>
    <t>O000533</t>
  </si>
  <si>
    <t>O000534</t>
  </si>
  <si>
    <t>O000535</t>
  </si>
  <si>
    <t>O000536</t>
  </si>
  <si>
    <t>O000537</t>
  </si>
  <si>
    <t>O000538</t>
  </si>
  <si>
    <t>C0034</t>
  </si>
  <si>
    <t>O000539</t>
  </si>
  <si>
    <t>O000540</t>
  </si>
  <si>
    <t>O000541</t>
  </si>
  <si>
    <t>O000542</t>
  </si>
  <si>
    <t>O000543</t>
  </si>
  <si>
    <t>O000544</t>
  </si>
  <si>
    <t>O000545</t>
  </si>
  <si>
    <t>O000546</t>
  </si>
  <si>
    <t>O000547</t>
  </si>
  <si>
    <t>O000548</t>
  </si>
  <si>
    <t>O000549</t>
  </si>
  <si>
    <t>O000550</t>
  </si>
  <si>
    <t>O000551</t>
  </si>
  <si>
    <t>O000552</t>
  </si>
  <si>
    <t>C0163</t>
  </si>
  <si>
    <t>O000553</t>
  </si>
  <si>
    <t>O000554</t>
  </si>
  <si>
    <t>O000555</t>
  </si>
  <si>
    <t>O000556</t>
  </si>
  <si>
    <t>O000557</t>
  </si>
  <si>
    <t>O000558</t>
  </si>
  <si>
    <t>O000559</t>
  </si>
  <si>
    <t>O000560</t>
  </si>
  <si>
    <t>O000561</t>
  </si>
  <si>
    <t>O000562</t>
  </si>
  <si>
    <t>O000563</t>
  </si>
  <si>
    <t>O000564</t>
  </si>
  <si>
    <t>O000565</t>
  </si>
  <si>
    <t>O000566</t>
  </si>
  <si>
    <t>O000567</t>
  </si>
  <si>
    <t>O000568</t>
  </si>
  <si>
    <t>O000569</t>
  </si>
  <si>
    <t>O000570</t>
  </si>
  <si>
    <t>O000571</t>
  </si>
  <si>
    <t>O000572</t>
  </si>
  <si>
    <t>O000573</t>
  </si>
  <si>
    <t>O000574</t>
  </si>
  <si>
    <t>O000575</t>
  </si>
  <si>
    <t>O000576</t>
  </si>
  <si>
    <t>O000577</t>
  </si>
  <si>
    <t>O000578</t>
  </si>
  <si>
    <t>O000579</t>
  </si>
  <si>
    <t>O000580</t>
  </si>
  <si>
    <t>O000581</t>
  </si>
  <si>
    <t>O000582</t>
  </si>
  <si>
    <t>O000583</t>
  </si>
  <si>
    <t>O000584</t>
  </si>
  <si>
    <t>O000585</t>
  </si>
  <si>
    <t>O000586</t>
  </si>
  <si>
    <t>O000587</t>
  </si>
  <si>
    <t>O000588</t>
  </si>
  <si>
    <t>O000589</t>
  </si>
  <si>
    <t>O000590</t>
  </si>
  <si>
    <t>O000591</t>
  </si>
  <si>
    <t>O000592</t>
  </si>
  <si>
    <t>C0039</t>
  </si>
  <si>
    <t>O000593</t>
  </si>
  <si>
    <t>O000594</t>
  </si>
  <si>
    <t>O000595</t>
  </si>
  <si>
    <t>O000596</t>
  </si>
  <si>
    <t>O000597</t>
  </si>
  <si>
    <t>O000598</t>
  </si>
  <si>
    <t>O000599</t>
  </si>
  <si>
    <t>O000600</t>
  </si>
  <si>
    <t>O000601</t>
  </si>
  <si>
    <t>O000602</t>
  </si>
  <si>
    <t>O000603</t>
  </si>
  <si>
    <t>O000604</t>
  </si>
  <si>
    <t>C0014</t>
  </si>
  <si>
    <t>O000605</t>
  </si>
  <si>
    <t>O000606</t>
  </si>
  <si>
    <t>O000607</t>
  </si>
  <si>
    <t>O000608</t>
  </si>
  <si>
    <t>O000609</t>
  </si>
  <si>
    <t>O000610</t>
  </si>
  <si>
    <t>O000611</t>
  </si>
  <si>
    <t>O000612</t>
  </si>
  <si>
    <t>O000613</t>
  </si>
  <si>
    <t>O000614</t>
  </si>
  <si>
    <t>O000615</t>
  </si>
  <si>
    <t>O000616</t>
  </si>
  <si>
    <t>O000617</t>
  </si>
  <si>
    <t>O000618</t>
  </si>
  <si>
    <t>O000619</t>
  </si>
  <si>
    <t>O000620</t>
  </si>
  <si>
    <t>O000621</t>
  </si>
  <si>
    <t>O000622</t>
  </si>
  <si>
    <t>O000623</t>
  </si>
  <si>
    <t>O000624</t>
  </si>
  <si>
    <t>O000625</t>
  </si>
  <si>
    <t>O000626</t>
  </si>
  <si>
    <t>O000627</t>
  </si>
  <si>
    <t>O000628</t>
  </si>
  <si>
    <t>O000629</t>
  </si>
  <si>
    <t>O000630</t>
  </si>
  <si>
    <t>O000631</t>
  </si>
  <si>
    <t>O000632</t>
  </si>
  <si>
    <t>O000633</t>
  </si>
  <si>
    <t>O000634</t>
  </si>
  <si>
    <t>O000635</t>
  </si>
  <si>
    <t>O000636</t>
  </si>
  <si>
    <t>O000637</t>
  </si>
  <si>
    <t>O000638</t>
  </si>
  <si>
    <t>O000639</t>
  </si>
  <si>
    <t>O000640</t>
  </si>
  <si>
    <t>O000641</t>
  </si>
  <si>
    <t>O000642</t>
  </si>
  <si>
    <t>O000643</t>
  </si>
  <si>
    <t>O000644</t>
  </si>
  <si>
    <t>O000645</t>
  </si>
  <si>
    <t>O000646</t>
  </si>
  <si>
    <t>O000647</t>
  </si>
  <si>
    <t>O000648</t>
  </si>
  <si>
    <t>O000649</t>
  </si>
  <si>
    <t>O000650</t>
  </si>
  <si>
    <t>O000651</t>
  </si>
  <si>
    <t>O000652</t>
  </si>
  <si>
    <t>O000653</t>
  </si>
  <si>
    <t>O000654</t>
  </si>
  <si>
    <t>O000655</t>
  </si>
  <si>
    <t>O000656</t>
  </si>
  <si>
    <t>O000657</t>
  </si>
  <si>
    <t>O000658</t>
  </si>
  <si>
    <t>O000659</t>
  </si>
  <si>
    <t>O000660</t>
  </si>
  <si>
    <t>O000661</t>
  </si>
  <si>
    <t>O000662</t>
  </si>
  <si>
    <t>O000663</t>
  </si>
  <si>
    <t>O000664</t>
  </si>
  <si>
    <t>O000665</t>
  </si>
  <si>
    <t>O000666</t>
  </si>
  <si>
    <t>O000667</t>
  </si>
  <si>
    <t>O000668</t>
  </si>
  <si>
    <t>O000669</t>
  </si>
  <si>
    <t>O000670</t>
  </si>
  <si>
    <t>O000671</t>
  </si>
  <si>
    <t>O000672</t>
  </si>
  <si>
    <t>O000673</t>
  </si>
  <si>
    <t>O000674</t>
  </si>
  <si>
    <t>O000675</t>
  </si>
  <si>
    <t>O000676</t>
  </si>
  <si>
    <t>O000677</t>
  </si>
  <si>
    <t>O000678</t>
  </si>
  <si>
    <t>O000679</t>
  </si>
  <si>
    <t>O000680</t>
  </si>
  <si>
    <t>C0029</t>
  </si>
  <si>
    <t>O000681</t>
  </si>
  <si>
    <t>O000682</t>
  </si>
  <si>
    <t>O000683</t>
  </si>
  <si>
    <t>O000684</t>
  </si>
  <si>
    <t>O000685</t>
  </si>
  <si>
    <t>O000686</t>
  </si>
  <si>
    <t>O000687</t>
  </si>
  <si>
    <t>O000688</t>
  </si>
  <si>
    <t>O000689</t>
  </si>
  <si>
    <t>O000690</t>
  </si>
  <si>
    <t>C0161</t>
  </si>
  <si>
    <t>O000691</t>
  </si>
  <si>
    <t>O000692</t>
  </si>
  <si>
    <t>O000693</t>
  </si>
  <si>
    <t>O000694</t>
  </si>
  <si>
    <t>O000695</t>
  </si>
  <si>
    <t>O000696</t>
  </si>
  <si>
    <t>O000697</t>
  </si>
  <si>
    <t>O000698</t>
  </si>
  <si>
    <t>O000699</t>
  </si>
  <si>
    <t>O000700</t>
  </si>
  <si>
    <t>O000701</t>
  </si>
  <si>
    <t>O000702</t>
  </si>
  <si>
    <t>O000703</t>
  </si>
  <si>
    <t>O000704</t>
  </si>
  <si>
    <t>O000705</t>
  </si>
  <si>
    <t>O000706</t>
  </si>
  <si>
    <t>O000707</t>
  </si>
  <si>
    <t>O000708</t>
  </si>
  <si>
    <t>O000709</t>
  </si>
  <si>
    <t>O000710</t>
  </si>
  <si>
    <t>O000711</t>
  </si>
  <si>
    <t>O000712</t>
  </si>
  <si>
    <t>O000713</t>
  </si>
  <si>
    <t>O000714</t>
  </si>
  <si>
    <t>O000715</t>
  </si>
  <si>
    <t>O000716</t>
  </si>
  <si>
    <t>O000717</t>
  </si>
  <si>
    <t>O000718</t>
  </si>
  <si>
    <t>O000719</t>
  </si>
  <si>
    <t>O000720</t>
  </si>
  <si>
    <t>O000721</t>
  </si>
  <si>
    <t>O000722</t>
  </si>
  <si>
    <t>O000723</t>
  </si>
  <si>
    <t>O000724</t>
  </si>
  <si>
    <t>O000725</t>
  </si>
  <si>
    <t>O000726</t>
  </si>
  <si>
    <t>O000727</t>
  </si>
  <si>
    <t>O000728</t>
  </si>
  <si>
    <t>O000729</t>
  </si>
  <si>
    <t>O000730</t>
  </si>
  <si>
    <t>O000731</t>
  </si>
  <si>
    <t>O000732</t>
  </si>
  <si>
    <t>O000733</t>
  </si>
  <si>
    <t>O000734</t>
  </si>
  <si>
    <t>O000735</t>
  </si>
  <si>
    <t>O000736</t>
  </si>
  <si>
    <t>O000737</t>
  </si>
  <si>
    <t>O000738</t>
  </si>
  <si>
    <t>O000739</t>
  </si>
  <si>
    <t>O000740</t>
  </si>
  <si>
    <t>O000741</t>
  </si>
  <si>
    <t>O000742</t>
  </si>
  <si>
    <t>O000743</t>
  </si>
  <si>
    <t>O000744</t>
  </si>
  <si>
    <t>O000745</t>
  </si>
  <si>
    <t>O000746</t>
  </si>
  <si>
    <t>O000747</t>
  </si>
  <si>
    <t>O000748</t>
  </si>
  <si>
    <t>O000749</t>
  </si>
  <si>
    <t>O000750</t>
  </si>
  <si>
    <t>O000751</t>
  </si>
  <si>
    <t>O000752</t>
  </si>
  <si>
    <t>O000753</t>
  </si>
  <si>
    <t>O000754</t>
  </si>
  <si>
    <t>O000755</t>
  </si>
  <si>
    <t>O000756</t>
  </si>
  <si>
    <t>O000757</t>
  </si>
  <si>
    <t>O000758</t>
  </si>
  <si>
    <t>O000759</t>
  </si>
  <si>
    <t>O000760</t>
  </si>
  <si>
    <t>O000761</t>
  </si>
  <si>
    <t>O000762</t>
  </si>
  <si>
    <t>O000763</t>
  </si>
  <si>
    <t>O000764</t>
  </si>
  <si>
    <t>O000765</t>
  </si>
  <si>
    <t>O000766</t>
  </si>
  <si>
    <t>C0175</t>
  </si>
  <si>
    <t>O000767</t>
  </si>
  <si>
    <t>O000768</t>
  </si>
  <si>
    <t>O000769</t>
  </si>
  <si>
    <t>O000770</t>
  </si>
  <si>
    <t>O000771</t>
  </si>
  <si>
    <t>O000772</t>
  </si>
  <si>
    <t>O000773</t>
  </si>
  <si>
    <t>O000774</t>
  </si>
  <si>
    <t>O000775</t>
  </si>
  <si>
    <t>O000776</t>
  </si>
  <si>
    <t>O000777</t>
  </si>
  <si>
    <t>O000778</t>
  </si>
  <si>
    <t>O000779</t>
  </si>
  <si>
    <t>O000780</t>
  </si>
  <si>
    <t>O000781</t>
  </si>
  <si>
    <t>O000782</t>
  </si>
  <si>
    <t>O000783</t>
  </si>
  <si>
    <t>O000784</t>
  </si>
  <si>
    <t>O000785</t>
  </si>
  <si>
    <t>O000786</t>
  </si>
  <si>
    <t>O000787</t>
  </si>
  <si>
    <t>O000788</t>
  </si>
  <si>
    <t>O000789</t>
  </si>
  <si>
    <t>O000790</t>
  </si>
  <si>
    <t>O000791</t>
  </si>
  <si>
    <t>O000792</t>
  </si>
  <si>
    <t>O000793</t>
  </si>
  <si>
    <t>O000794</t>
  </si>
  <si>
    <t>O000795</t>
  </si>
  <si>
    <t>O000796</t>
  </si>
  <si>
    <t>O000797</t>
  </si>
  <si>
    <t>O000798</t>
  </si>
  <si>
    <t>O000799</t>
  </si>
  <si>
    <t>O000800</t>
  </si>
  <si>
    <t>O000801</t>
  </si>
  <si>
    <t>O000802</t>
  </si>
  <si>
    <t>O000803</t>
  </si>
  <si>
    <t>O000804</t>
  </si>
  <si>
    <t>O000805</t>
  </si>
  <si>
    <t>O000806</t>
  </si>
  <si>
    <t>O000807</t>
  </si>
  <si>
    <t>O000808</t>
  </si>
  <si>
    <t>O000809</t>
  </si>
  <si>
    <t>O000810</t>
  </si>
  <si>
    <t>O000811</t>
  </si>
  <si>
    <t>O000812</t>
  </si>
  <si>
    <t>O000813</t>
  </si>
  <si>
    <t>O000814</t>
  </si>
  <si>
    <t>O000815</t>
  </si>
  <si>
    <t>O000816</t>
  </si>
  <si>
    <t>O000817</t>
  </si>
  <si>
    <t>O000818</t>
  </si>
  <si>
    <t>O000819</t>
  </si>
  <si>
    <t>O000820</t>
  </si>
  <si>
    <t>O000821</t>
  </si>
  <si>
    <t>O000822</t>
  </si>
  <si>
    <t>O000823</t>
  </si>
  <si>
    <t>O000824</t>
  </si>
  <si>
    <t>O000825</t>
  </si>
  <si>
    <t>O000826</t>
  </si>
  <si>
    <t>O000827</t>
  </si>
  <si>
    <t>O000828</t>
  </si>
  <si>
    <t>O000829</t>
  </si>
  <si>
    <t>O000830</t>
  </si>
  <si>
    <t>O000831</t>
  </si>
  <si>
    <t>O000832</t>
  </si>
  <si>
    <t>O000833</t>
  </si>
  <si>
    <t>O000834</t>
  </si>
  <si>
    <t>O000835</t>
  </si>
  <si>
    <t>O000836</t>
  </si>
  <si>
    <t>O000837</t>
  </si>
  <si>
    <t>O000838</t>
  </si>
  <si>
    <t>O000839</t>
  </si>
  <si>
    <t>O000840</t>
  </si>
  <si>
    <t>O000841</t>
  </si>
  <si>
    <t>O000842</t>
  </si>
  <si>
    <t>O000843</t>
  </si>
  <si>
    <t>O000844</t>
  </si>
  <si>
    <t>O000845</t>
  </si>
  <si>
    <t>O000846</t>
  </si>
  <si>
    <t>O000847</t>
  </si>
  <si>
    <t>O000848</t>
  </si>
  <si>
    <t>O000849</t>
  </si>
  <si>
    <t>O000850</t>
  </si>
  <si>
    <t>O000851</t>
  </si>
  <si>
    <t>O000852</t>
  </si>
  <si>
    <t>O000853</t>
  </si>
  <si>
    <t>O000854</t>
  </si>
  <si>
    <t>O000855</t>
  </si>
  <si>
    <t>O000856</t>
  </si>
  <si>
    <t>O000857</t>
  </si>
  <si>
    <t>O000858</t>
  </si>
  <si>
    <t>O000859</t>
  </si>
  <si>
    <t>C0149</t>
  </si>
  <si>
    <t>O000860</t>
  </si>
  <si>
    <t>O000861</t>
  </si>
  <si>
    <t>O000862</t>
  </si>
  <si>
    <t>O000863</t>
  </si>
  <si>
    <t>O000864</t>
  </si>
  <si>
    <t>O000865</t>
  </si>
  <si>
    <t>O000866</t>
  </si>
  <si>
    <t>O000867</t>
  </si>
  <si>
    <t>O000868</t>
  </si>
  <si>
    <t>O000869</t>
  </si>
  <si>
    <t>O000870</t>
  </si>
  <si>
    <t>O000871</t>
  </si>
  <si>
    <t>O000872</t>
  </si>
  <si>
    <t>O000873</t>
  </si>
  <si>
    <t>O000874</t>
  </si>
  <si>
    <t>O000875</t>
  </si>
  <si>
    <t>O000876</t>
  </si>
  <si>
    <t>O000877</t>
  </si>
  <si>
    <t>O000878</t>
  </si>
  <si>
    <t>O000879</t>
  </si>
  <si>
    <t>O000880</t>
  </si>
  <si>
    <t>O000881</t>
  </si>
  <si>
    <t>O000882</t>
  </si>
  <si>
    <t>O000883</t>
  </si>
  <si>
    <t>O000884</t>
  </si>
  <si>
    <t>O000885</t>
  </si>
  <si>
    <t>O000886</t>
  </si>
  <si>
    <t>O000887</t>
  </si>
  <si>
    <t>O000888</t>
  </si>
  <si>
    <t>O000889</t>
  </si>
  <si>
    <t>O000890</t>
  </si>
  <si>
    <t>O000891</t>
  </si>
  <si>
    <t>O000892</t>
  </si>
  <si>
    <t>O000893</t>
  </si>
  <si>
    <t>O000894</t>
  </si>
  <si>
    <t>O000895</t>
  </si>
  <si>
    <t>O000896</t>
  </si>
  <si>
    <t>O000897</t>
  </si>
  <si>
    <t>O000898</t>
  </si>
  <si>
    <t>O000899</t>
  </si>
  <si>
    <t>O000900</t>
  </si>
  <si>
    <t>O000901</t>
  </si>
  <si>
    <t>O000902</t>
  </si>
  <si>
    <t>O000903</t>
  </si>
  <si>
    <t>O000904</t>
  </si>
  <si>
    <t>O000905</t>
  </si>
  <si>
    <t>O000906</t>
  </si>
  <si>
    <t>O000907</t>
  </si>
  <si>
    <t>O000908</t>
  </si>
  <si>
    <t>O000909</t>
  </si>
  <si>
    <t>O000910</t>
  </si>
  <si>
    <t>O000911</t>
  </si>
  <si>
    <t>O000912</t>
  </si>
  <si>
    <t>O000913</t>
  </si>
  <si>
    <t>O000914</t>
  </si>
  <si>
    <t>O000915</t>
  </si>
  <si>
    <t>O000916</t>
  </si>
  <si>
    <t>O000917</t>
  </si>
  <si>
    <t>O000918</t>
  </si>
  <si>
    <t>O000919</t>
  </si>
  <si>
    <t>O000920</t>
  </si>
  <si>
    <t>O000921</t>
  </si>
  <si>
    <t>O000922</t>
  </si>
  <si>
    <t>O000923</t>
  </si>
  <si>
    <t>O000924</t>
  </si>
  <si>
    <t>O000925</t>
  </si>
  <si>
    <t>O000926</t>
  </si>
  <si>
    <t>O000927</t>
  </si>
  <si>
    <t>O000928</t>
  </si>
  <si>
    <t>O000929</t>
  </si>
  <si>
    <t>O000930</t>
  </si>
  <si>
    <t>O000931</t>
  </si>
  <si>
    <t>O000932</t>
  </si>
  <si>
    <t>O000933</t>
  </si>
  <si>
    <t>O000934</t>
  </si>
  <si>
    <t>O000935</t>
  </si>
  <si>
    <t>O000936</t>
  </si>
  <si>
    <t>O000937</t>
  </si>
  <si>
    <t>O000938</t>
  </si>
  <si>
    <t>O000939</t>
  </si>
  <si>
    <t>O000940</t>
  </si>
  <si>
    <t>O000941</t>
  </si>
  <si>
    <t>O000942</t>
  </si>
  <si>
    <t>O000943</t>
  </si>
  <si>
    <t>O000944</t>
  </si>
  <si>
    <t>O000945</t>
  </si>
  <si>
    <t>O000946</t>
  </si>
  <si>
    <t>O000947</t>
  </si>
  <si>
    <t>O000948</t>
  </si>
  <si>
    <t>O000949</t>
  </si>
  <si>
    <t>O000950</t>
  </si>
  <si>
    <t>Region</t>
  </si>
  <si>
    <t>City</t>
  </si>
  <si>
    <t>SalesChannel</t>
  </si>
  <si>
    <t>Category</t>
  </si>
  <si>
    <t>SubCategory</t>
  </si>
  <si>
    <t>ProductID</t>
  </si>
  <si>
    <t>ProductName</t>
  </si>
  <si>
    <t>Quantity</t>
  </si>
  <si>
    <t>UnitPrice</t>
  </si>
  <si>
    <t>East</t>
  </si>
  <si>
    <t>Kolkata</t>
  </si>
  <si>
    <t>Online</t>
  </si>
  <si>
    <t>Home</t>
  </si>
  <si>
    <t>Air Purifier</t>
  </si>
  <si>
    <t>P0037</t>
  </si>
  <si>
    <t>Air Purifier Model 1</t>
  </si>
  <si>
    <t>North</t>
  </si>
  <si>
    <t>Lucknow</t>
  </si>
  <si>
    <t>Retail Store</t>
  </si>
  <si>
    <t>P0038</t>
  </si>
  <si>
    <t>Air Purifier Model 2</t>
  </si>
  <si>
    <t>Central</t>
  </si>
  <si>
    <t>Nagpur</t>
  </si>
  <si>
    <t>P0039</t>
  </si>
  <si>
    <t>Air Purifier Model 3</t>
  </si>
  <si>
    <t>West</t>
  </si>
  <si>
    <t>Surat</t>
  </si>
  <si>
    <t>Cookware</t>
  </si>
  <si>
    <t>P0042</t>
  </si>
  <si>
    <t>Cookware Model 3</t>
  </si>
  <si>
    <t>Indore</t>
  </si>
  <si>
    <t>Grocery</t>
  </si>
  <si>
    <t>Snacks</t>
  </si>
  <si>
    <t>P0055</t>
  </si>
  <si>
    <t>Snacks Model 1</t>
  </si>
  <si>
    <t>Electronics</t>
  </si>
  <si>
    <t>Smartphone</t>
  </si>
  <si>
    <t>P0003</t>
  </si>
  <si>
    <t>Smartphone Model 3</t>
  </si>
  <si>
    <t>Chandigarh</t>
  </si>
  <si>
    <t>Sports</t>
  </si>
  <si>
    <t>Tennis Racket</t>
  </si>
  <si>
    <t>P0072</t>
  </si>
  <si>
    <t>Tennis Racket Model 3</t>
  </si>
  <si>
    <t>Raipur</t>
  </si>
  <si>
    <t>Clothing</t>
  </si>
  <si>
    <t>Dress</t>
  </si>
  <si>
    <t>P0027</t>
  </si>
  <si>
    <t>Dress Model 3</t>
  </si>
  <si>
    <t>Ahmedabad</t>
  </si>
  <si>
    <t>South</t>
  </si>
  <si>
    <t>Hyderabad</t>
  </si>
  <si>
    <t>Oil</t>
  </si>
  <si>
    <t>P0052</t>
  </si>
  <si>
    <t>Oil Model 1</t>
  </si>
  <si>
    <t>Marketplace</t>
  </si>
  <si>
    <t>Dumbbells</t>
  </si>
  <si>
    <t>P0075</t>
  </si>
  <si>
    <t>Dumbbells Model 3</t>
  </si>
  <si>
    <t>Bhopal</t>
  </si>
  <si>
    <t>Jacket</t>
  </si>
  <si>
    <t>P0024</t>
  </si>
  <si>
    <t>Jacket Model 3</t>
  </si>
  <si>
    <t>Hoodie</t>
  </si>
  <si>
    <t>P0030</t>
  </si>
  <si>
    <t>Hoodie Model 3</t>
  </si>
  <si>
    <t>Yoga Mat</t>
  </si>
  <si>
    <t>P0067</t>
  </si>
  <si>
    <t>Yoga Mat Model 1</t>
  </si>
  <si>
    <t>Mumbai</t>
  </si>
  <si>
    <t>P0028</t>
  </si>
  <si>
    <t>Hoodie Model 1</t>
  </si>
  <si>
    <t>Cricket Bat</t>
  </si>
  <si>
    <t>P0061</t>
  </si>
  <si>
    <t>Cricket Bat Model 1</t>
  </si>
  <si>
    <t>Chennai</t>
  </si>
  <si>
    <t>Headphones</t>
  </si>
  <si>
    <t>P0008</t>
  </si>
  <si>
    <t>Headphones Model 2</t>
  </si>
  <si>
    <t>Laptop</t>
  </si>
  <si>
    <t>P0004</t>
  </si>
  <si>
    <t>Laptop Model 1</t>
  </si>
  <si>
    <t>Vacuum</t>
  </si>
  <si>
    <t>P0036</t>
  </si>
  <si>
    <t>Vacuum Model 3</t>
  </si>
  <si>
    <t>Delhi</t>
  </si>
  <si>
    <t>P0029</t>
  </si>
  <si>
    <t>Hoodie Model 2</t>
  </si>
  <si>
    <t>P0025</t>
  </si>
  <si>
    <t>Dress Model 1</t>
  </si>
  <si>
    <t>P0070</t>
  </si>
  <si>
    <t>Tennis Racket Model 1</t>
  </si>
  <si>
    <t>Rice</t>
  </si>
  <si>
    <t>P0048</t>
  </si>
  <si>
    <t>Rice Model 3</t>
  </si>
  <si>
    <t>Patna</t>
  </si>
  <si>
    <t>Distributor</t>
  </si>
  <si>
    <t>Football</t>
  </si>
  <si>
    <t>P0064</t>
  </si>
  <si>
    <t>Football Model 1</t>
  </si>
  <si>
    <t>P0073</t>
  </si>
  <si>
    <t>Dumbbells Model 1</t>
  </si>
  <si>
    <t>P0063</t>
  </si>
  <si>
    <t>Cricket Bat Model 3</t>
  </si>
  <si>
    <t>T-Shirt</t>
  </si>
  <si>
    <t>P0017</t>
  </si>
  <si>
    <t>T-Shirt Model 2</t>
  </si>
  <si>
    <t>Bhubaneswar</t>
  </si>
  <si>
    <t>Beverage</t>
  </si>
  <si>
    <t>P0059</t>
  </si>
  <si>
    <t>Beverage Model 2</t>
  </si>
  <si>
    <t>P0046</t>
  </si>
  <si>
    <t>Rice Model 1</t>
  </si>
  <si>
    <t>P0053</t>
  </si>
  <si>
    <t>Oil Model 2</t>
  </si>
  <si>
    <t>P0058</t>
  </si>
  <si>
    <t>Beverage Model 1</t>
  </si>
  <si>
    <t>Pune</t>
  </si>
  <si>
    <t>P0069</t>
  </si>
  <si>
    <t>Yoga Mat Model 3</t>
  </si>
  <si>
    <t>P0035</t>
  </si>
  <si>
    <t>Vacuum Model 2</t>
  </si>
  <si>
    <t>P0018</t>
  </si>
  <si>
    <t>T-Shirt Model 3</t>
  </si>
  <si>
    <t>Bengaluru</t>
  </si>
  <si>
    <t>Kochi</t>
  </si>
  <si>
    <t>P0074</t>
  </si>
  <si>
    <t>Dumbbells Model 2</t>
  </si>
  <si>
    <t>P0054</t>
  </si>
  <si>
    <t>Oil Model 3</t>
  </si>
  <si>
    <t>Jaipur</t>
  </si>
  <si>
    <t>Camera</t>
  </si>
  <si>
    <t>P0014</t>
  </si>
  <si>
    <t>Camera Model 2</t>
  </si>
  <si>
    <t>Pulses</t>
  </si>
  <si>
    <t>P0051</t>
  </si>
  <si>
    <t>Pulses Model 3</t>
  </si>
  <si>
    <t>Lamp</t>
  </si>
  <si>
    <t>P0045</t>
  </si>
  <si>
    <t>Lamp Model 3</t>
  </si>
  <si>
    <t>P0040</t>
  </si>
  <si>
    <t>Cookware Model 1</t>
  </si>
  <si>
    <t>P0015</t>
  </si>
  <si>
    <t>Camera Model 3</t>
  </si>
  <si>
    <t>Mixer</t>
  </si>
  <si>
    <t>P0032</t>
  </si>
  <si>
    <t>Mixer Model 2</t>
  </si>
  <si>
    <t>P0006</t>
  </si>
  <si>
    <t>Laptop Model 3</t>
  </si>
  <si>
    <t>P0060</t>
  </si>
  <si>
    <t>Beverage Model 3</t>
  </si>
  <si>
    <t>P0022</t>
  </si>
  <si>
    <t>Jacket Model 1</t>
  </si>
  <si>
    <t>Guwahati</t>
  </si>
  <si>
    <t>P0033</t>
  </si>
  <si>
    <t>Mixer Model 3</t>
  </si>
  <si>
    <t>Smartwatch</t>
  </si>
  <si>
    <t>P0012</t>
  </si>
  <si>
    <t>Smartwatch Model 3</t>
  </si>
  <si>
    <t>P0007</t>
  </si>
  <si>
    <t>Headphones Model 1</t>
  </si>
  <si>
    <t>P0010</t>
  </si>
  <si>
    <t>Smartwatch Model 1</t>
  </si>
  <si>
    <t>P0065</t>
  </si>
  <si>
    <t>Football Model 2</t>
  </si>
  <si>
    <t>P0062</t>
  </si>
  <si>
    <t>Cricket Bat Model 2</t>
  </si>
  <si>
    <t>P0005</t>
  </si>
  <si>
    <t>Laptop Model 2</t>
  </si>
  <si>
    <t>P0044</t>
  </si>
  <si>
    <t>Lamp Model 2</t>
  </si>
  <si>
    <t>P0068</t>
  </si>
  <si>
    <t>Yoga Mat Model 2</t>
  </si>
  <si>
    <t>P0026</t>
  </si>
  <si>
    <t>Dress Model 2</t>
  </si>
  <si>
    <t>P0031</t>
  </si>
  <si>
    <t>Mixer Model 1</t>
  </si>
  <si>
    <t>Jeans</t>
  </si>
  <si>
    <t>P0020</t>
  </si>
  <si>
    <t>Jeans Model 2</t>
  </si>
  <si>
    <t>P0002</t>
  </si>
  <si>
    <t>Smartphone Model 2</t>
  </si>
  <si>
    <t>P0001</t>
  </si>
  <si>
    <t>Smartphone Model 1</t>
  </si>
  <si>
    <t>P0047</t>
  </si>
  <si>
    <t>Rice Model 2</t>
  </si>
  <si>
    <t>P0056</t>
  </si>
  <si>
    <t>Snacks Model 2</t>
  </si>
  <si>
    <t>P0034</t>
  </si>
  <si>
    <t>Vacuum Model 1</t>
  </si>
  <si>
    <t>P0009</t>
  </si>
  <si>
    <t>Headphones Model 3</t>
  </si>
  <si>
    <t>P0057</t>
  </si>
  <si>
    <t>Snacks Model 3</t>
  </si>
  <si>
    <t>P0043</t>
  </si>
  <si>
    <t>Lamp Model 1</t>
  </si>
  <si>
    <t>P0019</t>
  </si>
  <si>
    <t>Jeans Model 1</t>
  </si>
  <si>
    <t>P0049</t>
  </si>
  <si>
    <t>Pulses Model 1</t>
  </si>
  <si>
    <t>P0021</t>
  </si>
  <si>
    <t>Jeans Model 3</t>
  </si>
  <si>
    <t>P0041</t>
  </si>
  <si>
    <t>Cookware Model 2</t>
  </si>
  <si>
    <t>P0011</t>
  </si>
  <si>
    <t>Smartwatch Model 2</t>
  </si>
  <si>
    <t>P0016</t>
  </si>
  <si>
    <t>T-Shirt Model 1</t>
  </si>
  <si>
    <t>P0066</t>
  </si>
  <si>
    <t>Football Model 3</t>
  </si>
  <si>
    <t>P0071</t>
  </si>
  <si>
    <t>Tennis Racket Model 2</t>
  </si>
  <si>
    <t>P0023</t>
  </si>
  <si>
    <t>Jacket Model 2</t>
  </si>
  <si>
    <t>P0013</t>
  </si>
  <si>
    <t>Camera Model 1</t>
  </si>
  <si>
    <t>P0050</t>
  </si>
  <si>
    <t>Pulses Model 2</t>
  </si>
  <si>
    <t>DiscountRate</t>
  </si>
  <si>
    <t>NetUnitPrice</t>
  </si>
  <si>
    <t>TaxRate</t>
  </si>
  <si>
    <t>SubTotal</t>
  </si>
  <si>
    <t>TaxAmount</t>
  </si>
  <si>
    <t>TotalAmount</t>
  </si>
  <si>
    <t>PaymentMethod</t>
  </si>
  <si>
    <t>DeliveryStatus</t>
  </si>
  <si>
    <t>ShipDate</t>
  </si>
  <si>
    <t>DeliveryDate</t>
  </si>
  <si>
    <t>UPI</t>
  </si>
  <si>
    <t>Delivered</t>
  </si>
  <si>
    <t>COD</t>
  </si>
  <si>
    <t>Credit Card</t>
  </si>
  <si>
    <t>Returned</t>
  </si>
  <si>
    <t>Debit Card</t>
  </si>
  <si>
    <t>NetBanking</t>
  </si>
  <si>
    <t>In Transit</t>
  </si>
  <si>
    <t>Shipped</t>
  </si>
  <si>
    <t>Cancelled</t>
  </si>
  <si>
    <t>IsReturned</t>
  </si>
  <si>
    <t>ReturnDate</t>
  </si>
  <si>
    <t>ReturnReason</t>
  </si>
  <si>
    <t>SalesRep</t>
  </si>
  <si>
    <t>Campaign</t>
  </si>
  <si>
    <t>Source</t>
  </si>
  <si>
    <t>Leena</t>
  </si>
  <si>
    <t>Festival Fever</t>
  </si>
  <si>
    <t>Google Ads</t>
  </si>
  <si>
    <t>Karthik</t>
  </si>
  <si>
    <t>Instagram</t>
  </si>
  <si>
    <t>Late Delivery</t>
  </si>
  <si>
    <t>Ravi</t>
  </si>
  <si>
    <t>Direct</t>
  </si>
  <si>
    <t>Manoj</t>
  </si>
  <si>
    <t>New Year Sale</t>
  </si>
  <si>
    <t>Gautam</t>
  </si>
  <si>
    <t>Back to School</t>
  </si>
  <si>
    <t>Asha</t>
  </si>
  <si>
    <t>Referral</t>
  </si>
  <si>
    <t>Priya</t>
  </si>
  <si>
    <t>Email</t>
  </si>
  <si>
    <t>Zara</t>
  </si>
  <si>
    <t>Facebook</t>
  </si>
  <si>
    <t>Diwali Blast</t>
  </si>
  <si>
    <t>Affiliates</t>
  </si>
  <si>
    <t>Imran</t>
  </si>
  <si>
    <t>Summer Splash</t>
  </si>
  <si>
    <t>Neha</t>
  </si>
  <si>
    <t>Monsoon Mania</t>
  </si>
  <si>
    <t>Clearance</t>
  </si>
  <si>
    <t>No Reason</t>
  </si>
  <si>
    <t>Size Issue</t>
  </si>
  <si>
    <t>Wrong Item</t>
  </si>
  <si>
    <t>Damaged</t>
  </si>
  <si>
    <t>Row Labels</t>
  </si>
  <si>
    <t>Sum of TotalAmount</t>
  </si>
  <si>
    <t>Sum of Quantity</t>
  </si>
  <si>
    <t>Column1</t>
  </si>
  <si>
    <t>Details for Count of OrderID</t>
  </si>
  <si>
    <t>Grand Total</t>
  </si>
  <si>
    <t>REVANUE</t>
  </si>
  <si>
    <t>no</t>
  </si>
  <si>
    <t>state</t>
  </si>
  <si>
    <t>revanue</t>
  </si>
  <si>
    <t>Jan</t>
  </si>
  <si>
    <t>Feb</t>
  </si>
  <si>
    <t>Mar</t>
  </si>
  <si>
    <t>Apr</t>
  </si>
  <si>
    <t>Average of UnitPrice</t>
  </si>
  <si>
    <t>&lt;01-01-2024</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</si>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</sst>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quot;₹&quot;\ #,##0.00"/>
  </numFmts>
  <fonts count="3" x14ac:knownFonts="1">
    <font>
      <sz val="11"/>
      <color theme="1"/>
      <name val="Aptos Narrow"/>
      <family val="2"/>
      <scheme val="minor"/>
    </font>
    <font>
      <b/>
      <sz val="11"/>
      <color theme="1"/>
      <name val="Aptos Narrow"/>
      <family val="2"/>
      <scheme val="minor"/>
    </font>
    <font>
      <b/>
      <sz val="11"/>
      <name val="Calibri"/>
      <family val="2"/>
    </font>
  </fonts>
  <fills count="2">
    <fill>
      <patternFill patternType="none"/>
    </fill>
    <fill>
      <patternFill patternType="gray125"/>
    </fill>
  </fills>
  <borders count="11">
    <border>
      <left/>
      <right/>
      <top/>
      <bottom/>
      <diagonal/>
    </border>
    <border>
      <left style="thin">
        <color auto="1"/>
      </left>
      <right style="thin">
        <color auto="1"/>
      </right>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9">
    <xf numFmtId="0" fontId="0" fillId="0" borderId="0" xfId="0"/>
    <xf numFmtId="164" fontId="0" fillId="0" borderId="0" xfId="0" applyNumberFormat="1"/>
    <xf numFmtId="0" fontId="2" fillId="0" borderId="1" xfId="0" applyFont="1" applyBorder="1" applyAlignment="1">
      <alignment horizontal="center" vertical="top"/>
    </xf>
    <xf numFmtId="14" fontId="2" fillId="0" borderId="1" xfId="0" applyNumberFormat="1" applyFont="1" applyBorder="1" applyAlignment="1">
      <alignment horizontal="center" vertical="top"/>
    </xf>
    <xf numFmtId="14" fontId="0" fillId="0" borderId="0" xfId="0" applyNumberFormat="1"/>
    <xf numFmtId="165" fontId="0" fillId="0" borderId="0" xfId="0" applyNumberFormat="1"/>
    <xf numFmtId="22" fontId="0" fillId="0" borderId="0" xfId="0" applyNumberFormat="1"/>
    <xf numFmtId="0" fontId="1" fillId="0" borderId="0" xfId="0" applyFont="1"/>
    <xf numFmtId="0" fontId="0" fillId="0" borderId="0" xfId="0" pivotButton="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Alignment="1">
      <alignment horizontal="left"/>
    </xf>
  </cellXfs>
  <cellStyles count="1">
    <cellStyle name="Normal" xfId="0" builtinId="0"/>
  </cellStyles>
  <dxfs count="385">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9" formatCode="dd/mm/yyyy"/>
    </dxf>
    <dxf>
      <numFmt numFmtId="19" formatCode="dd/mm/yyyy"/>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numFmt numFmtId="19" formatCode="dd/mm/yyyy"/>
    </dxf>
    <dxf>
      <numFmt numFmtId="27" formatCode="dd/mm/yyyy\ h:mm"/>
    </dxf>
    <dxf>
      <fill>
        <patternFill>
          <bgColor theme="3" tint="0.749961851863155"/>
        </patternFill>
      </fill>
    </dxf>
    <dxf>
      <fill>
        <patternFill patternType="none">
          <bgColor auto="1"/>
        </patternFill>
      </fill>
    </dxf>
    <dxf>
      <fill>
        <patternFill>
          <bgColor theme="3" tint="0.89996032593768116"/>
        </patternFill>
      </fill>
    </dxf>
    <dxf>
      <fill>
        <patternFill>
          <bgColor theme="2" tint="-9.9948118533890809E-2"/>
        </patternFill>
      </fill>
    </dxf>
    <dxf>
      <fill>
        <patternFill>
          <bgColor theme="3" tint="0.89996032593768116"/>
        </patternFill>
      </fill>
    </dxf>
    <dxf>
      <fill>
        <patternFill>
          <bgColor theme="0" tint="-0.14996795556505021"/>
        </patternFill>
      </fill>
    </dxf>
    <dxf>
      <fill>
        <patternFill>
          <bgColor theme="1"/>
        </patternFill>
      </fill>
    </dxf>
    <dxf>
      <fill>
        <patternFill patternType="none">
          <bgColor auto="1"/>
        </patternFill>
      </fill>
    </dxf>
    <dxf>
      <fill>
        <patternFill patternType="none">
          <bgColor auto="1"/>
        </patternFill>
      </fill>
    </dxf>
    <dxf>
      <fill>
        <patternFill patternType="none">
          <bgColor auto="1"/>
        </patternFill>
      </fill>
    </dxf>
  </dxfs>
  <tableStyles count="9" defaultTableStyle="TableStyleMedium2" defaultPivotStyle="PivotStyleLight16">
    <tableStyle name="Slicer Style 1" pivot="0" table="0" count="1" xr9:uid="{827E2028-546C-4F2B-B611-B8A18C4A05A8}">
      <tableStyleElement type="wholeTable" dxfId="384"/>
    </tableStyle>
    <tableStyle name="Slicer Style 2" pivot="0" table="0" count="1" xr9:uid="{92F85D6E-4FD6-42F7-83F4-CDBB5A6BD9A5}">
      <tableStyleElement type="wholeTable" dxfId="383"/>
    </tableStyle>
    <tableStyle name="Slicer Style 3" pivot="0" table="0" count="1" xr9:uid="{3DD490FF-CDE6-4F2D-A04A-48F853FAFBB7}">
      <tableStyleElement type="wholeTable" dxfId="382"/>
    </tableStyle>
    <tableStyle name="Slicer Style 4" pivot="0" table="0" count="1" xr9:uid="{B82FC7FB-37D7-45B8-B758-C9A5B90FBF29}">
      <tableStyleElement type="wholeTable" dxfId="381"/>
    </tableStyle>
    <tableStyle name="Slicer Style 5" pivot="0" table="0" count="1" xr9:uid="{F36CA775-85BB-4851-AB31-940769833660}">
      <tableStyleElement type="wholeTable" dxfId="380"/>
    </tableStyle>
    <tableStyle name="Slicer Style 6" pivot="0" table="0" count="1" xr9:uid="{EF08DE37-FD3D-438B-A541-6319C5A2AFF2}">
      <tableStyleElement type="headerRow" dxfId="379"/>
    </tableStyle>
    <tableStyle name="Slicer Style 7" pivot="0" table="0" count="1" xr9:uid="{AD8F6F7D-F3A9-43E7-991F-2724CC2949C8}"/>
    <tableStyle name="Slicer Style 8" pivot="0" table="0" count="3" xr9:uid="{6E5FFAE1-DCD1-49F8-A545-637740FFBFF9}">
      <tableStyleElement type="wholeTable" dxfId="378"/>
      <tableStyleElement type="headerRow" dxfId="377"/>
    </tableStyle>
    <tableStyle name="Slicer Style 9" pivot="0" table="0" count="3" xr9:uid="{A08EAE26-70E6-4C84-A76D-DE63F9F4F74B}">
      <tableStyleElement type="wholeTable" dxfId="376"/>
      <tableStyleElement type="headerRow" dxfId="375"/>
    </tableStyle>
  </tableStyles>
  <colors>
    <mruColors>
      <color rgb="FF000000"/>
      <color rgb="FF522177"/>
    </mruColors>
  </colors>
  <extLst>
    <ext xmlns:x14="http://schemas.microsoft.com/office/spreadsheetml/2009/9/main" uri="{46F421CA-312F-682f-3DD2-61675219B42D}">
      <x14:dxfs count="3">
        <dxf>
          <fill>
            <patternFill>
              <bgColor theme="3" tint="0.24994659260841701"/>
            </patternFill>
          </fill>
        </dxf>
        <dxf>
          <fill>
            <patternFill>
              <bgColor theme="3" tint="0.749961851863155"/>
            </patternFill>
          </fill>
        </dxf>
        <dxf>
          <fill>
            <patternFill>
              <bgColor theme="1" tint="0.49998474074526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Elements>
            <x14:slicerStyleElement type="selectedItemWithData" dxfId="2"/>
          </x14:slicerStyleElements>
        </x14:slicerStyle>
        <x14:slicerStyle name="Slicer Style 8">
          <x14:slicerStyleElements>
            <x14:slicerStyleElement type="selectedItemWithData" dxfId="1"/>
          </x14:slicerStyleElements>
        </x14:slicerStyle>
        <x14:slicerStyle name="Slicer Style 9">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  final.xlsx]PIVOT!PivotTable15</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SALES CHANNEL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PIVOT!$A$75:$A$79</c:f>
              <c:strCache>
                <c:ptCount val="4"/>
                <c:pt idx="0">
                  <c:v>Online</c:v>
                </c:pt>
                <c:pt idx="1">
                  <c:v>Retail Store</c:v>
                </c:pt>
                <c:pt idx="2">
                  <c:v>Distributor</c:v>
                </c:pt>
                <c:pt idx="3">
                  <c:v>Marketplace</c:v>
                </c:pt>
              </c:strCache>
            </c:strRef>
          </c:cat>
          <c:val>
            <c:numRef>
              <c:f>PIVOT!$B$75:$B$79</c:f>
              <c:numCache>
                <c:formatCode>"₹"\ #,##0.00</c:formatCode>
                <c:ptCount val="4"/>
                <c:pt idx="0">
                  <c:v>10136231.276999995</c:v>
                </c:pt>
                <c:pt idx="1">
                  <c:v>6283084.3035000097</c:v>
                </c:pt>
                <c:pt idx="2">
                  <c:v>1875266.3339999996</c:v>
                </c:pt>
                <c:pt idx="3">
                  <c:v>1772334.8709999993</c:v>
                </c:pt>
              </c:numCache>
            </c:numRef>
          </c:val>
          <c:extLst>
            <c:ext xmlns:c16="http://schemas.microsoft.com/office/drawing/2014/chart" uri="{C3380CC4-5D6E-409C-BE32-E72D297353CC}">
              <c16:uniqueId val="{00000000-34D7-4D94-9160-CFD8477997DF}"/>
            </c:ext>
          </c:extLst>
        </c:ser>
        <c:dLbls>
          <c:showLegendKey val="0"/>
          <c:showVal val="0"/>
          <c:showCatName val="0"/>
          <c:showSerName val="0"/>
          <c:showPercent val="0"/>
          <c:showBubbleSize val="0"/>
        </c:dLbls>
        <c:gapWidth val="100"/>
        <c:overlap val="-24"/>
        <c:axId val="1362335471"/>
        <c:axId val="1362336911"/>
      </c:barChart>
      <c:catAx>
        <c:axId val="13623354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36911"/>
        <c:crosses val="autoZero"/>
        <c:auto val="1"/>
        <c:lblAlgn val="ctr"/>
        <c:lblOffset val="100"/>
        <c:noMultiLvlLbl val="0"/>
      </c:catAx>
      <c:valAx>
        <c:axId val="1362336911"/>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3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  final.xlsx]PIVOT!PivotTable13</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PIVOT!$A$58:$A$63</c:f>
              <c:strCache>
                <c:ptCount val="5"/>
                <c:pt idx="0">
                  <c:v>South</c:v>
                </c:pt>
                <c:pt idx="1">
                  <c:v>East</c:v>
                </c:pt>
                <c:pt idx="2">
                  <c:v>North</c:v>
                </c:pt>
                <c:pt idx="3">
                  <c:v>West</c:v>
                </c:pt>
                <c:pt idx="4">
                  <c:v>Central</c:v>
                </c:pt>
              </c:strCache>
            </c:strRef>
          </c:cat>
          <c:val>
            <c:numRef>
              <c:f>PIVOT!$B$58:$B$63</c:f>
              <c:numCache>
                <c:formatCode>"₹"\ #,##0.00</c:formatCode>
                <c:ptCount val="5"/>
                <c:pt idx="0">
                  <c:v>3138698.8220000006</c:v>
                </c:pt>
                <c:pt idx="1">
                  <c:v>3334932.4355000006</c:v>
                </c:pt>
                <c:pt idx="2">
                  <c:v>3749669.1214999994</c:v>
                </c:pt>
                <c:pt idx="3">
                  <c:v>4658267.7335000029</c:v>
                </c:pt>
                <c:pt idx="4">
                  <c:v>5185348.6729999995</c:v>
                </c:pt>
              </c:numCache>
            </c:numRef>
          </c:val>
          <c:extLst>
            <c:ext xmlns:c16="http://schemas.microsoft.com/office/drawing/2014/chart" uri="{C3380CC4-5D6E-409C-BE32-E72D297353CC}">
              <c16:uniqueId val="{00000000-EA0A-4F50-A551-5BC497FA4E47}"/>
            </c:ext>
          </c:extLst>
        </c:ser>
        <c:dLbls>
          <c:showLegendKey val="0"/>
          <c:showVal val="0"/>
          <c:showCatName val="0"/>
          <c:showSerName val="0"/>
          <c:showPercent val="0"/>
          <c:showBubbleSize val="0"/>
        </c:dLbls>
        <c:gapWidth val="100"/>
        <c:overlap val="-24"/>
        <c:axId val="1409247087"/>
        <c:axId val="1409237007"/>
      </c:barChart>
      <c:catAx>
        <c:axId val="14092470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237007"/>
        <c:crosses val="autoZero"/>
        <c:auto val="1"/>
        <c:lblAlgn val="ctr"/>
        <c:lblOffset val="100"/>
        <c:noMultiLvlLbl val="0"/>
      </c:catAx>
      <c:valAx>
        <c:axId val="1409237007"/>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24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  final.xlsx]PIVOT!PivotTable3</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CITIES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PIVOT!$A$29:$A$39</c:f>
              <c:strCache>
                <c:ptCount val="10"/>
                <c:pt idx="0">
                  <c:v>Chennai</c:v>
                </c:pt>
                <c:pt idx="1">
                  <c:v>Bhopal</c:v>
                </c:pt>
                <c:pt idx="2">
                  <c:v>Lucknow</c:v>
                </c:pt>
                <c:pt idx="3">
                  <c:v>Surat</c:v>
                </c:pt>
                <c:pt idx="4">
                  <c:v>Indore</c:v>
                </c:pt>
                <c:pt idx="5">
                  <c:v>Raipur</c:v>
                </c:pt>
                <c:pt idx="6">
                  <c:v>Patna</c:v>
                </c:pt>
                <c:pt idx="7">
                  <c:v>Ahmedabad</c:v>
                </c:pt>
                <c:pt idx="8">
                  <c:v>Mumbai</c:v>
                </c:pt>
                <c:pt idx="9">
                  <c:v>Pune</c:v>
                </c:pt>
              </c:strCache>
            </c:strRef>
          </c:cat>
          <c:val>
            <c:numRef>
              <c:f>PIVOT!$B$29:$B$39</c:f>
              <c:numCache>
                <c:formatCode>"₹"\ #,##0.00</c:formatCode>
                <c:ptCount val="10"/>
                <c:pt idx="0">
                  <c:v>1622410.0644999999</c:v>
                </c:pt>
                <c:pt idx="1">
                  <c:v>1532942.84</c:v>
                </c:pt>
                <c:pt idx="2">
                  <c:v>1488971.2935000006</c:v>
                </c:pt>
                <c:pt idx="3">
                  <c:v>1483810.8129999998</c:v>
                </c:pt>
                <c:pt idx="4">
                  <c:v>1389595.0330000003</c:v>
                </c:pt>
                <c:pt idx="5">
                  <c:v>1304114.3049999999</c:v>
                </c:pt>
                <c:pt idx="6">
                  <c:v>1167701.2680000002</c:v>
                </c:pt>
                <c:pt idx="7">
                  <c:v>1095172.9524999999</c:v>
                </c:pt>
                <c:pt idx="8">
                  <c:v>1076182.9069999999</c:v>
                </c:pt>
                <c:pt idx="9">
                  <c:v>1003101.0610000002</c:v>
                </c:pt>
              </c:numCache>
            </c:numRef>
          </c:val>
          <c:extLst>
            <c:ext xmlns:c16="http://schemas.microsoft.com/office/drawing/2014/chart" uri="{C3380CC4-5D6E-409C-BE32-E72D297353CC}">
              <c16:uniqueId val="{00000000-75E5-43AF-86DE-F7C8F228E53D}"/>
            </c:ext>
          </c:extLst>
        </c:ser>
        <c:dLbls>
          <c:dLblPos val="inEnd"/>
          <c:showLegendKey val="0"/>
          <c:showVal val="1"/>
          <c:showCatName val="0"/>
          <c:showSerName val="0"/>
          <c:showPercent val="0"/>
          <c:showBubbleSize val="0"/>
        </c:dLbls>
        <c:gapWidth val="115"/>
        <c:overlap val="-20"/>
        <c:axId val="1409256687"/>
        <c:axId val="1409257167"/>
      </c:barChart>
      <c:catAx>
        <c:axId val="14092566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257167"/>
        <c:crosses val="autoZero"/>
        <c:auto val="1"/>
        <c:lblAlgn val="ctr"/>
        <c:lblOffset val="100"/>
        <c:noMultiLvlLbl val="0"/>
      </c:catAx>
      <c:valAx>
        <c:axId val="1409257167"/>
        <c:scaling>
          <c:orientation val="minMax"/>
        </c:scaling>
        <c:delete val="0"/>
        <c:axPos val="b"/>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25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final.xlsx]PIVOT!PivotTable5</c:name>
    <c:fmtId val="2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PIVOT!$B$93</c:f>
              <c:strCache>
                <c:ptCount val="1"/>
                <c:pt idx="0">
                  <c:v>Total</c:v>
                </c:pt>
              </c:strCache>
            </c:strRef>
          </c:tx>
          <c:spPr>
            <a:ln w="28575" cap="rnd">
              <a:solidFill>
                <a:schemeClr val="accent1"/>
              </a:solidFill>
              <a:round/>
            </a:ln>
            <a:effectLst/>
          </c:spPr>
          <c:marker>
            <c:symbol val="none"/>
          </c:marker>
          <c:cat>
            <c:strRef>
              <c:f>PIVOT!$A$94:$A$106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PIVOT!$B$94:$B$106</c:f>
              <c:numCache>
                <c:formatCode>"₹"\ #,##0.00</c:formatCode>
                <c:ptCount val="12"/>
                <c:pt idx="0">
                  <c:v>2584735.9375</c:v>
                </c:pt>
                <c:pt idx="1">
                  <c:v>2375880.6890000002</c:v>
                </c:pt>
                <c:pt idx="2">
                  <c:v>2693430.4950000006</c:v>
                </c:pt>
                <c:pt idx="3">
                  <c:v>2522472.0835000006</c:v>
                </c:pt>
                <c:pt idx="4">
                  <c:v>1132925.2310000001</c:v>
                </c:pt>
                <c:pt idx="5">
                  <c:v>1205082.2515000005</c:v>
                </c:pt>
                <c:pt idx="6">
                  <c:v>861787.95750000014</c:v>
                </c:pt>
                <c:pt idx="7">
                  <c:v>1269174.5714999994</c:v>
                </c:pt>
                <c:pt idx="8">
                  <c:v>860156.85</c:v>
                </c:pt>
                <c:pt idx="9">
                  <c:v>1194438.8229999999</c:v>
                </c:pt>
                <c:pt idx="10">
                  <c:v>1462042.7229999998</c:v>
                </c:pt>
                <c:pt idx="11">
                  <c:v>1904789.1730000004</c:v>
                </c:pt>
              </c:numCache>
            </c:numRef>
          </c:val>
          <c:smooth val="0"/>
          <c:extLst>
            <c:ext xmlns:c16="http://schemas.microsoft.com/office/drawing/2014/chart" uri="{C3380CC4-5D6E-409C-BE32-E72D297353CC}">
              <c16:uniqueId val="{00000000-3827-42D9-A0B7-68B63D118DBF}"/>
            </c:ext>
          </c:extLst>
        </c:ser>
        <c:dLbls>
          <c:showLegendKey val="0"/>
          <c:showVal val="0"/>
          <c:showCatName val="0"/>
          <c:showSerName val="0"/>
          <c:showPercent val="0"/>
          <c:showBubbleSize val="0"/>
        </c:dLbls>
        <c:smooth val="0"/>
        <c:axId val="466454031"/>
        <c:axId val="466454511"/>
      </c:lineChart>
      <c:catAx>
        <c:axId val="46645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454511"/>
        <c:crosses val="autoZero"/>
        <c:auto val="1"/>
        <c:lblAlgn val="ctr"/>
        <c:lblOffset val="100"/>
        <c:noMultiLvlLbl val="0"/>
      </c:catAx>
      <c:valAx>
        <c:axId val="466454511"/>
        <c:scaling>
          <c:orientation val="minMax"/>
        </c:scaling>
        <c:delete val="0"/>
        <c:axPos val="l"/>
        <c:majorGridlines>
          <c:spPr>
            <a:ln w="9525" cap="flat" cmpd="sng" algn="ctr">
              <a:no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454031"/>
        <c:crosses val="autoZero"/>
        <c:crossBetween val="between"/>
      </c:valAx>
      <c:spPr>
        <a:noFill/>
        <a:ln>
          <a:solidFill>
            <a:schemeClr val="accent1">
              <a:shade val="15000"/>
              <a:alpha val="92000"/>
            </a:schemeClr>
          </a:solid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final.xlsx]PIVOT!PivotTable1</c:name>
    <c:fmtId val="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by sales rep</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PIVOT!$A$3:$A$13</c:f>
              <c:strCache>
                <c:ptCount val="10"/>
                <c:pt idx="0">
                  <c:v>Asha</c:v>
                </c:pt>
                <c:pt idx="1">
                  <c:v>Gautam</c:v>
                </c:pt>
                <c:pt idx="2">
                  <c:v>Imran</c:v>
                </c:pt>
                <c:pt idx="3">
                  <c:v>Karthik</c:v>
                </c:pt>
                <c:pt idx="4">
                  <c:v>Leena</c:v>
                </c:pt>
                <c:pt idx="5">
                  <c:v>Manoj</c:v>
                </c:pt>
                <c:pt idx="6">
                  <c:v>Neha</c:v>
                </c:pt>
                <c:pt idx="7">
                  <c:v>Priya</c:v>
                </c:pt>
                <c:pt idx="8">
                  <c:v>Ravi</c:v>
                </c:pt>
                <c:pt idx="9">
                  <c:v>Zara</c:v>
                </c:pt>
              </c:strCache>
            </c:strRef>
          </c:cat>
          <c:val>
            <c:numRef>
              <c:f>PIVOT!$B$3:$B$13</c:f>
              <c:numCache>
                <c:formatCode>"₹"\ #,##0.00</c:formatCode>
                <c:ptCount val="10"/>
                <c:pt idx="0">
                  <c:v>2689738.0315000014</c:v>
                </c:pt>
                <c:pt idx="1">
                  <c:v>2086682.2809999995</c:v>
                </c:pt>
                <c:pt idx="2">
                  <c:v>1469446.0585000003</c:v>
                </c:pt>
                <c:pt idx="3">
                  <c:v>1667278.7479999987</c:v>
                </c:pt>
                <c:pt idx="4">
                  <c:v>1605714.6374999995</c:v>
                </c:pt>
                <c:pt idx="5">
                  <c:v>1774052.3295</c:v>
                </c:pt>
                <c:pt idx="6">
                  <c:v>2507956.8495</c:v>
                </c:pt>
                <c:pt idx="7">
                  <c:v>1552755.5675000001</c:v>
                </c:pt>
                <c:pt idx="8">
                  <c:v>2638136.8985000001</c:v>
                </c:pt>
                <c:pt idx="9">
                  <c:v>2075155.3840000003</c:v>
                </c:pt>
              </c:numCache>
            </c:numRef>
          </c:val>
          <c:extLst>
            <c:ext xmlns:c16="http://schemas.microsoft.com/office/drawing/2014/chart" uri="{C3380CC4-5D6E-409C-BE32-E72D297353CC}">
              <c16:uniqueId val="{00000000-4F9E-4979-B559-8223FB67E631}"/>
            </c:ext>
          </c:extLst>
        </c:ser>
        <c:dLbls>
          <c:showLegendKey val="0"/>
          <c:showVal val="0"/>
          <c:showCatName val="0"/>
          <c:showSerName val="0"/>
          <c:showPercent val="0"/>
          <c:showBubbleSize val="0"/>
        </c:dLbls>
        <c:gapWidth val="182"/>
        <c:overlap val="-50"/>
        <c:axId val="1166201151"/>
        <c:axId val="1166199231"/>
      </c:barChart>
      <c:catAx>
        <c:axId val="116620115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6199231"/>
        <c:crosses val="autoZero"/>
        <c:auto val="1"/>
        <c:lblAlgn val="ctr"/>
        <c:lblOffset val="100"/>
        <c:noMultiLvlLbl val="0"/>
      </c:catAx>
      <c:valAx>
        <c:axId val="116619923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6201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  final.xlsx]PIVOT!PivotTable3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10 CITIES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PIVOT!$A$29:$A$39</c:f>
              <c:strCache>
                <c:ptCount val="10"/>
                <c:pt idx="0">
                  <c:v>Chennai</c:v>
                </c:pt>
                <c:pt idx="1">
                  <c:v>Bhopal</c:v>
                </c:pt>
                <c:pt idx="2">
                  <c:v>Lucknow</c:v>
                </c:pt>
                <c:pt idx="3">
                  <c:v>Surat</c:v>
                </c:pt>
                <c:pt idx="4">
                  <c:v>Indore</c:v>
                </c:pt>
                <c:pt idx="5">
                  <c:v>Raipur</c:v>
                </c:pt>
                <c:pt idx="6">
                  <c:v>Patna</c:v>
                </c:pt>
                <c:pt idx="7">
                  <c:v>Ahmedabad</c:v>
                </c:pt>
                <c:pt idx="8">
                  <c:v>Mumbai</c:v>
                </c:pt>
                <c:pt idx="9">
                  <c:v>Pune</c:v>
                </c:pt>
              </c:strCache>
            </c:strRef>
          </c:cat>
          <c:val>
            <c:numRef>
              <c:f>PIVOT!$B$29:$B$39</c:f>
              <c:numCache>
                <c:formatCode>"₹"\ #,##0.00</c:formatCode>
                <c:ptCount val="10"/>
                <c:pt idx="0">
                  <c:v>1622410.0644999999</c:v>
                </c:pt>
                <c:pt idx="1">
                  <c:v>1532942.84</c:v>
                </c:pt>
                <c:pt idx="2">
                  <c:v>1488971.2935000006</c:v>
                </c:pt>
                <c:pt idx="3">
                  <c:v>1483810.8129999998</c:v>
                </c:pt>
                <c:pt idx="4">
                  <c:v>1389595.0330000003</c:v>
                </c:pt>
                <c:pt idx="5">
                  <c:v>1304114.3049999999</c:v>
                </c:pt>
                <c:pt idx="6">
                  <c:v>1167701.2680000002</c:v>
                </c:pt>
                <c:pt idx="7">
                  <c:v>1095172.9524999999</c:v>
                </c:pt>
                <c:pt idx="8">
                  <c:v>1076182.9069999999</c:v>
                </c:pt>
                <c:pt idx="9">
                  <c:v>1003101.0610000002</c:v>
                </c:pt>
              </c:numCache>
            </c:numRef>
          </c:val>
          <c:extLst>
            <c:ext xmlns:c16="http://schemas.microsoft.com/office/drawing/2014/chart" uri="{C3380CC4-5D6E-409C-BE32-E72D297353CC}">
              <c16:uniqueId val="{00000000-2E6D-46E2-AB99-2A5762AF4AB5}"/>
            </c:ext>
          </c:extLst>
        </c:ser>
        <c:dLbls>
          <c:showLegendKey val="0"/>
          <c:showVal val="0"/>
          <c:showCatName val="0"/>
          <c:showSerName val="0"/>
          <c:showPercent val="0"/>
          <c:showBubbleSize val="0"/>
        </c:dLbls>
        <c:gapWidth val="182"/>
        <c:overlap val="-50"/>
        <c:axId val="1409256687"/>
        <c:axId val="1409257167"/>
      </c:barChart>
      <c:catAx>
        <c:axId val="140925668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09257167"/>
        <c:crosses val="autoZero"/>
        <c:auto val="1"/>
        <c:lblAlgn val="ctr"/>
        <c:lblOffset val="100"/>
        <c:noMultiLvlLbl val="0"/>
      </c:catAx>
      <c:valAx>
        <c:axId val="140925716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0925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final.xlsx]PIVOT!PivotTable13</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PIVOT!$A$58:$A$63</c:f>
              <c:strCache>
                <c:ptCount val="5"/>
                <c:pt idx="0">
                  <c:v>South</c:v>
                </c:pt>
                <c:pt idx="1">
                  <c:v>East</c:v>
                </c:pt>
                <c:pt idx="2">
                  <c:v>North</c:v>
                </c:pt>
                <c:pt idx="3">
                  <c:v>West</c:v>
                </c:pt>
                <c:pt idx="4">
                  <c:v>Central</c:v>
                </c:pt>
              </c:strCache>
            </c:strRef>
          </c:cat>
          <c:val>
            <c:numRef>
              <c:f>PIVOT!$B$58:$B$63</c:f>
              <c:numCache>
                <c:formatCode>"₹"\ #,##0.00</c:formatCode>
                <c:ptCount val="5"/>
                <c:pt idx="0">
                  <c:v>3138698.8220000006</c:v>
                </c:pt>
                <c:pt idx="1">
                  <c:v>3334932.4355000006</c:v>
                </c:pt>
                <c:pt idx="2">
                  <c:v>3749669.1214999994</c:v>
                </c:pt>
                <c:pt idx="3">
                  <c:v>4658267.7335000029</c:v>
                </c:pt>
                <c:pt idx="4">
                  <c:v>5185348.6729999995</c:v>
                </c:pt>
              </c:numCache>
            </c:numRef>
          </c:val>
          <c:extLst>
            <c:ext xmlns:c16="http://schemas.microsoft.com/office/drawing/2014/chart" uri="{C3380CC4-5D6E-409C-BE32-E72D297353CC}">
              <c16:uniqueId val="{00000000-B469-49C5-B897-F37953967410}"/>
            </c:ext>
          </c:extLst>
        </c:ser>
        <c:dLbls>
          <c:showLegendKey val="0"/>
          <c:showVal val="0"/>
          <c:showCatName val="0"/>
          <c:showSerName val="0"/>
          <c:showPercent val="0"/>
          <c:showBubbleSize val="0"/>
        </c:dLbls>
        <c:gapWidth val="100"/>
        <c:overlap val="-24"/>
        <c:axId val="1409247087"/>
        <c:axId val="1409237007"/>
      </c:barChart>
      <c:catAx>
        <c:axId val="14092470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9237007"/>
        <c:crosses val="autoZero"/>
        <c:auto val="1"/>
        <c:lblAlgn val="ctr"/>
        <c:lblOffset val="100"/>
        <c:noMultiLvlLbl val="0"/>
      </c:catAx>
      <c:valAx>
        <c:axId val="1409237007"/>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924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final.xlsx]PIVOT!PivotTable15</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SALES</a:t>
            </a:r>
            <a:r>
              <a:rPr lang="en-US" baseline="0"/>
              <a:t> CHANNEL</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PIVOT!$A$75:$A$79</c:f>
              <c:strCache>
                <c:ptCount val="4"/>
                <c:pt idx="0">
                  <c:v>Online</c:v>
                </c:pt>
                <c:pt idx="1">
                  <c:v>Retail Store</c:v>
                </c:pt>
                <c:pt idx="2">
                  <c:v>Distributor</c:v>
                </c:pt>
                <c:pt idx="3">
                  <c:v>Marketplace</c:v>
                </c:pt>
              </c:strCache>
            </c:strRef>
          </c:cat>
          <c:val>
            <c:numRef>
              <c:f>PIVOT!$B$75:$B$79</c:f>
              <c:numCache>
                <c:formatCode>"₹"\ #,##0.00</c:formatCode>
                <c:ptCount val="4"/>
                <c:pt idx="0">
                  <c:v>10136231.276999995</c:v>
                </c:pt>
                <c:pt idx="1">
                  <c:v>6283084.3035000097</c:v>
                </c:pt>
                <c:pt idx="2">
                  <c:v>1875266.3339999996</c:v>
                </c:pt>
                <c:pt idx="3">
                  <c:v>1772334.8709999993</c:v>
                </c:pt>
              </c:numCache>
            </c:numRef>
          </c:val>
          <c:extLst>
            <c:ext xmlns:c16="http://schemas.microsoft.com/office/drawing/2014/chart" uri="{C3380CC4-5D6E-409C-BE32-E72D297353CC}">
              <c16:uniqueId val="{00000000-6A63-46BD-9BF0-D2599FE44365}"/>
            </c:ext>
          </c:extLst>
        </c:ser>
        <c:dLbls>
          <c:showLegendKey val="0"/>
          <c:showVal val="0"/>
          <c:showCatName val="0"/>
          <c:showSerName val="0"/>
          <c:showPercent val="0"/>
          <c:showBubbleSize val="0"/>
        </c:dLbls>
        <c:gapWidth val="100"/>
        <c:overlap val="-24"/>
        <c:axId val="1362335471"/>
        <c:axId val="1362336911"/>
      </c:barChart>
      <c:catAx>
        <c:axId val="13623354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36911"/>
        <c:crosses val="autoZero"/>
        <c:auto val="1"/>
        <c:lblAlgn val="ctr"/>
        <c:lblOffset val="100"/>
        <c:noMultiLvlLbl val="0"/>
      </c:catAx>
      <c:valAx>
        <c:axId val="1362336911"/>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3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final.xlsx]PIVOT!PivotTable5</c:name>
    <c:fmtId val="2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PIVOT!$B$93</c:f>
              <c:strCache>
                <c:ptCount val="1"/>
                <c:pt idx="0">
                  <c:v>Total</c:v>
                </c:pt>
              </c:strCache>
            </c:strRef>
          </c:tx>
          <c:spPr>
            <a:ln w="28575" cap="rnd">
              <a:solidFill>
                <a:schemeClr val="accent1"/>
              </a:solidFill>
              <a:round/>
            </a:ln>
            <a:effectLst/>
          </c:spPr>
          <c:marker>
            <c:symbol val="none"/>
          </c:marker>
          <c:cat>
            <c:strRef>
              <c:f>PIVOT!$A$94:$A$106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PIVOT!$B$94:$B$106</c:f>
              <c:numCache>
                <c:formatCode>"₹"\ #,##0.00</c:formatCode>
                <c:ptCount val="12"/>
                <c:pt idx="0">
                  <c:v>2584735.9375</c:v>
                </c:pt>
                <c:pt idx="1">
                  <c:v>2375880.6890000002</c:v>
                </c:pt>
                <c:pt idx="2">
                  <c:v>2693430.4950000006</c:v>
                </c:pt>
                <c:pt idx="3">
                  <c:v>2522472.0835000006</c:v>
                </c:pt>
                <c:pt idx="4">
                  <c:v>1132925.2310000001</c:v>
                </c:pt>
                <c:pt idx="5">
                  <c:v>1205082.2515000005</c:v>
                </c:pt>
                <c:pt idx="6">
                  <c:v>861787.95750000014</c:v>
                </c:pt>
                <c:pt idx="7">
                  <c:v>1269174.5714999994</c:v>
                </c:pt>
                <c:pt idx="8">
                  <c:v>860156.85</c:v>
                </c:pt>
                <c:pt idx="9">
                  <c:v>1194438.8229999999</c:v>
                </c:pt>
                <c:pt idx="10">
                  <c:v>1462042.7229999998</c:v>
                </c:pt>
                <c:pt idx="11">
                  <c:v>1904789.1730000004</c:v>
                </c:pt>
              </c:numCache>
            </c:numRef>
          </c:val>
          <c:smooth val="0"/>
          <c:extLst>
            <c:ext xmlns:c16="http://schemas.microsoft.com/office/drawing/2014/chart" uri="{C3380CC4-5D6E-409C-BE32-E72D297353CC}">
              <c16:uniqueId val="{00000000-3B2C-445B-95F3-B7640AA14AC6}"/>
            </c:ext>
          </c:extLst>
        </c:ser>
        <c:dLbls>
          <c:showLegendKey val="0"/>
          <c:showVal val="0"/>
          <c:showCatName val="0"/>
          <c:showSerName val="0"/>
          <c:showPercent val="0"/>
          <c:showBubbleSize val="0"/>
        </c:dLbls>
        <c:smooth val="0"/>
        <c:axId val="466454031"/>
        <c:axId val="466454511"/>
      </c:lineChart>
      <c:catAx>
        <c:axId val="46645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454511"/>
        <c:crosses val="autoZero"/>
        <c:auto val="1"/>
        <c:lblAlgn val="ctr"/>
        <c:lblOffset val="100"/>
        <c:noMultiLvlLbl val="0"/>
      </c:catAx>
      <c:valAx>
        <c:axId val="466454511"/>
        <c:scaling>
          <c:orientation val="minMax"/>
        </c:scaling>
        <c:delete val="0"/>
        <c:axPos val="l"/>
        <c:majorGridlines>
          <c:spPr>
            <a:ln w="9525" cap="flat" cmpd="sng" algn="ctr">
              <a:no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45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final.xlsx]PIVOT!PivotTable13</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PIVOT!$B$57</c:f>
              <c:strCache>
                <c:ptCount val="1"/>
                <c:pt idx="0">
                  <c:v>Total</c:v>
                </c:pt>
              </c:strCache>
            </c:strRef>
          </c:tx>
          <c:explosion val="12"/>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63E-4712-A37D-F0EE3899F73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63E-4712-A37D-F0EE3899F73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63E-4712-A37D-F0EE3899F73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63E-4712-A37D-F0EE3899F73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63E-4712-A37D-F0EE3899F739}"/>
              </c:ext>
            </c:extLst>
          </c:dPt>
          <c:cat>
            <c:strRef>
              <c:f>PIVOT!$A$58:$A$63</c:f>
              <c:strCache>
                <c:ptCount val="5"/>
                <c:pt idx="0">
                  <c:v>South</c:v>
                </c:pt>
                <c:pt idx="1">
                  <c:v>East</c:v>
                </c:pt>
                <c:pt idx="2">
                  <c:v>North</c:v>
                </c:pt>
                <c:pt idx="3">
                  <c:v>West</c:v>
                </c:pt>
                <c:pt idx="4">
                  <c:v>Central</c:v>
                </c:pt>
              </c:strCache>
            </c:strRef>
          </c:cat>
          <c:val>
            <c:numRef>
              <c:f>PIVOT!$B$58:$B$63</c:f>
              <c:numCache>
                <c:formatCode>"₹"\ #,##0.00</c:formatCode>
                <c:ptCount val="5"/>
                <c:pt idx="0">
                  <c:v>3138698.8220000006</c:v>
                </c:pt>
                <c:pt idx="1">
                  <c:v>3334932.4355000006</c:v>
                </c:pt>
                <c:pt idx="2">
                  <c:v>3749669.1214999994</c:v>
                </c:pt>
                <c:pt idx="3">
                  <c:v>4658267.7335000029</c:v>
                </c:pt>
                <c:pt idx="4">
                  <c:v>5185348.6729999995</c:v>
                </c:pt>
              </c:numCache>
            </c:numRef>
          </c:val>
          <c:extLst>
            <c:ext xmlns:c16="http://schemas.microsoft.com/office/drawing/2014/chart" uri="{C3380CC4-5D6E-409C-BE32-E72D297353CC}">
              <c16:uniqueId val="{00000000-33EA-4253-9AAD-31DEBD10AB9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5B13388B-A1CE-401E-91C1-A4C053589A87}">
          <cx:tx>
            <cx:txData>
              <cx:f>_xlchart.v5.2</cx:f>
              <cx:v>revanue</cx:v>
            </cx:txData>
          </cx:tx>
          <cx:dataId val="0"/>
          <cx:layoutPr>
            <cx:geography cultureLanguage="en-US" cultureRegion="IN" attribution="Powered by Bing">
              <cx:geoCache provider="{E9337A44-BEBE-4D9F-B70C-5C5E7DAFC167}">
                <cx:binary>1Htrc9w4ku1f6ejPSzUIAgSwsbMRC7Kq9H5Zttv+wpAlGQ+CBEmAz1+/qba7p63VzPTG9UZcV/ih
KhTIJA4y8+RJ6D8eln9/cE/3w09L49rw7w/L337WMXb//ssv4UE/NffhqDEPgw/+czx68M0v/vNn
8/D0y+NwP5tW/YJRSn550PdDfFp+/s//gKupJ3/uH+6j8e3N+DSst09hdDH8k7FXh366f2xMW5oQ
B/MQ07/9XOj79tGo+0H//NNTG01c79bu6W8/f/O9n3/65eXV/sedf3JgXBwfYW6GjhgWGSU8R7+9
0p9/cr5VX4dZfsQ4oimjTPz2Ir/f+vK+gel/zaTfDLp/fByeQoCn+u3/b+d+8wgwdPzzTw9+bOPz
4ilYx7/9fAKPfv/zTyb44stA4Z/tP7n87YF/+XbZ//M/XnwAS/Dikz8h83K9/tXQ/wDm7sndt+q+
Bfu+Fy4pO+II5VSk/FtAxBFCghNByRdAYPjLPb8A8pdMeR2PP019Acfd4YeC4/1TiD/JJ0DE/b44
/++OgrMjTklKEWPfAMLZkWA4FyT7goegv9/zCyB/0ZjXIflm8gtQ3ssfCpSLewiR90HH4Xt6iTgi
FCOeUfEPoleKuMjwV195ic1ftOl1bL6Z/AKbix8rfr2NEdLf9XD/+BT079v3O7hMfiRwRvM0/QIO
+ja3cHRE8zyjmH91nez3W3/xnL9s1ev4vJj+AqG31z+U9xRa38dowvdN/jg9wnn+nEzwa+7D8REi
KWYU4W+R+avWvA7Mt7Nf4FLc/VC4HEYLUS3+vjzfwWfwUS4wcDFMv0ACS/9nPpYeUcFQzhl/lY/9
BXteB+WPiS/wOJz+UHhc3D/q9f7/IJRlRzTjQIMpsLLn17ehjPEjzLnIsyz9AsuLUPbXzXodnZfz
X4B08WMFs7v7xrifLu8fx+/nN2l6hNIcEg1/wZf5EUEMYUSBtn1DlP+SEa/D8ecHeAHFHdQjP1Dl
Uj45bX5fmO8QvfhRTrJMoPz1apIdpSkljNOvbpL/fusvGf9fWvM6HF+nvUCiPP+hkJAG+PHvy/Ed
kKBHOROw0DR7LWBxGEYiz4l4kdr/pRmvQ/B12gsI5O0PBcHVown6O1YnGAhumiFCoDz58voml3Ny
RDDUlBn6Wry8qBz/tTmvY/H7vBdgXP1YYJzdD+19vK+/Ix4pOWIpIpiQV+kuaF0p+Ax4zOv1yF+y
6HVI/jT1BSpn//VDucjZ03Dvvick6IgQwRljICz+mefmkLY5zkn6NZG8CFP/2o5/AMRX+1+i8GPl
itt7ex8iqMHfMV/kR5STDGf8q9ArvsXjWf1CKQYK/CWdvIhVf8mi1yH509QXqNz+WLXHf4Vw33xX
RECWzzgowK9lD4GPOJTmAonXo9W/tOZ1NL5Oe4HEf735/zpKvU64/yzFf/ON/2WLBOMjEKmIgNzx
GpVi4ijLs5yDzvWqa3xtXPxja14H4uu0bwz/P+6C/OMOyR8dpBJS8u631tOfmiT/fPS3x4OW2Iup
/6xT8mWtTh7/9jMjQKBADgEdMYcfcJZBGfdHg+v5kt8Udef3j/f1HwrmP7zAE0TPv/0M+mOGOUCX
Pqv3wNEgBc3QOoC7Yqj2UyhiuCDwA4Zg1/ohamiXsSNoAEAozEjKBMgwMBT8+NsQbJOMcZIi4A8Z
hTLnj27gtXer8u0f6/T1/U/t2Fx708YAxlCoW7sv33u2O8EpYYQh+AufP9zfQqsRvpb+G3HR12kd
9bGbWbMfwfhc2m5WouBd008yE+12xpKWH8ZsCKcoUnbqMdejnPJoL+duS6Js+Uqbki1ueEeTarwM
gq/vOtsIUrSGt91+qJvaSTP34rbpbLhhNSJLwWzDkczY5k0vO6WSoeimtNqFDFVeBttj9WniU9Kd
TN6Ti4BpduqWdL6fqrX91Omaht1AbHfwTTs0cqNGqMJNIUfH85rnH4e1Vl5mXizrYUURIYmdm/qT
4JMqKfpVE1uOXWr7U8tzc7N0jKrCbkN/R9nYvBk5W8q8HqeqWNYh/4DXurlelnRNimXC9VQMdnNu
j9de5zKjGn3o7VpnUmTJYApRR3a7tGbyktpserA0WU6FbchpOip1SxPa7npu8BtM7fgeVQO9bhLd
3LKmzg9JJOKYuG47TGhpd1WSs+p8onlWrp72u0zlS4nzOeH7aRyaUSo86gcxL4Bj4oIWO4fzaZRN
PW9nXZJnn+dqWt6gXm1PZm6aSVaq6z9suCZXYlxtutPBVkPREKveMuKmRY5jE691J9Dlau0yS7F0
G5WjWqdD7YxapFXT/JalefKuF0Y7mc8MveVjqlcp8n6tdyZx6JrnGn+y6dwfho33RYpjreSCVLhu
2jzx0ndtw3ZNV4kzm9Xx3LZ66GWfDe0xs70JJ6TpxSDrtI0fG1InQ0nJGJ5UUy13dPLzLAOJVSp5
THjBqpFf+G7IQwH+4VwZBcGHurdBXFExun4XV9suBRUT0XJNnDcX88YWI5u192RnpzbJ9g3Z2FNr
s4qU2vW0Kjrbdtsu77FLi0Q01stIh+7jRpz+FeHOy7wxS3vV0IVOErxmDbAYrpmPacvGWMDCLmNh
SGNg/aYR7MzgRktp6Kpvaar7AVY/V782Ias+G9ux9XRwuHqqqzwec9uP6UPnJtRIPeTpdMiaaoMt
tdDo92zItL+eHE7PR6HbSlbO8RM9z+FhzPWyS4ZubEtkGngfcEjO08T4ejeNo/hI/LbZ66infJRk
qeiJndfmbR8VeVzpZj4sqq64HETFurI1jStS5OneoqQmBUnb+aTTTHupbc6QNAkU/yVue8cL5OuY
FpNQ434VaO2k3lb+JKYhx2UdRLrjzFErpyWyGzRW4WTKpzBJ14zLm8SJ8EkMNLy3VqNLsmzbno4h
+rLRS85lN4jpJklIeD8PlMqBzv5s29J+PzmQsXcLt10uzVRNuwaLaGTiNdnhrnWwFo1XRm526t6v
TajP2rSmepfbPGTSVsSftFEtWKZVtkkKu3KWDs1eS00nKifL8l0e/PQgNrf0MrUjE0Vct3jharfe
5mLTfO8r31U7R9fl0KuEHtLOoRPW1XMrMcD4YRD19hiToPIdjmi9QE1MLkam1YUItNYSe8Ju56Yz
b6YpGRvppjw9QXO+HZNQDbeGz9NVUDiPEs9tUio4ufCr95rtpm3W+1BV1V0cIeQUWaO2va1nt0oq
OrNLIhrbYiPcfmzN7K+sG+gu9EpIK5blZKyG7XFcM8+LVWufHuraZ0zm0wrYj3WnM0lm1X3ofFd/
YKnC86nI0swXdGGDhBge3wI6yyTRqtKrrJlDMbnYr6cJXeYgZx4ycfDc+rIyyVgXKGRzB3vV+k+O
ZvldJCNswh6NAks19/Zj6kn3K+3nWci+H7yTeCSR7km+YV342tatjGzYzAF3qHsXbGrrW8x9EwGS
DIKOQqQvs6RF+EzbFc3lBMu/7ZiJySLzbp2WY+zmjJwMaA3ZVdd3w4XaTGXk3Iq1LpnC4nLomfu0
aKU/62TwZReQuVN4CE4Kl0G6Ya7mB9tXVhdOebar1rTrCtUyc0xaNKoy8f1ySqZ+0TJbK3c6zlO+
FXRyTSicj/4SWTyFMlVBlROvluu567OtTNakPkyNRidprMZyYqMjxdKkdNn3WWbPsyFNaIF9zI5R
l+nDtFwN47IpqeFQUSeHMG3nq+263dg0LZWoJ6gu+ryxn1hftzvksrN5MfMorRthlgcLbzrPwvvM
8fk0JsA4CrVGqmWo0WSln5EpVWT+FNyG+vdNvfZWkhiOWc4PMbgtl2vqPjg+iLOYN8Af6l4QqVvh
TnU2pwrcZehrOHpUUSQh7LQQh2hyGNLbjC83OPVCcjRtjw6yASRqE+9c6/iZ2vxSrE3FC9KGeNtW
4/SZQPI5ZCpmp5nI79kw5+U2Cne8zZk6xjGEt9lCs2NeUwau65yTkafkqTeimgrvJnE9pmm2r908
LsXGeHeaVrHZ5asZjyuRbr3MjBmGcjZ2Od+yPp63yqNSTFV94SgE8p2d276T6aL8WhCeJqOMeVrV
hZ6S9BDsKqzcTF+fbHC26BZb4k4X2GrnnEd7tglDzkY98l6abgy/CthnZaAtf8jXCrcyb0l/RRrH
b9sGsWMbY5sWpKsqiZcEPwrYMGUV0vamt6KWvdsM2TW1IseIxu4tapE5zCPA70Wvf210zRo543oL
0uQKyZRZdtnWIn9ITaRoN4jZF/kQu49xELTYYh/vehzCw6LS7jqP+XLRDnblxVxbdRloYLvMM32Y
KTJBJq7LInAuzD42W2bXwo9ueZsTQwZJ50Y9VbrXV02VZOd27FhTuAa8UM5dTCGB+nH8MJGV7djU
8zcJySYEAaBSHxiqdS+VmZaPSa6Tj/VIBiNttMu7Ttj8oHnHrqAjkJ2KZa4/g73DNVNh/SS20Xi5
dWsAemYG18lp4PFOrHPTSxtmastMGY5lTtf1hquB79lK53cbyfM969vmHhqlQDW6UM9KxlDNUVZD
bIcC95k6AFTzeapUhOhgquHGDFneA33Jayvj5iBSYb9Et+tGPZhTZpPRH8Y4DNVJN0SkSi6W3O1d
qtPL0HXkPWbzpCQOqF73ZmqmVC4DV5k0eOBnRrGtKTxZQiynWQy64BvasmLEfS6Kap2HD3M0gy0H
o5EvzOaqC5PjzJc05voEdojYCo9NvFeaQVKbKU9v64nB+gc+klmqxo7HGE4oviNE97dd70ItB6iH
bu1KRDmlkyoSjNiZCZRfpcuInkzacydhF7R4B3m3hQCIRzfLmg/0zepGo3dmBUog5yHodqfM1pky
TaCEuea0mar9PFFyzBz2vqxr0nFIby3PSg+pYrrAJnSVBBSUKhbh2SFPI791Dnd9uYmZb9ILRz7b
JhG0bEWSvhU0We8NT9Aj524cj/28QSavhyGOQFZt28p+7JeucNZ2Owf6VqGJU5+x8uY2bp0tVtGl
Zg8cc2sk4Wa3MT/cjLwN5cAGCFFt4Pl+BdZmS7KkeCc05xCnxprLPA/VvZh7fItaoBg7YL0iKYZG
ULdbunypgV+75LMbmw042jiciA0eXG5T7/dJ1S67gWXgJgTycgk7e0x3vUX+PhN9h6/tpNyumvJF
wrvl2iPXrUXb+RlL1A2VlrCrcFE1vb6uXE1Ospqrqxo1zSDXPLAUKiDcb3LIZj4VDC6p3lpDwKZ0
yLp33cx4KHtRuc/eGXw7ZG6tgerUeemqfiwTm2wlGxcAeViS45gNcZdXWaeKCgEDlKsaUKnaGHfj
hmAvdqamkiLV3WuXDGf1smEg+Om2HScxFZ9Xwqr1UCUNWy5Sa5K7KZngKlwHeqIYr6Ekg5oTH2I2
Vqce9vTD6gSQ5o2k6hYyd6dkho0445VvT7qI6k4ui88OKAljMfXM7hnkkJ0acL/Lsa4X2Vq2nRCr
rUwQG3fCJ5Mc1zBegNHkFDRJ9CvwgH4natHu69RkCTiN85LN1VZJMfWusEyZcrH1eOvJmATZZM4H
WfWul22PzA1Dm9ulndBKUi7oGWow0ClaVzucV5+Ap4oDAp/cQSUfdnBYTH3EQxM/rQjRTCYmrUq1
4vqjCp7dqC0Ni4TqwJ7OPnGHLWmaYlVxuVuW6nrVMf2QIqdvqBnAL/HCWlnldDnl/TQfk86pszzv
alj33Jxy7YQuFmbowdcIv++HjUGMMj5/ZuhNttcIGSUZIV0jo7LAZmuDPlEIMccGaOmuBscJF3Pr
RthEGRTHw9QAd02MjaXKNnfi/QgkGjXG33kFjBcoXH6d5wt5QzafnbA8JNc+0Gw35z6sUtl8uuuT
Ts0SIi8+yRXnO7ZM+g5cr/qgc7xBaKvGDsKjMhBdxkkY6VrUXLZrp0+zSufXE8H5IHvOVyOzHNUX
NMnGY210dmnwtnBZtdZeDa5Xa0lRk5QajeykatQaymq08c2KnXk7unG6FomiD+C76XWqB/HUBx32
g7BVI3O86kQmM0nf4+iB1ae1PaF9bi9AoY6LRBNoGU2EeGXGEUc58saeuHbU5dg2zaHifSNrkSwn
uMu7snJkOUscPGzN4CKyStoeKKvy+Y66bHw/QKrTcLfe7eHsB1wTRfemwo7fRT0mtVzHDgfZ6Tnf
97XtCp3h5cL7JE2LZ+ZCC8J0e5c2qd3nZLLXnuDPDIpByMp9HUK5jEk8X8nC3j2nz91U17y9dQuZ
3+WQlAHLrfd8P04+PtZkWYt/g+LcdVWbueNspcBo3LAsJcqtH+W2anq1QUoZSycsCsVvitlXce8b
KerBd+tglP56Nv2Pt/955xv489uR6b9/+Hy0/e/vDk/+uWkfXn7p+T5/fOvvx66fpbo/zmC/kAK/
nI//BzrhPx38ayJi+izU/TPZ8OXxmr/rj1+nfhUMQXKHJkkOQjCcJ0GMp38IhgROnzw32gnn0CP5
k2CI8yMOEwQoiQQJ0AzBkK+CIZy+QyzHAtrwLKNwCJL/bwTDFD9f6k+KISMgQOcgZmJMc0YQHLz8
Vjk0aSKWDcjlfnGjJiUalD6kYdBXSWLRO01j+p73irsCopA7N9k6p6egBcYTDuT6TUuwuRr6SYHa
M6/kkZpa3G1tFN2h8lDjnlftOOp3SvlqlUni+bupsljiDuNySTIkA3K3PcmWt4x6WoDfTFddi95t
FtKW7Nr5ztCuuVNb2z6OlGVXA2rsMQbecZpvmz4ZVDNeN/XiAgiQdPFFcLHpil4nWxHxGg+argEV
bQT5k6N0RsUw8vVGjNW0Smty50/x0N+2S95st5MIEP1yvTVvOsS3qbRmmN40qW/E6UbmFCQx5Egu
OcF6OsEKREiZTVX3mCR8XOXat5WTWYNUPIf6XYjTqcKM7daZ4OFmXevukQzEm4MSSz29S1IlHqGM
Wj5t6ezTYzyIvtlFltWFsnOS740QgyuTvMbNFeWsnU+3hE6fY8Wg6Fx00390kHXvfI4bmQ0Vv8Fk
pYfZ2hMNZ86S0y7RHTp4x/NP4NBkOsmgZoYQXA29kk7naJN66UiZT4Pfp1YRU1QpAQFDrOiOBG8+
QMmqHsc+GR4WFNhlwwxQ/cD7uKv0rEhBm24+Y6AGHlpVzVzWdGgOsCokLSJ1WrrQT1D7m247plM9
FyqN6jxzSVN/3GBz3FoggoOMUPGcJgOvJWROXMRNCSe7atUSalhlim4ETuRUDkE6a3NJSY3xwbYz
O006q85JWz+MDeyWpe1rVZrGj8VmlH3DQ1QyrFstkYPnHnmVF0CLUl0osvh75JdKBjNmn5Vr+Hsy
NLDJUxTq7KPuGOhPINcVQKE+ZalHUqgpObYLVaVoU3NAdou6jI0wZ3lsbrvMGuAsgz6ndKU3DFpw
H4bBmQs1m5Dv3LrpQx8ZfxganNuiRon7dYIydJQJpkuUOUixqmAEN0aOqNU18F23gAinne1OQ5sl
B8a3fpGrU+EcVGBTAjW+5XZGO+NT0h+IjVh2mbhzhEwfBsLaAnUT7Hdg3VQX0xRqvue+4iA3VM12
Txs96vcj8toUZtHMyVbnFgHnS+b5BDFQFOU8bhkvfINMewJdXuAcnZj0r2E2oJ01qQLpEgSmaTnv
V5WIUtdzPxfQoM/0ntQ57gudzOlVGEzKZJeD9J5tbADphiuWVIeqGcl7kpE+uaQk6GFvqNHjHjh6
SksyBbwWdT5ndD+vy4pKuwDQEqOW1uDrWLXLJemZGi+qic+2SIF6N2+MgG/daj7Xk1xZlc7vI+wu
LhGoPMu+UgmHMmvWqCvaFSRA2W2zP44apApkHT3hVKj+TR38ykH3jsI+zdPanU/AG8GxaZe3ct1S
9w7qtREXxNv6yc1RDLusqoZOdnWfAKumzAXYSFv7XKYlgyvaMa2mstncZ2ApfdHk2ax2le3qcAI7
cxllZzCTqRjIzTCZ9rJtKX3Mk6XFx9BgFOZ0JHT4lAk3JBLkgL6sNAWZzsAQBIkFv23hSMTbnjQb
kqhOyR7qCXVMUder4rnQLhg1vSm2FI50lxVt7CRrvWnQH9fIQjHasYffnwquKVPTVQkMZh5ky6Vu
B2nbYf4wQYl3MdW0fe+ZXUGNoPN6OYImcdoOmVjk0HXLDuKQSsoliPkYqr75YhK9uK4S7kzBrRZ7
m+TLDV1G0Ft0i2+bqdWkmCO1qqhBnTmpeiyALUFn6CTtV3MW4wwafwJtnLTF2fsm5vMeap9Vbq3I
T0YzqwiUnvJmtyQIfVrU5IoswYuFojVR207xbTygdRTnnY9J0SYhq2Xtoc2iSdtdJSBe3KNsWT6a
OSXvgk7rk3yc7B4NU3UL2dLwQ5+ycOdTu3zqoyGPWKTz3Tw0836i7RsBYWmRc89E2OnJv7EjWawM
m+5O+76GyAvHItRx2vRZ2YSJHqa2taagJE5ZQS00W/bcTdsgg8s/KNYCrGNow1mdr/yzmICytcaT
AlUCPStIzUfGmkSVHs7dz8cIj9nOTY6XDjt/DK0gD4WenS9p6DMvex+BU64pPDCIFulT501yPlY2
0wVuQRU6X5ts68owbP5t72bHZLU0kLvaqSMnHRmns7rWKpYeyn4qoedmPlKQ628mUJcvbF+Lq3ao
MZSiOX+A1Dycb0KFD3aiGeyNZelOu6VWZ0363GTpVwhUNFuG28bg56YLmcQV2AKNoFmgd3Ua8lmO
s99uMev1CbRTulhWOdsHZp9yjt3bnG12N1eNiZeAXvsBgYhSQuMkOdghQo2Eof9nfPc4sW271mLj
l8BcFtB32+ZXUDSHoheJ0Seth25Rm44D1Ed+An9jS1amyOQ3qEuRls0o1pt0TLbuTRtccoqJHz7i
tIUNpsi4GVn5vuHlPPhpljwP8VPeT+Rj4N10szg45n1CdVv/6mel1NVKogNntKT95OcQH6oMZBIZ
Fj8kpyFUq4VVtcLuJzWxN4KsoYX44thpBx0wLSvq4V9g7NBlgqtBMEMJY1M5QF+4oLiHwbqK9IZY
DOr9HCAyA7jpuyUJbdzFyDcPLQDo5XZAzKAnSxdzWLc5fqZe+F7WE7xHmR4/0zlOJ26m3fmcD+yU
Jqa7qb2fNhkY9ENL6ib71kHVc9B9E86MrtAB5VV+KgYGF0oH497b1DldiDxAsllhcULB6gksnDQM
Cg9c8HiwTbD7bs22+160luz6JQPVZ02qhxgWRnYhTK0CjyU9tE+WVdfXIC0PZwA8aNQYprdF33St
lQ0L7VVf8+0WiKkuF6Owk8Rw1ZUgXEJrE66pDlhY/1HUYwP+lrXzfkk2k8qqnjro+fXdh9bHXBVm
hcOE9UrpGYGey302jmE3VaDzAMFLqjPl+5TKLqX1CQOTdgpi5lpYjvz7yFX/sCHfr9CWZvTSQHcp
kWL0+a3263I+hK6982IE24bB00vPzWSKuYNGaNtvKtthovw1RP21HAYmtmMgO6D5I1BO31ape447
M4TJgMVU5I1IGzmA9lJD19i2TZEta/+RGwuphidiuxqanpKyG5cRfhvI0x3TFn4ftunr+ioDHZKA
JtKkoGyvBFrnqQMJJw7pSIrA0fZWbVHcgbpU8wIqge0SxD903PqlncqFLeRXJOik39TLKK57ojMH
/aaMP0bglhEkHLRW+wCZ+bpVKz3VzlcgUUB9fZz5LIlFzXTyLB9wdIyMmA40RhIkTQd2YzabMMnb
Gb/JIeuUXa7Gd3qL5k22Yn49rwp4m6Z9uHE40mmPxEahvTgnaAVmP+Wr/G/mvmy5bh3J9ovYQQIg
AL70w56o2ZIlW7ZfGB7BeQAIEuTX99rnnOorsTxEIeJG9GOdcmBDIDKRmWvlSj0p/jjxpHhTTitH
kCer5U1Mh+proxx9CzAI2C2nKHCgahIjZZ/i4Bs8HmpNteHA+2X5XSyuPyAUit8lKFdGJxMG/G1o
Z/6pW0sB9D+nxR6Qsa528zImVznvxMdKTOt9E+rgS4fywWO4oFR8TczYXLeA2n4kMiz6mxVloWy3
mrj5Rpkb36+zWy7qtZ6uRR9XxQGpf1juQzGV7YnnelkORQsvdDEMDb8AMhO842qpJ5Q8e5OCrjFe
N6h17MVShOF+iHt6jBar7b4FF+IqrJo53wPwX55XmY3HLi9RbBSLGMQhB6qNAlnX34AiIqpDoAp9
nNHLfe2UATjV2A8uHBuUOrvisBaLxUbI8CnrUJHG09RfuZzKy0L38DxMsYdiFuMxXohSu2KZu10I
57WjQf6eVJHcMU3cDrdwQk08+dEJdmE41ZdOZQo0ibE+sSB3qZzzLs2KJfueBb15w0gH/7ckQbnT
DtkhaBPggoyAKBAiAI92E79TSdfduzbOL4eyNyewN9qLyMzV9aCE/TpXY/8gggUgExgSQKGd6J4Y
3r4Tl7O5mGsU7xDOmH2X5CDNwDUbi40uq8jwgqP2L6Yuu+7jqUj7RK87p6y5sUThpQ6mFTDS/BXZ
w3gZdRIEGLzEQN/bGWWXoQ1nYEmA6+syl5/AdYnUoR34eDXjguyDYNHXeiAjgsWqvEpMNX0GgeLb
2geIrWqWnZ9TZGM9UP9Lvmh9tQRkTZECqdOU58hqCyCht0kBlkkuYrofWtRBtZrIqcgcfxibEMDO
4Jy+5gN4F2Gf95dL0A/lQcY6fBOvoMLUQclvaJc94do/cKauJ2ff03Vm90ygCi7jet1HFUqyJgL+
gc85gfWiSiRua5nf5sHYVvtysfX7jrr8OVTALpB9AupN2uEdR1ntc9FX7h6oLkFREXSi22Xl4oKT
mV12WZygzOsMg3sr3fqRk/BN1Rv9pmoYagRmvLAR1YgALUr9ADXtJ0Sd2b6t4viDWbrpS7+a2wYM
jmtTl81hQBV1hYuh6gtJsvCLQrixl9Z1p8UuYI2MwXo9dYm5K+vJPjY5fpvKIT4opMqnoVao/TId
xJfN2pC7jov5aRSIzRdTjXRn62D8OGQyvhojMh3bxqJKv1DzRbaFOtWJcNdxks2PmYpr5DljeJqZ
xOsG0sSJBhF/lu0AQK8FB2o6THpawyOikfsat3E4AjYDmNXZqDkOwQCKSVfZdtwTIkY84dGQA8Nj
wOHHgALJaxA8HfIAUKmos1E8CeWkA++mbZGZjIDPR7wm3zQJZopaYuMuyrVoPzmlUZ6wlNTZTgRl
r+6bsg/fZ2AvIfwG7akrKflE8oC/IWUdfTNl0EW7itVNuevxHS4tspsTFzUSCbG64n01uDneBbIn
xWPfm7a9cGqQx17xsT/Kelg/THkfXwpUgC4duCnIFxxt76MKxKWLc4Hks4qDCJXLVVQ7Njk+7Skb
8YaN7Rg8RmYJd+M8sT3el/4xr8X4GUVeOAATNRckLj7pssuvqTFje6ytqg7hjDoL8ro6OvCsi58G
sYwXpl0puVVuicyeAurUR2LIKtIxbGhwoi4ox52cm1a+BxWJhGmPV5PuTFafQ0Z1M8/9qZh1iYMY
E7vuMhMCai2nJPzRh87eyZVlz6FrhNjlC80s/pkoPxRtoa9QwWm7E8g9tEBJy9VXgShp8zRn4/rY
jtHEbxqHOup1l7vKHdZ8aY7FHMz7BVUJYCXiY9IMTXIckL6lFMU5AY9UhPOeRvF6i6RTf0pavFin
eQbpqFJm3iM1C556mcmbgK9mjxCS7nLbTZ9gcoW+g8vn7HqwTfkGDBj2tS6tfEZlJtwFeI8QSfdx
2lZ1fwc+yfCVaaVgTImiNw7MilOU5PW3MuiD7GKQZZGg/KArvYtWivJ8lTQ6RsSHgsGO9kSPe97P
cQTssp9vy4qac1poFeoR9QAUUrp+ZAf4dTvveiAH8Z4CJwmv69zGDYASB3M3Zb7Euwz8GXphkImV
p0Yssk4nMYUHXcWj2DNQnz7QbDiHyqbTeHNMXT9VKAfG+wwVyzct0hf810bDuecNLuYO73TFr4a4
YZ9VYNhO21y5fTUvFSIcPFGLiIN+x/LGXc1Jz79UddQ/8yaSH1betm6ndA70Q9Z02RvGpNnP1Cwn
uYwIYYsaKCAi8fo0rX1VA8O1Bukd4KQB/LIRaGicS/WJDUufttzyuzprJUPS1cjgNAorDnEhgV2g
/hEcSlJX15zVoMEUiHk+lCYwOo24Ha7LgdP7BoTSi7oZux1uMK3ftkE9XMwZHfQeHLJh2pNEjTU+
CQfMWYLPszNDAyNpKHDZ49R0ekgz0gQAqOcxa/rLMtGZBZ8kKlOgyMyBu5O5jxNHgoW/RJr3dhFW
77l1Cf5qwVe1JxVA1p1IFhTQpgpRsq3z6AmNxvl0ZKPkiBMqRa+5mUB0UvFUfibGrqhbFC6ITuAR
hcG+mdiorxJh1+eytUi6cD25PFTKiTjasdCpD0UxmrRpCb9CQUQUJyDKbYpqbf2tHRpyCzYP+Bh1
ZSnIkEZo/qawagRjMS6fhzmcKkCDGcefucqO76tAALQqmI1acB7W9mpcshW4jQbYtrOTSp6aQiOb
dwTuZ+FR+QVQ/Ig6CCEDuYGfAISlwqjHBa3iJrqUbtBtqmQygXLTTHY9gFUivurY6nc10EokY0WD
S10RlPR2xSiWvco5ao/IBYLqWFndgX7TRVR9Bqgnrh3RqJUWSSnvSlf0BvGEHuCwSzXUO3DJQB6q
WqbCQ9yOq9jXbYSCDc/tEB6mYurvyqY+MzmXyn3kWZkdgA7aj7AkTW50GNpU9crYmz4kYLzNgaDJ
IaBGfcuiosxPjtgSwV7WBgMgxgF+xbWubt6B28qu1qRbAU/bceD7Gc8k2wU8mVPGq/4YEBN3u6kP
l5ulDWxxziIDte+1G9Rxrbu6PJK8WB/IkFV9KhEZaaRMCUBq4J72OBUsu51dkM17PZbrcQjLcN7N
VYPyVxUmIwMVDHvYycadAnCV7M0yx+2wDwDXrvt66VFHK3SIYpIRHH5gzRN5Z9YR0X2Nlw0pGF/a
Q1aWHZJzWmsOppriCE9nhWLR0mHDKnAmuzW2jbNT3UQ/piqQb7UUESqPJefA8bsRcFlejhXMuO7r
MzlGt0cDt6l2fByCB4Ctq3xPinU5Kj4VSGDKccDjEk3BCWk9K34w1i6fagRk8bEsSAG4TrIWZxwP
h3wWxduqlsuFkAAQToC5xfu+sP31ukzqfdnkiKRb2Zf39VB/6AOaHbtCiOqyxCNyzM54pRrGKTtY
l7WfAegE37qiX55KQO2ASzsXIjSF212uazyFeudk3dwhh3TyYpjPtexqSr4imNNfwlI279bQgd/c
9bM5IlnLr4IIYNN+7M5/ERhrFCgtJ3CqNfseBcMMYuJCTw4FhWuUdNi+pLG9N+FCQDZoOhrtVjGv
FxQX9+04zP3bbHWwgBLQ/CEnijzqwcBnjyvIPJUkkbvOB9ufVtRX1GmdxZTvm8CgEhX1hq+njFla
XEhc3xJmNFHULYt8Lu9QbADTBlxR0KN6tMHwCwOiGOCZfJRsV1QkuhyX/DEfGN+jkrh8DrPiSAMG
4l9Ytjs5gOPzFYDMgExgIB8Qk7kYb1uZ88cKqclu6irZ7wrN1ZMmkXxCLKrWfZjkItiHgKIChG3D
8AyybPcjIYicgbygDrCXJmy+E1PKai9pWR9a7lDsH2wx7FfiQLxs4OgRUWrepP9fkNfbf6mRbaHX
l8jrf//fw2e/vhT0+lef1LnXAfy+36Gzrxpo/vff/w3JJuK/WBQBPo0pw+OWcLSt/d3DweV/oQgO
4DVEj5QkIQVY+6qJA9paPOTJP40f/2CykDvjIaScpCACvYcJ2qP/hUu/Qs7Rz/LP/37ZxIEGkheA
7D8tHHF8lh162cJhMoe3tMCNzqNDEr8xExrd/rep5T9Y9/x7L1pDElJM3CAFOYILCkxuXZflOSfc
/a2R9rdE2n+wPL7Ky+VLEVTL7FpxBONf67czX0P1pNza/fj99s849L91tuBY0NP5cv2kWStpQaI/
wtzM+tBHTRLucloidAgZKDs7Bnpndvr9j/3qG+Dzv/wxtJzwclYtKOiGSgqaGFV61y1cfvr9+q9B
9//3jcPX64PGFfZlsnBQzXp2G0Uzax5nvIT8ZpFj69JArCDJoI2hR1+2x8eXuOkv/6BeAgRE9MaP
0zl9vepym1kUFm1eHH//A+eFfvJ5zkIaL39AFuscjpbGx7kyYr7iyJDIHsgWARRa5SW5jWwFrvhg
hnYRSPAZWP4AOCd98fvf/8UX45sTrcHfjBZXilQH/ZyqMWII3qhU336/fHRe52d/3/lLvrAeMF4R
BJolPqLbZ4KfJzIVNPrRV3SYwd1V89Qg+BTBDer+UXW04EXKFtmWJA3ah30+4YagUaulmep4xglL
gixKdz9EPBd+xyc3TqeDI5iR2sTHZTHiQ9gt3S6bbPnGb+sb11MjiURfBkKhCnTs7yGI7TdtUFT2
b/LRf+p65Mb1dAGAiyGP42M9iul9NA9s57JV+Dk2uXE8up7BvidDfBy7YF2PoQsmfeB91wnP7W+c
DQE/Wy51CWcDfiKIrGcCHholYKmH3x//L1wn39hmk0ygS1sl0gZEjAwtac2Awt+wJiH6A/JEPKD/
kPLL3//YLwxRbgyRlKjIdqYP0rZDEeLeQDVjfN+MY/DDa32x8WQAK2w4I1hL1w4ltEUxMEdcURn9
h69xvvE/MXSxOaykQxnMkiVLu0CuzWnWUY/q+7wgfh2KnCWeP7PxJ5SBgjH3AapTIwL6i5Z3bXhc
2witTX0BxNvPrsXGaQzdNGTUNTLt0TjwVOklf9MKnjz9/lv86qw2XmOunERyHicpCVwBiAI86BvF
lm54rmJZuT8c1S9u1Fns4aXrRSEFqJToZaprtlwGYDe8SVSk693v/4hfLU9fL98BfwhxODy1YgAW
gOo0+8jXrj/6Lb9xH3YSQM9BvUunGl9grFVzBAtZ9J673zgPW9B2qZdSpsxMFb7BIsGAQjpWrJ4/
sLFnsGDjAd2iMgX8OIC0HcXtfNRgZc/3Xgd0DsJffl5BUFmPAsfTxOTFe9DZzT3gXECqfstvDE0s
YKaAqS3SHhXn4mJEETPZ5QDKQj8T4xsTc8UCmIdokVZGgTZhGjLJHUgg+k9v89nz/MQj8Y2VLapU
YTPjEw8Zyh+HUlEh0Fy8TvxKoZ5XHZ0iS/sB5DX6ybZqbv/gyX8V8/CN4dVA60S3znCFNfjEV3lg
MjSErFWCqFGOc8nQKo4azrRH0aVvTmgWUOLA2Uy7xykcufU84I2BoqKHtpMKTLFGBPZAATym6Dml
f7gf0dlSfna85PX9i6fRFQMZkpSGq+6OKzhaADazda0v+oSK5Y0yTfejD9jcXLBVtvGdo5S0t0RI
WX6QFUHnqt9V3diybMsYfSEFS3uRGbrna/K9d24e/PxovDE0iwKxLEHvRGHQyY8xnp874NyNn5/7
S5HgRYCMpqq2DAKRpHGNTGZvI9msO1voxfzhGvzCDM6SfC/9hCmGJSboqkrHZc7IpWRag+3VRzCJ
nKBvCjwpi0YIsvJefe2b1RDPc9sYOEUDBb4yKolcgqu469Gk1oDTzwJPFxtvDHxlazVY8G6Odogj
NC9O6rDyLjh43ap4Y8UcxLG2HNyaGtTK07VFJY3rvvyDk/jF6xlvjBOs8jxwiCXTkhTNnoBvdsiW
jnheqo1tIi3pZFR0a0qQN+7CPHpuFftTpPerrW/MLeJ9y1yt1lQBPby1C/otj/WQR6Xnvdm8nHlp
x55qIHxB1iSXZHLVIaOSpV6flW2smfZT3I/VGT/MCPiTVJidaaLCb+/sbIQvrFm2ZJVoMMTezyBz
RS2Qh0owP0e3VSmB6oAO58ysIDgV9ckkrdqjm3A9/f5kzmbzE4fONvbaZnGOwnAwp3MQf0deWE0n
NlboRR6BZXn+BRuTpYAm27LK5pTCcN8mqJYfI1A7/PJltjHZsUWsMq98TjsW80v0pNlDubSe7oZt
TDYamzqTawmAyNTsuqgbcQvM2nPrG4vFS5pVVUTHdOjKLNrrGNCBAOydH37/cX9htGxjtHGmTBWs
qMP0beGuqvHcY5FltadRbUwW9dFgitBkdtJWzeaRzqGs38Qasid+94ZurBYoyDSAteMQs9l1X/Xx
xyVZ2j9c/F+cDd0YbQxqB1qMoJYxAJzdUVCbdkOSWM+tb95f2peMZKWccPLBR00QgLWJy/w+K93Y
bNWvOggM/2frDADsLj5LmXhdGrq11hhNiTKPpmMCqvHuDO/ujP/BnD/HC18JVYU+qw1WdyX6Na2s
LDqKSem594215iyWHTrKsDojED5g9Umhn9zPzVOy2TpaxtHOgcXRbo+OHYGG+bzizi82OIMoLw/G
gdmSoR15OsZjNqOjZIIeS5+Nnnvf2GqT96TtaGiP7QRUf86L77ZcI79TJxs7NSt0FLp8ttBjyNmO
s/hjgE4Uz8U3dhpmMdoXwKc7iiFsD8YVn8GVMJ6Lb8x0MOdueXS1Hkue5DtegsRgNdpKvCyJbOxU
0BK80SDB1hMb3RrAI/eZULUfRHXuhHx1YSwjLcPK6Qp+kUGDh+TxIYAW1D9tqv9ppZhsTJUMLmls
r6Z0YdAY24FiF6f9TMavfqezsVU0QRPduQYva2ZqqIOZ6GCqcjn6rU5en47VWU9Br7bpmNBPUUke
DKMPfktvLdUsZbMswZgWeXAH9/hxIegE81t7Y6dJUTQiasWYlnMuDzaPn7oq6/ycQLSx07YygU6k
tWlQjAWa5cSNIEPot/PzMKWX1xGw8NwbJ4MjBKe+FQt6yePm2utQoo2VSnQtBXivlxTLGuiuEAPR
OYgXKT/XG23sdFKxzSumxxTqoOEHNsIPoMdxjfwijWhjqHaoSVhnnU1BLlsPnRNfcnSMeR77xkgz
WQxiKrRN40Uv+wYCWiBg/Ql5PS/yk+TgTB54+U0TtMgVfdCMKSQbk1tpVHRbB1n/7PdZNyZKRjLq
URe4jjkUAWgzfxCy8PykGxtdWQdpg7yyqY4nuouk+1gP8t5v3xsbZTNzc0GxdlCaJ2aXW3Ri3not
HW4stJuzDPpOajyGWQAifJndFGvoWR8INxYaQaJLrAEJjjxM3jSL+Cj1Uvu5lnBjokGOOF2DnJ3W
efvQqe6UNbmfJw831sn6eaEORe9jt04XeibXLPZ7QcONYfYLFIO6Hrkdb9SN7FwK4pIfDhpuzLKo
R5dbi0334IxNFrIq7/1uyMYkIUOh+7XCR2R59UW75EGu3M9PnUcRvbR2O0yVW2Y+pgtU5Z7WZUTD
uKXm4LfxjUXSNnNo5UzG1ATA+klbXSRZ8sFv7Y1FQhfNxJCSCI5xgeg2CPlnlkAmwWdxSNa8PhZc
7GGo0dud5gV0iWLDgkOSiMnLcCDQ/np1aSYxMjTCgc/+CKU9CSaG37Y3FgntvgGNgRBzsBJsC9Cx
Idw28Ce/xTc2OQMgX5Y2M8co79EoBPB9oNDJ8Vt8Y5ba2rAKaiwu6/ie2v5rwUCk9lt7Y5cQIV7C
QaL5WDf0Psbazk6+a29MM5oLQamLUDYmNLyxUpVXA3Pc81Q21pkbNtWIZ3FRYogOriFaTHnuFWCx
ZGObLrFshjbemKLDdESDHct4dwBhFxphfse+MdB+blgGvtGYKtZ/DubpGeDDO6+lt2StidJQc4pz
sVbFh8FW6LSAnLtXHIGC0Gvz1PkkUI922Lhz97YLrxzYr353UW4stGxEiIZGasD7prc1CIdQhxXE
78TlxkKt0uBc2mlMw75+YAGEvXTuFaSwLf1Jx0G7KNqYFGxqskebrN5HrPzh9zk3BroAUTCyQWPD
dO7wN+6qEPGj39Ib+3R6zECiDnSK/nYo3HZiOLVo9fIKU9iW+dRBFhDSylgdENJ6aNfuTqAFxvOq
bAz0LIlV5dGsU3QTNmetMB1cQ0xueet3MhvznAMKr8gsvui0fIOC4YMz8ovX0lsG0oiHJ+8hiJZW
XL11fX8JsT6/e7glH02ZrHhZM51CWzA/TrMih6Buv/rte2OcBfrXjHaVSZO831dsuWvQ4fj7pc/v
2L9nVWxLM5oD1IOnXug0b6bY7rSA0trAe8hilARCH7//kbO9/OxHNo9oXLWurbpYp3VBP9U5ew76
6slv6Y2JOlASa2iya9j/ZC4mo6NdNDE/qI6JjZUqkkPujxJsnEXPzRS0aDHp3/vtnLz25rlDy74O
c5PGpGDzcaV2YWgeqfPq4PcDGztluVLSyhpX0gUPRUOeisEvF8e8gtd7r4t4QMKMpbMleRjD4k1G
uRcMxbakIjTXQFFzWnRKs4akgSTjQwQNJi8qLtsSKgn6EtEijpuYhSv0vtBfR5knowuCca9PpXFZ
MDroIKVQYYF0yCROw6z8qsPoeni9+KiZtQwCQinc4/W0kOs6dn42tKUpJbOqbTkonYpMtWgbXq4T
6CP5vRZbKlKCWxI6UqEtspvuaTSgw2303PfGOnUBdAKzF4bUcPlcRPqhrgavJI7xjXFmjkHOuS91
ynEyuwQsccjgNNLPH/KNZY60HIIS7UvAbfJhr0n1YIPELwTd0unDEHlWG4dDqgqKpnDI8kxHC1EM
v4PZUpFK9CuvU7nAbpKlQd8+52/rIlz9vuiWijSVMc9AhhvSNYG0bmTYHV5SP/ScbWlIFrNTOggM
4rp0CaTY4WuXyuQ7dIVWf3hMGWzxJ+/cVokR/NkwURCxS5VCq+C+RfEszTL0EvuFdVu60VJZK3WT
oTkzMNWwn+a++WETMXsmjVvCUdSQkM1J0KcajYyHRvFyhxOKT17v0ZZwJIRzUJcP+9Si53YfchC/
0f/n6R/jjcWONbpIDG371DABXbEIM1UgDeRa5efH4o3NQsmca3S/YsZNDg2sYmzeuTrye/Pi7XNK
urkJhMW5o3n0AnKX5jTXXX7hde5bvtFEJ7r09dynZRavz2GXqQvMau0rv4PZEo4o/GSMPuw+Tdps
MCdhJWW7OOugyu63/82zCjCu6tp+wslTM19qLd/lQ+1Xm2dbypGoGki5j7pPBRsfC2UeIETz6Lfv
TdSr0JNO61oNqWiTT203R5CtY38iv/7C1WyJRgNK5hKjSfqU6lJ+EgAVLmzVTJ5XZvOyjmHglpXG
XQpLTaBtCZlUTMMQfm6MbUxVLwEw+hqrx9NiISbVX1Xtn1hMf4WgP/HBW5rRUDjQ6yTp0olXKkPb
blvC2YjCQZS1SVR10fTL/GgbU19SQwOejnk+xE9ocRPDPUtiox8TAQWnCrhkd4EJJ9BjEXWBYrxy
g0TH+8rKQb+D5nxg9yEUY6vPXZ6jF58jsCQHTAdBr7w4a3kd6ghVsj0HSo3RLkMgy5QIl7PLrMOI
H+hLoprwIQCzdzlFtDTiQIXDmnNdjOtJDUlu0G1HVntqCHHrwUwNhUCMYCy7HxkPyi8miochlStE
xlINiaXq0I8rutbDKZb7VhBIhvEFApsXKupUcsNli8atcFgx6kom826CnPclFM30moYdBoWd5qae
GGRvmIqPk5gZSth1Dm0XVfcN+vCnJFn2UhcQOWm6QkfXc5uVyWVNo5Gl0O9SM7TaqulyhXT6nW6n
kB1YOEGJDoOXsvWxjspO+EUhW/bL0EKjoYPWQZqg2LaLSXmTr5AI8bLbLfklxJ8WM9l36YIpQs2h
C+cydZCb94z+2MbbNw5TdiCE0aU8zjuUrIIdZKoSP2e5palRli2Igus+zXnzPWPVYyYKz0OXrzMQ
jIdwrsZsizS2WWowUyaLI7/K5nna30u0J55Aq4HWZA/dP4iRZgE0mJIa40n8PugmddKhorwC4pgq
UpY7Vw0/eKn9ItYtQa1Eb+7UQksgtdCKv0P7V3HR0bHx88P07P1fENRyXmBeFOEmVbpiNwzBN/oK
7PjR71w2Xl43apqmfupSDK6w7yGusgKJaOXoeeybex61RbQGFB+VqyZ2RwIloRWiVjF0Ur32v6V6
jc0wZ1Ax7FIAVT/mnkH90vi1XDCyuey9nfU0LKJLc0hHQNrECAdx2qQkP/z2vrnxUzysdLKkT+sB
CmM70Q0UGDtmM/hxMTCa4fXVmTFrLYIwDwKEMGI7K+byWBSFZ4Cw5Xv1GNJRrgpPODAavQejjO/7
YA5Tv8PZXPs5RC9zXLQdOlGhjcjpFENge9DQ3fZbf3PxTdlipl7XwZO1VlzlLQ0/Iadd/ErBZBPe
CNcMK/SCkaUtmbvMWGZTEY7C89Jv8hBCa5sUZwdfFo3amxnagxZic342S7Y2qzFiyCFPToOlpd9z
sM2/rw0mUPod/Jb0FRPaYiAM1IViLqbgEpNfIugjz3P8B+zwF41vbEv8Qj9olvFatulaQ5Twqa8g
nLfPREv6w4xpo0/oCLsLgqTGKKGzCvJeYRolP+VBHHd+X3/LD0MjLQ8tVH3TGfK7ch80JQQomrzt
a780eksQ4yGF8uFw9kzZGGXXDYTyRboMyxh6fqRN3rKGVqMllbQppVFR7dxczgyj5KD67HfJoo15
cwx60i3BDywWeoP5ap/B3v/qZdpblhhmR0A9zq5tCt0ns3eK/ljH2HfjG8tWwxoZg2FuKWLbUw3x
dEKMXwngrx7HFy99EwShmqEgkkJd20AADZJTaCR563coG6se81qraJ7aNLNaHi3UnHYNBOX97suW
JwZNrK6FLlKbFpj48aUpZ/pVB3huvPa+JYoZCHB3rI2aFOHKHXR7rzFf6JPf0ps3WDngjFx3bWoc
ya+gMy4x766b/R6xLVVsrqA/P1W0SWklO7UrpRyucmHb3PPYN2bKEozf4pjQlIq4LaGQLi8qFi1+
JrqljEErWKksKdo0Yfl8Y3TD9mIsp4ffH/x5iz/J0UP6OjZJ5mqZ5gjve72yAVFzaBQmJYdR1x05
EqPWK8aiWz0myHNkWT9qzPLS4gsS9dtG5M+//wvOrurf/wJ6niH+MjBnUwhoEO1Y6BDssnI3YGDW
95liHqXf8psDKhArt3nW1mkCpVBUd4y8bHhsvUyKbgWZOlJat2psPlM5cvyI9DtoPvi5A7rl7yR8
FUtsUOyI5jFaMLIY4O8es07KyStZhAbA67OX05xBSD6v0wiKgQfMmA0h9ikzL1+JAvTr1RdeICOf
B0z1jZTrrsowCu8I6WPrtXu2JTbKhWcYTq+6NLR0xEzmeCzP/j5MOr8AMdwEiE1QnGf2FHCYMXm0
Y/hWYZK7z7Vk4ebkIUkySoyX6tCHHseHQgNfWqHR6XnpNyffwkMGFaiqx0jo7O0EEezHNo/9WuzO
U7deWWwNcXYbElOfAwP50GPuSDoWsfQ6dPrXjK4Xz3ePkheG8pwNNkeprBvkQ8AwoM/n2DFP9/XW
7TK20MYuatBWoCu2R0csRsbXGIHxh/X/Klb8xJttiWWcYawd5xbejEPb980QYcjcRVFNgz4hEbPk
FCeMQwc0rl13c9Zoh3QjpsI3H0lE2clieuClYAGUgJMVspMoOgaYXICZx45giAEmwexXlWfrF0wQ
K+ypxSChbm/j0n2lDWPXE2R3r5YCcpqQZoYq6gqRinyH0YZsfcohMF0+VGchiae2kL05IGFjK/5f
Pe8hv2/VXdljUtgB/9oUt5RkmAzudehbQhx4jQM5NyQfVRaVdxOmVN6Qgii/B5ZuKXFdgAnOqI5W
KXHhd0xaekgide+3801ggFxzaQI+VyldwbOtCbuEOv+flC7Od+5nV2Xz8FkbNGo1rkqHHmIal9pA
jvOQLGA9HGZkCOqSJ7zOP/r9JZtnMII8MMYqxlUKRWt+ZJijfloxafOd3+rktVnlS3YWrqeY8Y25
MocgW5/HkvzpnM6H/bNz2njhKFSFrbStUo6JvI9gVbM3EirWn10Z/Q9nZ7bkKq5t7Rc6RABC3S1g
p539ajJXc0OsrmiEQAiBEE9/hvdd+a996g/fVkQ5vTCS5pwaY3zRvwwH/9ufuNqNwRUCHt1M6jBv
BNTYxk12avMVqOP93Ho42v6lqf4vP/m1ag7yhHpZWQ+6S+uUOi50S6AOi/pDq3eRFlB03zZVItci
ugsjWVe2x0Mb0ghCN/YFG9GNNRW/qvYjBI5gEDCoO0CZvzvij44kH//vN+m//BLXIjpOoOXc4cFF
IvbE3Vn2Mz2OQuLen4FpFd+kLgAM8e/vK8Vns7blEWI6kPQHr3v9VU78Nmsruc7qmoOcWvB0ujvO
qTtCcw2eawPS3v/9hC7bwz8sh2sh3dpiFElAZ75rM5EdzRo0SLPtTX0c4VcLOWYGACNQFspkbe/j
Clm9I7vxmV8tY6A7+nl0+Oh9zw6VnI5AYN3UH5JrDV1AUlk7S1WVqk0fkGj/MLHbpnjkWkMHWWHM
8a5Upen8dN+BvnAXUfLppp/yWkJXUd6sgYAWqJJ6PhgDPFEAEvx426dfrdJYKlvROGrvOEDkD1C9
fgFO+LZwWKRf/30F1YzX0Zou7V0PFPFxkW44xVN/mxSVXMvoorDh3lDb9q7tuqk0DQgP3M6H257L
1bm7dfEEUMEoQaxEMv8xTf2bsUrdNlQk7OqkbUbppj4bZDms07PqR4DZxtsO8WspXWi2rdY1Cqne
IcIdlJi42Hv6Lzvvf9lXrpV0K9T5Oxx+WETzOuZQjRWGIVH4tmd+dcDuCOmZV2dauJY0yO+1ATCt
soO8TZBGrrV0Ugd4LhSVMFpdUvtFX9mHcVPtbT5IgBT//rovbKgGPoEeoD2ASOoDVAD/8mT+M6r9
h/38WkuXMaAo4+ECGg4RWR9i4BNgMKoRtvkZSUnjXUvlTnI+rZoeGKZrvpicoisiLA0Lx2mR8XTY
DYgXPzSn6QpuN2n5TRN4kl2dk710BNRTOh9avtkjrRxCfyN1270auRbeEJ+Cv67AkydeN1BZuM+w
VG7/8lz/y+t8HfCz+AkxOTzMh8CTHVQFZZH5f+P+dC27oWphEZnW+bBrRDR4F/6KbXObf4hcy27A
XNRTBfjToYZivpS+aYo4hX3rppV4LZnYIX0GAgmbKTfpz1kTcKHS2yyV5Fox0Wh07COQmYc2tqDn
mrQ6VBWkMzd982tJ6BZNYA+n7jJOsq4+tyQWy6GZ1TyUt/2Bq7d9AHiFiaTh5WYbhtMydMtQNJQl
5Ndtf+Dq5LFOLTsQ2cDOjI05aJH50sjspmsPcq0JRf9AiSF6OSSXEDpPJ8QGZPwmsT+5loQavmZz
5fDh64Kk737Opnzs09sEp+RaEJo1C6IZlmE5pF1iCqKSLsfE9udtD/3q6AHDQsQxAQhwTRudiyiC
m3DL4tuKrGtFaA3hc5xFBJhByLzAw7D1c8+Je7/pu18LQjNvDEkYEOORxBVcpvb60AZ624O5DqBr
rU9GqALcAYmm6eugN/UTGHR+W01+rQbdaeMnt2CLHAYGWg34brnPqn+L4LksyX84NK9TvvpETaka
iTiyqqfrawO6qT4Glvb2CEoWTsGbnv+1mKpaSZUlHTY0moqoXFMABIdtuU1MRa7zvkwDeL1j+PS6
HtpSQElVyDH8vu2rX21mqsMvAD2jPZgN+MtWg4I46+q2veZaTCVNBkompRYwu2U96kakORKG99s2
G3JVQYPHzNhuvT24Zu+Pyaze9qSjN/6k6d8rub3R2T5i1nMwouEF6FFdAUnqbbJ/3Or//dMHMOcc
FxUIUTqyRbeDm0VMuC25CQ7ov396lWW9TTpmQD0EInGnui8EouVvO/6uNWBLEjBytrU4dt2wf95j
s7138fBvWe+XM+4fVuy1Cqwi3gM3DVIitQn8KJc93gBuf1u1l171uiDcYFwdpARSFaPzNfo19sPn
mxbStfpLJWlSAXDBj8j5AhZ83SHwc802f73t46/WadKPZNxjK4/U6AEa1m5jzSNL+kHctlav477M
LBYUTkYe5ZzknUzv+/jGwy+9WqgI4ppcSPHROkMpfNFDDLcJEsm18gsAhbZq+CSP+yX6SIFKX2SN
8De+LlfLtAOFze1hBJNRVafBmteY3ZYmSK5lXzGFqIhonZUM8oduiB6zof1w06vy/0i+ECPUWEDF
ypSBW3iXmR6+68br5e22z79qcgeTTF2/jPyYjcmGjPNszu4vVr1/yxO8LMZ/2AKu9VxtpEwmfMWO
2kTzyVXrCiQbj+v6AJ8qr8613n3z5Pbq/6O5/k938E9/9GpQxUNaDWs39egUNj8AG9u3fWoOSmHV
9cem2sAwnkYNnkw+kAln+9YBhc7PY29Yo49orDul835Xazg3FYjqPwjxkN0NMSStKicdWPI+R8Nj
pkfFEmGe1rnyCTtvUcYnldu9ryOggIlsSZ1bxw2aopHhp8upnMb6h7GNXoB+VLzVZ7IrxD2XAQ09
r8swrR444EC67RMi5Pza5lSBwYOY79BuwEQngN2xDPhDZLerU2IUQza9xswSDGv4CvoFX3Dm4/Bm
Uo3aseOd+Esbjf9slylbSwa5L1C/eEKqWFeftnd7WDZm0S+TefgxYmjLl3yzSZz4nApWN9+GNlMS
VPEFJB4YOffRatAk2y58vYj0TmbXYcsHhEaBmunbOVElh3GyOuy4skkBTqy2uagE3jRZrMwHqst0
3Wn8kAjgywEfXHYNX9g0hhNi/IeCM7Oypy5eWlHGLQHht+FsQhUmtCiFRgBuDuYimwboN8HHrUsn
0WLxAhOSrR7xzYBeBJkwZRy+ERCtq4yjbMRewvRyj1/rQnC1ApVdLpOo18BxDun3yWlW+rADbLkA
b0iOBuB69bzbVLD3Zko5fyauIuRxrxqx1GW/w6OSHaVfEiQi7Iwv/RMcGgK/l2lbgy9Xx7usl2OM
VGNUYzoed3UKjGz+5yR0O9bFuGIYDHZwJ+TnZOPbHMC6zEASq0V0iYHsl37wEVwsO0RbSNDhy7oc
An7LcTynFIO09MzUIIDfZEoemWqGYmSb18Cj0hBdKNZjWOeHeJnVwVvsUc9srJfu87al9SDwOoxg
QgNjOG8FIPFZipTYJvQlZhyN+CYcGcYHue0YAjU0Xjabe+MwzM+loDxFBeUcIaSQlJDuQ6KEZUcE
rKjtYUh9gql27JCttuOa2a01vFtxmJmDkpMhZC3ul59pH8EzY4FhNZ84KKOibKqZdj8xBxEA2kIy
Na7l3NFxflYLmNufIc+a9LEDHTUtJeDs9H6nUaoekwaM099gmo8LHDM2GrPnCYu2OQymCenZgPY6
fWkiLeIU25uqGc25zqR5jp1Tyc+sqyoRQH+Xur7zfl3pfWzbbPzaeRZogcz7GG702pNEItqZsv5X
5Xyt6lxNSvykhE3mC9zlO/DVbYuzC1aJMTxB1TeDS56OUfZr7EDCPuvUhABwb5wkhWmwkn51GV7z
U63S/dlJkNrjFNDhF2EXzg6xaE3zcVLNtr96eCTSCDfRyA0QIHxi0Zxn74bhL4Wbm+ahYxMJd+PY
9dXdlMrEPiyT5GnRZSRLvwmWZvJ34lX1DAt5dI9rpP0X3CE67zytyxoBQVG5tbvw94A8rPsJ4UHk
ay/bTJamh9PxAw9NPzwnddUmZz+2SzhEU9NtJxlszO4421T8JWaVqj42k6xNYYKLkInYxaC951ID
jXu/7jO1T+BKu/hMDDP9G8ga1fiyUMmbY9yokZdu61bsnZ4K2xyhn07s0yRX9qtHJsBQVJjS+Jdm
iy22kmbc/IHR0dm6jHFbtT6oDgHHx6peDBwqEV/rz42YZXbWxhgGmmdk2c+mkZ0p6gGo8y4XQ1KB
hJ1mZDvPvZ5d6XwaR6WbhzTJh3735htxEt+gpHGdIM5ww7doQZG+IL6jeTgMl0ieHIF2u3qePIxp
B2qs/57GwTPwz+oBuZxAQbAnlEv1nwpLmBdd36S6YNrT8UuYwGdEwJHWiDzLidr39uwdXLKfA/h0
tsqbyfEN+/1u/DjmncMx7XNMvNf5l19WQt/ByLA4EBTSauTHHp9y+SGNW+wBEEfcdB4Gn2qaw/s5
0LteJlId1rUmfcjrxIn9wW9zjQnmBvSTPMVVQI0IJ1vTnGdg0KJ8t20bfWJU2bRsMgbE6hyviSx5
2Pfu3cY76U6r2728W/QYVeXk0yo8EtC1XuNk7tpPmCKnQeVt3zt5RGp87e6lQgfzHDCFEMdMtTjv
XFVRUG511myPuo47VYy7TVyRGcsj+BbsXLUe7rl9Tj66WGmYMYbMudd2i3l6Anx56p5HJN21U76G
DIQb5Irnk7cyOYPnOrsXOk8RaLEtaLCPrCcz3rGh0X3zm/Rix5ugEdkGAmwt2vWIf9nWHahW2fzG
1NpU93PdduQMEy3rnxabAooFnnHcsxIsI1L92RGVjEzzuenoaR7buoa2GSYmvCMCOUr3QOkGczKd
JtAMp9AQx4fZgHqYry4M6Sf8TfG+Jo3bvvcIjYcnXabNmBUT4hfrIsL+VBVbZbZPXcqACBfSwOtC
hwFiVb1aERXBLA7MNzv6DQaSlScFLhRE84qvS+nL5kPdnqIhzXBz1FYqWj5rvY/DPaS7zY6qaNi3
Xzg15kEhIzWOkw+XmxoSF6SZ+P60xzLTM3biPVRn0eGnR9AsAxHs0WNDnl5Av5jtOXaNdKfNMUkv
J/fWIBOgxmOc59xJrPIYeXX1vtTF1PoQPhC59TIHaUywI8809rdcEd/Zl9glYvqx29lkIF27daPn
kJF4e87w9jdgg29gxOAfScbqRWE07j8KhYd4v6ed3cqBLNSdcP5HIBWvLtXrwe+c+xrFkxt3/Ji2
Xo+rV5F+40lw+nXFM1vvpw4KvJdubZu2yLpmnL9uhqf0m04BYtc5EsLiweBJkb7+PSAzNX5Fan0m
f4xIXlHfgWZWKforBCKSQndpx0+auzmgfmtiAfjyFC0BRyFw1eRS7SEylkV05eWMkIYxQDbKo59I
lQ9ZEeNQ7877MqnPfMH7fVCx71nRbjvuXzQfsi80hS6iIEFUXYFeNONAFo58uUt7Ttmaky3W07Np
pgaW4wTxnUcju358Itr4qM8ZHFg/unFy25Embba+JENskb+Le1b5ORODb45rD1LO65Q25KuYQXkp
56zCKEC0kWPPYTAVP8a28+kL7p/I8LFXfN4fkm6YRmyYGdYGZPEQqok7hRBV+1TpXpqtEFlWvwYo
X6JiY61eP867n2CIhu819QViDCtVcJm05kXNmDHlja776UACfLX9ERa15CAqMgyljasUv0Tb9MlT
tpgLyZXNl+JHQO3b1IUUK01LvUxxAqD2voUvneiRmpTvGsa/zwbmNvJez2x8tMOCiqto6i4qkg6p
cKHA7r7m3DPivqQLYg9ONfMG5z3fYpTpBAZe4/JAssidW3yF+MMyDo4XKWVTqUKzDHdqw1L/RmPr
12PKVZ+ATGIReZZkLREl6aHEzGeS7EeJw8i73NKqm58XSKfkUGimef+oAJh+EeECQN3tTh5mIVR8
ECDYbDhGUXKUds+w7QNlHdVnxQbqPi99lawfB7skBcbSU/o99JVfi8o32QnlGrCWCi6aEbduud26
5tQ4g2CNDL5qHLak2HcnTT4ChsRKZ+P0VKMe+OI1Jw81opR0zmQ3AYGdpKxGZqtJgXHPOnYvfB1+
Z3D/dE8plo6+27t5l09TlNrX2CPiFS0QcY81E+mO2inJ7OsaGSjJ3cYLBhv5E0boMGuDLkqQRg4n
71OwIn0bfVQfVNoxlWu9uYdV9fKl9kjQLxVe44Juiy/SpmpPWZbJx4XV4b5Otv57qNfukwT2vGhj
9qGnVr/RTg4SHHszQ3ay9EpN+Ra30s95jWo3HAPwbuHE1rR+Z8lm7l0XhCzxOrNC78u+HQfb0fsA
+WL25iPBP9W9h2qhTN3Ao1Ol+er7vMKbK2CTD038u3VVcG+UMhbytdWbgJQzWX0o20sewLkP247Y
FGGTYEDWnaY5RR/TkrErgVJPovs1yWBohn3ax/e2SSr5PAPY7o4rfP7x+876lBUyZKt7WDJD6++o
XPV0oC6N0pNpTZs9dtvag8ZaD2uf+8RY8U6W3sQvE1mIOSCmIQyIJJhZcx6jVfbfogYs4a6goaVt
Gc9d4/KFtihFpVt4W9geNYrPKxIR0ueBhqX9tQlKpsd1G9f9J6BUHuUQyOMUb3ePtUVN3sEw1B2Q
olOld1b0bfdhS9D7H8YhI/roOPadEh1Nzc/TRX53mLhOyQtMNR19gH6WJGUiNyrPCWxT218t/AH6
ZZmdMHERZL029/M0k5hdEOUCN1J7l/bhA1pjnqILhmRzf5jnfsa+0AzcJ09GY0l+UmhW/TdFlTxn
4G2jQdaef0tmoqLvGndaaJO3kYJSiCF0U+DtQLGUV8uK3X22y1auurbiC4On370Lj7396zxPMu1K
yqcI51U10Gj9xPzegfkepSknuXOV1YWsSJ8+z7vYwl8Z7P79b9vCzXYQHVB/H0PfbBKBA3S0r2A8
U7UdhhXprneyjdLxlWGVYUeMiZ0Etqdm4xgWNgPs+6eOxI0/EdWoWJfZblEC5D1jrEYM/Ij+AxVf
NxVhNZdaBBgX5z90ztra30lVK/vez9G4HscucvI8z3Kh+MV26W05pf22fleSwovEGiXn786raT2a
OtZRIdWSPLRTXbFiwt2jewxdl9X4SXgLM+CMKXthzQrQfT4xxMm8LztSchEEMFWPY51Od77axMeJ
pMGhOqD7bl5C3/e5BU8zhymsXgj4YqIbj8ELGooaCNLlvJMZDVojF57Pzo+Ryd3i/PyBJ543f61A
m4jDruK4KZm/nKt5PYMxcapQZj+2iObCW0cSTe6rDkzTB1OH8YsUeAglcS5L+jxuccv8Pvd7F6FK
DXF0t+14r+9QByT83uEI6H54T9o7tACJ/DYi4pw3BZV13H40K20aREInmrVLjpeMkkJgVw3o5iIY
53beJO2z6Hy8FxYL/k0lVB/6qmUDllq13I8xJhhPmFcQ+iqGjal7v1r5E5OYryg9XMqAVGGQgI9g
xKQfh7SuviPPomvLWmNTbDurnpyLUZntCBjx556LpjB7AHAECvr41HJL+qfJkbl/stUyPyzGjN0P
EJzdn2hS81xuS4SfMdv4u1qyy+WOEjjbt8y/M9QSrqz3CbU6dE1uy3vP9RFmZcnyzvgatQFkCytg
d2LDvBY74Yz5juuePQT9QCSKy6QHxm/7rlCM5SmFAv2MUbqcH8kkpuiVcIj4IAriQ72eV1bXrseP
soR4hqO76trDFhPR8UMnWPuhnsCGPyQwCkx/bWuq1iJqMLn6jrgDEGQtFXN2GJo0pHg12/STbdGP
3IWhm/O0wwZq8nWxoNjV6dL8ElTP6TvxS7MWQc8Juh2e9euWd6voo29tm1Q/xaU0OYkNLvO3wMwf
p3qXodyVU4JiVmdqOUkwQUQhmdV/RoolmwsgOwpgQeLs0MtM/Gf4p8iOhxDEAfmWVYZWBlD145Zy
z7+aOpLwH7eywmQwkhrJSLNBFEeJokT7e8rG8VffbyTBPpc13fCOpDbZFaltPDl1Lgu/0TrX+4Pt
0+qPbvpdUgC6w5o+6sZn01tUxYz+SYDMoL/RWjaYjHQ1fZSjVdg74iYUaZ1M/tXKihtYjXC3lNWs
jl/biDFMs1F6xA/UI1D0KFfL0nJze0wOK1vnNe/1sn1CJnKSfTFWrh+iKJu/iIonb7hud/vdWMFv
cYpGNMZbr7f1wDKBQN+9W80XPHP1MCQKsjbWgZCNjJNsPI+NlFNBzaB9bqJKfYVTd8snCp+MMZln
D3Yz0Stnfnticm/EcawQMXLoadjuJmAl7hLTx+cMHGPseQOZ3xtZ0/Bi6hHu4XVF3k9Op6Vyn/yC
iNfvyOBAczYHnzVfMRomPGdrwHNIfddhW5AkISMqDg7/sYjdW7MxFIkEo4S6RpXR0QjxsHyPSgsZ
PD1QUWNu4sE/B6eE2729S01s3hG/3qmPqRhhAt9AYPjY4ovkpF0TsxTYtoPzucVsjLwY1fCsIAZf
520cKz8eu6nqmiLNuPE/L1rX8zj0Wj9snO89/oaK5o8qyXz/QmruUbCFlhyFMNF4goSS+w8YRQ8H
bBPDcLSUdnOZNmufQC4Hcuth9DE2EeTA3OO3wDiiMnQ0aLc9RMtrCO7jHDXdWgx0Sfr7KFr1fof4
sf13RIFNynugIR/qfdywfCqBx6F8fFAyW4ppcv6ejAkKzqYdHoJp6Eeolyc4BJDviDkHghpIxquv
0Q45+VHAIRPeMGfaVhxEc5z8dsLWKQcDR+0YD8z9YobzgBuK9nuzT7Mu8EvB8C5Ug8ocO2a/6qKZ
KoP8coQXySdEpAleSM/Mct7GbAKuHtxssEurlYk2jyhiD49ekssijLq1rkFXnNAxYfNRZbfP0p8d
TBkyT8fN9VjGuO/6s+DsrM7GurguVyRqx1Bi6jRL3scMFVq5emmbgmcrg9fHsaDeW4aklzJG3nz7
tcdAI8v1sDTNW7zt2D3qKGLJPeOJpoWWaZ+WI6ZhazEOK0ZbOXx5W1128HHFL5mZrPgAIEi75gEp
0OawhIqOeUj3DBWMNIn7FVlQFXIKq4f8AJbNyu+aYDz/xfCP8l9mFKjskc5Jz4us5yp97WsfIzTZ
oClo2lnrjwEGfnVMuznWIacw268YYDbDXqNRdxg54KXeUBSCa15NgFHLuXpqxrjdz0kWb8OTNJjT
5swQj7x009g/MSVt85zu1QApSBWr4bSINUpfYVHjDGvKkt3j/mcI5gh+o7dHiIuMLnCrQpefg9dz
BEDi7sQ56jFO+Rr3+vILMTQ+ZWKl6eD7QwOmnxfMD1UBf4WblxyZQ0n6ELOUormkLhpOLXQW60+f
BjmXFWOVu/PYr31pqTHq0BMipjIFkcapfLI6NEd0g718qDLEr0F82V/wYKCljWXXtHK7r1zMRQGf
SC1piSSGGAuqrTTus3EVOtb3bN3IjprFmeyEIcGI2/oJtV2OOWyicnjz9q6c8Br0x2xbkukPb6nq
I/QOSeZIXhOEmPxllO7h51K4IXM4TDXqxKyIeivvWGrSsJ1VIoh4R2a0do8erf1m8A9vsy5DDbKR
8YXytt++RPjXyChvEkfG5XhJs0ZDuop9zZ6XSwf9UEWj2lB8QS+LgKlQ1fVL0MmMZsUuhGGBZwoz
K17groWiW41nLYdfbUB3DTlV4Dr+Y90aTSgGOEXDNDrYbVfQakZ7P8txES8Um0eNUlF0+2/V4Dbi
e9f5UR2zOhsij6dryABYMrPthwzlPtZyKnlGjwal0fSnMRn1IneJRFqz59kiPieYz7XAv2D+735K
my3q3UTLGL2ONS58PqyXRhWJBUH0acHXCbnGsM0Z258bjXsvvCSZIUfL0fiwAziKy/QAU2pNfbHj
DmlEp9ta3vIypsyJB29wk/SI6lqwR5RF2fxp6Dtl73lN/HiOFsDMv5M4ruKCXWq24zLqaMl7nvro
cYwR8PQhWualxR6HGPpCojIeDmHRwj63s4PRRdOYr5/3HiqyQsQzLnla0g+ImLF15H4JNpvqM/Ez
Nv8BfINu3e+jHXxtlKzINezP3tQkoJ4Cg7pI+OaWUxgHSU4WU3Z/1yu2x++YKlJ63yrcBBYm1hAA
HGDdjK0o8W7umG1dJmrRcbJpuhSE6S7KseaemJlDhrtGiniMY5xAWj0d2yjBfQ8bcMUT8h6INZGH
aTO0tA2n2clti9xPJtuieECkW+oXiZleDVbauMike6SJned3OiNV/Q+vs0U/orBt+bGnzSI/eY+r
mbKvRVfDnQhx6ms7DD17qOp+UJ+8wIN5CKlQ8328AKnztOK7pkCOh52+dgvX9f3WWane0Oi11VrE
C6rlqexGoTG2zpDR1sbFgsVsogLZHyyYEveAXMijgjT4EmHMvyHBMJ6TQkoEYOqDxlXQvJxRgFk8
WMc7Y19xTg8YPEOMg6s01G4yfCJ47DBXSdqo/Q23J9V2XLGSj3Lf+SOaaBY9pFElUdixGOl16eUa
T6R3cceYuVMdn+jj3o8wuSZpGN033y4SoRVqQXTI0dVmC02eeEY57jhTiK7iaRZrwTDYmL/rFZH1
ryNiF+b0eIl6TTDT2Cjo68Lucu0Kqb1XZdD2QpRzM3umtsqGcwZzuT9Ng1lIWa/BDI/pjJwajEhj
3LeOwfLl2GKIn+TRnCTREXeUri17UUu0nWaaDSokolvyY+PAvD9Ue91tHxHJkDnM3pvK7r/JQEn9
06gx7s8xgdXxHGPqOz3BoG3d5x6R1KhtBpptj0kWzeGvMNHOPIZQRzMGfFsqil2iHMkxX15wt9LO
M8R+k8uelljPvnAB4NCzxVfoymVPU1VAG89wZ55lF0XjKo4SYtLnfgUZ+C32qp6frNuT4Z4De7df
fm1ewesgXQC6feZZ9xNjvoiUHRWRmRHWin6mmAe87fqAylrhgMRGemnzvTX+RUZ2JUWIosRisYjJ
wi5h6OUJSoNxFSoJS+XLzNc+grO75e3v5XI+/uYLnOqIN6D1eRplSPIY+13/iVibOqy9murJ5UbM
MPpjxARQFG/iNi5JSiPIa0g9Vc9pw50/YhtFFuLaD+36x3Wb2R7HnWv6xW4Ly9C8TN1yHwLfty+C
a7O+XDIcyWnWS5VrhN1MOarR+jIsN9uKMxcXmK8iBMnv5wZOg2dclGhkMKA23jHamhSmVhTgyoy6
HzCuTiKHsSj1h40ZhamdnZqPkEkkqIhWQJk/dlA24lwEYwPZjXIVlXznJpYQ9w4x7rPWu6Gy0+jy
Fn6/LB8FdASkwN23Xf5gkFRjeIuBTex+YFqxt1HOHMrXLqfYZR1miP0It0eOkHr0nccN9lDAgYYt
Y803OKzDYvPFA2Iz3enV0bYr/IT8cNShMdtoUlrSQMpR/s9sHeJ5IyrucFNFXBFDETTnkXBTVSAo
mbwR/N/Rw+qb2pxlc5n91mi/N3PZM7PqZUxne8C0YF+ga42q6Pw/1bLFW5iz/oSg7m0rY9aNS76H
hr7gwmpY/pe682qS28iy8F9R6B1aIOEjVvMAoGxbtmOTL4hmG3iTCY9fv19R2l2yZbijt42ZUUyr
TVUBiTT3fOfcyIkxf/8zgul98zlnseqqqbtyo/uPuXXnjP+MZ34fKGSX5ohcw981sxuPokVm/0ML
zfs4oYbAQz/OXHfLMqlTRPJH/aJjtu5+4OH9i8AqJIPv6UhKYaKHSEOZ0Hj+ZNpk/Vk1aQ0xgp1q
KTiJMactgOtLcT13lG45YOWaHjbazH36e4TqRBX9GW30DixLkGjmTFPutqGbaRll+AgugAdlyH4N
+REtzvtB+MVfwVTvWFAlO4YaTPGWQADp3vZLEw9Rm7DPjSZWJtJJSSQp2ZXOS/2DK/wXCOf7dKIc
PozVRNhbx6MnR0/szEZSa/7BB/qrv/6OPmvp6Ne5qW9DjlRfCmU8TF4b/zPriP4OD2WbLqs2ie3t
QtuPIFXLIRtK8x/+8XeEWW8Yfd0Mjr2lBr1BSM2C2KDy+PcD6q+uyjs8NJ7HrLf9zNkmutaxpo9x
YKSs/v/sr59e9ZusDVG0JnQQ10WsFdm8vU+XybW5/fs//hcj9H00kaOMamrnnOGSur546agpTaHu
LIK+Qp6o2qAdoLH3+Ers9h+15zPfJ8KkXjK5xAjZW9qh2h8tqbrL3KC8+vcf6Ovk+idP9/s8GDdf
TMpCibWtPD+lAu3Xy4S4wn9eF6N3Hix23vyb2jJqZ5e1+V2+ZncGI83ex102pJxVknRDd8aXeTRp
3Rz0Lluy397df3zX17f713/y9XPTcthP0v7dl/+6ayr++5+n3/mfn/n+N/61e20un6rX7v0Pffc7
/N3fXzd66p+++2LDvrxfPgyvarl57Yay//r3k9fm9JP/12/+9Pr1r9wt7euvPz+9VFkdcehR2XP/
8+/fOrz8+rPpGKdb8B/fvsLv3z59hF9//vja9T8Fr3XyVP7J770+df2vP/v6LzpVRd3Cr23gjD9Z
RiZ+79efPfsXT/imw3Jm4BljDf75p5rOp+mvPwv3F3q6ubqvu7YP1ncyOnTN8PVbxi+2pRvCcznp
Q7nhAfzv93f921j57aZwRX7/+qd6qK6brO67X3/+fr1wIQQ8wqMcH2eVgZ/8vROcyJdElp7j0S5g
KLZSz/1gTJwssrOCo2+9/GCO/brY/u8I/vp6MPGUC12uiM8H+f7Bz8Uckwbluzuj6BLCfIv8FUKM
o7NRt5uZSLGoitdOBgM/RQ/qZfT8IE/t4WFVcRlOozDvCxo1jdE3t+1PLoNxWh/fvy/h6Z6l20L4
sIPfvy+/66hfgByzWJef+5r3YaC30kjF3oveOvr+2uya0lTbmNJGlNKjVQ3/XijEb9fGNGyh6wJr
H73Ovn8PxanYP+eDt2uzWe5ipPijZ2TN3d9/1D+545YlPNtziTjy/5BEhAow5umaezuzsfd2MX30
LDfbT1nZQix10w8uLOP0/XW1Sac1ueO2sBhI33+mE6ykz5AOdBZwne3szWWQ033sB69yWoze3T2f
J4JCmKMzhsW7USXiAgXBjt2dnTK9y+I0F5bDzVhlz//2xfMNyzFcn8/jOe87s9jayhU9Dd8YVCmo
tPxtylYKO2Z9bebFDxaTP7lTvuGYpu1jgIbff/epIHubxu0sd9eYlh6WwFxBiuYUwfOV4Zw7P9hd
fXXCvL+KgtKdaTEjME+9u1cZhZZVuYm7Q04G1B4b/3xyY/2mJKTt0FQ0tWoBE7YpkOJ+bRBIDb2K
v4Cz4bCrZ8lBzKO1UV2NEVk2HOB1m6Qrx/TKyEZmve4FBEvkpbUvD0NeZ6FZVQRV0342HYNmklNI
9L0RDXYOSUSJ4oOqKvUDB8OfPec+4KHwhc5c/IfxOLFXn0AN3F2CTHdAP/EOy2jrVOvse3jPbZvH
3aFWyZvLOrmxRCHupsTyfnCp/2y8UkkEejVc6tDv7ZUq5xRlx6W/K8vBOiDJXNa6Q3VZT50fbLD+
+Er+KSjEFFRkba71u3uatmk3+Tn6txtjzp0HD+S6qT536Q+7QDMy/zhgfV0Qpiew1Jvub9//Zlcn
K8PUXNG5OwtYeFOMWrZXzPjXghPwjaMxEITs75Jirjb5QB0l6j1dQtXW7RQU4LR7v4PPWVzXH2hJ
aDu3QzbaT/Yovf3kwJ6G+CSWW7/rrfO+H5uzIq0yeiynSxW0xpDP29JDfJTUtUHZ3OGg+wvGALDR
ra/qZafJTkZKSbExbdBMflAvjcBOGjveTb2QNJcw4osBjPKqtg38eV3aOZtknEU00kn8Ktar/GmR
eXUgJWva6CUVx8W3tYBQPfdQyN59zMzVupoEH3ztrC5E+yxxWyhgJVKNL4x8ifyiN9He2+pw6ksX
dhUR+c08tHeWUO2jGOr2iThEUkxTWQtAUqoC9B3BNV+Py7b263Kf6X1+q+mtvPL0ygMoQpqLCjWv
ipxfUz5SV4kvFLUwpEcUwLGS3rMzdXMTxLr5qdDyjzUnYthxrXHOADKuTF+Zl26VRjRI2MOXVft6
NMyWGSARN4bh4QIwU8c70y2zu1qRsYOkl86uk6qA5Ohb4qN88JNSZhGb+KE8jg1gbMAstZz7A+JF
gAu3GqJBxIMbUsQhvEVO4ytbJq7JZNbnKXIPvu7BuJSguFwyUwyUqdByja4eH2jlQBpLZbedQ3iH
7j+wbVt6IFS/v/fKyjoMgz5SbpFaqBzbOpejU20aqcddkCWnw5xcWfqDIjEqkPAS+iYqRi/bi8RX
29rjfotu5PKNWmc/xU4xRQn3lkloNLINmJP9iT3zcsZhwvpkplR1Ak8v0qsxkSgrBMTyOt6gw9oz
eczMnLQXdoKimvyHqbP78gFyqQYt0fNnSo18Bje2GfEUSbtbmhIWtGlKp3aTssVBB1VhaVju20p1
PQ+wn9Tg5b0Z5ztPtDk6STEs56Ko5HF16DYeZbCwPEKJHmApcnZiZYMTMB9UXxzTJu6ZYBX6S1tK
HpRfuYGZgAyMsY56vQIOoAslPti+tqoQrplEpzrG6jAne9tsxjSYa4P3m07KbILU650srIST+oGm
Zeu5QDQbRoNIXN9WZ0lfV7dmPfVhkS1bCNb0Tuj+TGJ922873tuekggCnuz9vWfrFfd3rqDOZsbH
yeUENV0O8LhNYjyMpueemYt8bWiPsskGAnlUKuVnOnw7BhtUUx6of6qADioiLMQIWmys9rTTPKoQ
pAFx9XWvuPAG0NGUKvYhrQkGzi07gbrKqicCMPPLvDamvWeq+AU6wo4D8P3pw5jrbVRyi2m6Yer7
PCMjbVrGdEethp5IeaqeR7vqPwi/W/Y+ssFOdYO3kTAMW5gKLaiEv51HNoiIrJSn0fE3s0smohqo
AY3tkWwN76yj8thD+E0cFLrEC+M8vk+W0TqTykiutILWgIoy4VNGzOi9WO1+UyaJaQcqVgO7chXv
BbzWPq168BQ741HwtASdBRrHadkcV8JOz5J2fPQ81R29Ri/IZViWYBqGYU+2XH3Rl7YH+kg+ddTg
rKLEqPKSzg5lHlpD3kQzJ83AtNfLzjz1Qs3d9VZIt7ugV3z2Zc6YcXXtpMfERraTspivye6ZDjlq
A0CJDk9SrP69I611g2yhRTUF4YvEzx8HuJ1d01VzSKupLkyc67isbnS9KA+EeDiHaTCLIC7AEddx
3EFoa1sikqfXeoJDCgqkyZVnTTMeZ1+aF1bZXeBN7CKvzZNwpukApMJinJe9aSWB46XlVqE2R3bZ
TNsGv03QGT0HCsNpwVvVeBN3iItbZbkYnXrye/BNvs1OF0Dm2XdsktbdIFMZ2A2PsmPoO8Nw7M00
NeC/df+hzdS5mddL4BpaG67M4LSKq5/IQMb9xCc3FcaDBDeYtACXOreLUvrAot1Ax5rDZGLZGOKb
mtTRDW0bl7Pcsy5wHNWR72mk/ZjOvJ2mQX6OffAGdzGa0FnWa8eWWKWn2pkCjFbOYw2UR/knWbau
xDCMlodLJjwpnGyrQKbv2ZfNH0SdmfvSMeOdyqYyNJhsLrMKIsmQmn9Lqzv7k/LBvqICVoqr4VTO
zHQu8zkwTt7MyJVNrG+AAAoomoYrQhlida9Lm5gFVqtVfRxT1X0BBEWRlK6vhkOSLzNJCXVVh323
vi0iq0nnhqud3OGpQnk68OfWoPfmbptbygoNnIlRt5Q3zP0RqoVBz2PaIAL2xqEw/eKT0E15hD9L
AmNYV4TYCfa5TNJtlhUL6jwYbDGpM7XG85VbWg+jQMNIfO3epHlaaLLIXzsaKFm3xpg8aIFcuwH9
Jxm5xUmrdS15Kxz9FuOU3DcUaQMf2Gjfd0V+PFXY95UchsMAEXMyMtIk0LEZFKMUYpc0pYPt1tA2
serwG7SiPAfxF9dDW2ZRraf1p8bDrSwtexNrS35WK2aLGaH6jQUp2+T1VO5XVO97AH8Dl89sT6+q
XG1kCr2uolx1a7Dia2HPaC9bTfOavVc21QGB6q0RojnOU2zc4hCTW1ie60zREhF90g4b35yHAC1t
fACsS97stVAbwPPlSnqLfkA7j7da7aub1S6TLVkNL8qXw6VRa8m2zPz6SHsreggU+VDs51Gfd2jV
SzjEMt/0lf5BIi+HnZmiAnrjvF1j28qCxErqY24zErxZ6FvDREmbRb5umzkrzqwl88uAVJdsCuei
n0IoxOZZzKI8i2tR9Nu654r4NGPexTUeGpBkL2hT56ywhsdFzc3F3MyXc9l0L3bVDufo+C3hPOUc
cja8JH282/hx1z2ZOFB2lS7HQ2Uvu6LRHup4QXAd1jbZSJK1joC9+SZtIV2SwaEdYDf3lzRjJNmZ
RXA/t8mxRsG8t3AoYNjxRIQXS73IelpZuU+FNJE1cJFDQqCOYG4uGoeEe5LXP5yIpxDbnhN4ldCw
w+plE1HIGK/nVH0Egu6DRhvOUzGWYbVMm4biakRcWbspYX1VM8MJjc26G/1+DEsB17C27oVY8cwJ
msB8YGNvqyDJYzy7MX6T2sRIXM3gebmWbVu3hqLUn2sn2w+T0R/KYVHQu53Ym42Lj9MYWYXNGeE8
s9ddSVdkmlBuu8Z2STNZFvyjreYd/WbOI0Gs194s7/C1VJEcCiPiCBXVkr40bOWLDdJssnHSPN6l
ZFbvTF4fv4793BOE9UgbNmRF2ojp0+Js1nzd9628B731gm5cjr02PHi5IEhlXNHr1Ce/11ijU+3Z
y5oHYRYXdebcJiMrVFYZV+XsvibFq5q8cUfU5QA2m8BLD1DXsj22tnue2caFRsO1EKNqd14qDaeF
b5xbhBLu4sn0nht0422CAY5VKqRV47jDPVl9XM0XSnHl1hMS/9KUV2Ep2xI8dtG4gV12N5D0yCxW
36vVe3Bkzv/kU9HGn2G2z1Oj/GSBQpx1laXCoVQ5neDTe1wwe7uq7iYv/1QLeWh7qwztrr6klxXv
XRB357TjtBmo7QZ9jrOOhnS0NbGpX+D2PdT1JLeTU97kPFWHMk+/UHY4YF6ONE/aMN5G0MtxjGSe
xnvHEGSzARteLa3bvfZl6VM0sw9FrFVHP7NxxsbTuqum+EthuhzMOe7f9dJKmY1jWDLYRec5XY12
W3X0i4sre6t8vTwuRamHAjPHaSvlyI1lLm6Ylt4QoRXnkWf4KvDr+kJYaka3ntmrtLHP4X6ydho9
r3bdlBWc6jX2MHxgDEr0IxGowZhy6mhtuN+cW5tg0txbjN5XljlloSPUZ2i/bdezz68ddp9VIegz
GDPno6eEJOLdpKt5gVD9EQPWZeUg59Yz9z3RcMrmbqkOabq2LPr1/ckEHKKaB2LO28fcGJvIgKgI
suaLq1kfnVLvw1WxZi9tx01TQD3CHK4XqL6HmWIorgO73KspMfbWKppNG6dLAIqQP2Xj0O9SC4/K
QEHk6IK2BAs0PojVxN7WVZ9JLB93luPwSfV8Cqp8vLINCUlemQ39wsvhDWereZU1M7s7xyy3GCCb
rebPfYQ75aLmzLLNOf8cadTH5ugErmFvUT0HDFokyscUJXlHn4FhR4nlVg5Js41b+NUxufTYHl4h
pw9YA1dqGX4MX+EL8Nd85txMs2V5uQq9DhSNFbf0cpXs/tVHkwSfDQ1A9a3IlE50du+HuJLmO6HV
HF3qlr2kmvRt0rjN88yHOrrKLSNn5pYKY2j3ItWGHeutftnKVD8kTVEfK7mvlzXfOHUjLui4WG6S
Dt9OYXrWA+Sz8+DN9ms8GyISoh53aWnqH0u61e1rI9du23ZUXwDIkuseYf4CxLQNc9PUdm2fjru5
mlM6LvrdpQ26syHEvI7cFJlEl6BMwcRuHtuT0bn3elOE2pD0JlBRxjDsqPGFuDErPRhSUM0OQgl/
TvlpkWwVEypez7RXqDeZNJYwVWyFeo7IOz+3TWrVOXsl8gH2ZADYWHYc59gq7FfDukQcmJxNyeO7
hekZ6B+Vm5spt6H+qmS+znQ7Z7dYtEeXHNao7pwPKYUoSDvu+EqYzF6MtgEZ6ooCg/SwQ/LPLqxZ
qQMBIpvan+atz4POWaoibTLPxk2eKfaVtlldkAXABrcuMQcUxhSNJAUc2nVUu2EWzq4qe/uM11k2
Q1aku5Xcxn1cTN4x9vyYmksjIzNjN88B7HbqhPm5qHMjdOb+ZfbN6dEoks814O+FnNP4Y5mtLxzH
1Y0/SZxwicJMlcGcbY1CjWea3t0LYX/kZbtjrfwDrntr06VshztrWUIVU3ITc4fvWJcKUlPXqA3V
qjM3FbDs3q80g6pj5mAqqxk+BPxtabYYJ1sOfdbHIVFGxBBsP445y3RcQHV49UA0RIrBMFxyp/5A
rYIECm3yQ4X8+pQXqQn6nOnXQkpzkxJrugRwHuq6EP4XWVYnA/Nw6oJmEhJg4fSc4hWfo++aFJgG
F3Ncrc7rhrhux5+LwzjXlERl7Gyk1lQ7TcOcTeoNzh7XyI5LuqwczFRDCoTRTLTPWD9PnaXvkzVZ
HtNGYWXIc0WFw/nizhiwUpvenGCayQYArb0qzbgJIUayc0wXeej5Zn5g+H0gxr81QMsTuSePOT1P
Rpi9tWmyMzGOWQnjSUX1rJyH0g2swRw/LLluvYz5JAUAX7HsxskliMKkx8ejARFRbKzJne2NGtLs
rWGQueAJC0RUmvTL3Vr5rhuWuqbijafNPekGhSofgcKGjbZMnPTWfr3TRWLtWpige7UUVoRqcpvT
i2CvfFU8V7FMt1iR58gjRnaj1w7NMrrWvo+L+qzox0uvMtSxBLwkxo61g2e1XHGjVLiSXA8i3nJX
0Fo8Rym6Zdk88ELqvirr5hHbo3llNNUlTshim9ct1FvqG9vSmIjXyOnF9KltWvPY25XYwCo3SwRL
GO8NOx5p/7qst0U8yrusMK0LHRvaZtIsPdAxwwaLllNl78q2JN7EJ3iid7Mhkmu8YuVfDObESmf9
1XAXV4TWVmMI/66RV9pIK7BS7ZRNMcRbCWwI8yVPGdEFi0HgQjGB48mu3Grx1D6RmiHs0z3Bc8v8
cwmgifSJlasKYg6Tu4FL7Z2zfqfFNhPqJrY7Zq/iBhNGtfPHdA5t6pdBS3jDBeTytZUYdkQlZwxh
0ZxgHbVLCu4u1usp7MaYiRcdYasBk+F4Ak4hpiBqMzIJoLdCX4OB0+YCC93oy+LCTnJJxkT34Mos
T6MUbp4DQus8YVIVe/gqEcKk95vJBy5DUh5uOFLGPP9VvqtS8v5n2fKu+vRxWlj9hI1PXTMKfUfp
42XtaGtQzzSXbdbpYVjSvZz6if7ZwGm+F+vXnQDdpguITuKwVpCW5lr7uq/LcEkLeTS97MbpyW5s
xvEYw7hpOGhx7hFBUm2o6gwXbpeLLzPQfhxVeVXhoSU6Z4fFdLQphbb9meUq+vqR241dS+nei5OP
5Agsov1I+aP9UHtdf3Pq6PXo+YRicOU5F1O62xqjcq/Yy02hI4ktw87+FbN/7dNE7f3VmK/sNVlj
ELsy/kINlh0+9fL27NRMHp8mc54ewJyAJA1FrZGLksg2x1Pg9/1bYenGvNGNeNWxks3IjpVdp8yZ
Zuvfs5YOdpBiMcWCvwwcg4sG5PHQ+0vbsOnWkVQ90lHWxq0uervI7wtnjDeAG/K8w04cxfpJcYkz
7fPStuFcZkQ6pwQ7dMPU3dj039xVraFfURZx+dMdGFZCykdou+5MEZ29rB/KGXseRhGm6VOAK0rP
HNaqjuwWQ3dclqRXYHcCIdxwAorDVrVvw6ru637272uSkFh2kyV3AzIwMGYZ62NVzx/Xjn4hVl+I
bTpmkdYVWKrbnnSaJcuOSUNNCEHnkJSZ9gConEV+Ru2SsnsRZumaHdt4jqoqtbY9bcxCmdj53tN9
DrOjpVF4IbzqwA52rDFsVs5KGg6rYtBAWnaUdibMz8ojhMHqpiEJPC2lxymqinbZdObSQHVV1HGo
aKS3Jg65MzZ9RN/kTrPps7S9BcygXYzbOwCwbdWhUlPwcGK66oj+GpjXwnRPQ8E7PWnlXhUJh0jF
aaWJIBDVUSPIC1e3vszbwutUIBPKmvrkOo98rnVLGxCgYDnYzYO5jr15OrGU17GeYJMxVmm+LAIQ
MIQnJCiFTowipLLY3nvLabIsxlMJuTBj881yCsIfJrrz7HAklyxv1Es+2nPhPvZL6p6jSDUXJYjA
DcKne3CEad7rdpK0kWNjwWFXbeFZ7svO/zQuXsNGRqvqg84KpzO29YxymkPRbrArnq18bIhj0wzL
eLUw3N4PPMIPsZ63b4Vbrxz8/a66qqUukBgwJ6yB9K3iRWq2fohnfO86ysgtadRxEhWp1rHuNM7n
xbXcK7vNyy+lu8ZUTHELDHhrHonAGDkdD0n1lJNYfWwri6/ryacMUWocmMK5UsQQtY196zfY/8Km
soynrk3EHrp6rAKMus51oRPxEXqyS64B5qntptr2ZPJ+0Du/f2tq0TwgIsUfq6RqPmk8+xut48rn
XM7i4LCT3C91tn6MF3Ii6kTwaC5Z3H8SSnOeqAJbn0u4uXBsVxACM8PU0rGFX83RJafUMo6tZtGe
rWryTeUu85sA5g416jZwq5YVdJ1nYU2Rtfmg2VV6IGdhuVDT5H/KDQBk3e3o7b142dGhzOygY/Tt
tm1U/LRSZOEBaEr5yav7+Liy12ZTvZZqV7ABpCdu1aXbZLTvWLzq1xGP07VTK32H2KABZdsq2bDN
y8lN1D5nlHsaUHEmZP5fHI1GUu7GpMgv4Th6QmJQJTZm05Jr4Xr4WeaEepedkXtGLlfV3i4diShB
sQBzc6SiCGmJDu9+P5UHa1q8wxyn/ZHUo/aFLAyEwQbniMRS4pZrgEWmvMMXpetRX1TNBROGB0UP
53hNppGiVadTziIcheQU3ZBkXm3qrCzYZzuueDZyNX2gYD1dQ/LKW9IvmldceOVFrdfFcR1i5823
bO8i7tv2PLFcTQuFMZpv9tA3r4UoJivQxmb4VIOePOZKdS7REa5yIi+TRDXj3rPiAAbbwWro+FGK
QHrX2ZKoSQ9HdxZYcaffaKq3HhK3ql7qRD0YPlXRumNHAgS/5vSnJ0OAirssrlcw4qeqg/QKFbXT
gf0UMR4upfd13/WU9Wx/7CpSv2Yu8tCObDA0p131Y55Kq6KJjIGzSs1xdgn7aTeRjerKHEHc1taE
6TrDFaPcqKBesZ1ws3G2rkdcl8JjsRFdgRDdepp+MUqL5B+GhLjUB5eCndv3S2jTgOFpUG1cRInq
HmlX2OZR5cr0MFaquUm5UaTq4IO9x52ulg2BIO4LWyNrDGhotjznCd6qsCxpPrU/JS+wkcIAQAjX
NOXdLjZYMwlP62YndP3a+Tw0vpMGLVv+syQ2p3uIbFY235l2yapRtddqwz8m7vJFKUxEKMfTHHC0
5jlhj8QnQEwwiCxoJEsudewZHcf9lBBm9oIPPaZk2dshVjdQEcM4xzEK4ag8Szk703LoKAR5NwtY
ZIXgYfKNO6MfxyFoF0i7DQaYCqXDcJt+Y6UZpbPOyJ9jQOyDa2W2CMuk143I1fVsU5WxfFaLu7Dq
WgbLP9LNckYgSRnquGIfV4nqgIjB4a1ScVXsaaFjvuRlr58tyqLh5LQuxm4ZK1q6FqMTYtBatk6J
CMSQrA9TMiCUuYhp1w6BJ0SXWQOrSRd3zyv4LFs8oamPuZtW0YS9LyAG/M0cDf/M1iz/mENbXU+r
SUQLH7s7LqpTF8tC2BJaLWf8BcuUo2uBhtq342zTpBGn5vaNRAAzpct7nl2nnn1VovvuRCLJvaoq
MwsF0RH7vDJoC4Zun27rznqyG3250ZzcetYcSjsEMZwvwmheBtvM7003LfX9OjU+xV9LPvqs5uda
0hiXZdtoN4kmfgRinPCH75EXX7egoFi4Bf2brBM+8Q2xQHKB2xJX453O9IinnJix9jbpVUnLCNZt
tqpXpGLk9/o4spT+PUv0NYn6Dy/uOaigwhWAN+/4nlVomEH9mWwCJ+mvfKdVe/LxURF0ZHtzmvUw
5kx2ikbJx5dpZUlRw0Ay5FgY2IC656Ili8fzKoqdrU4sUo3AhBPM3E5s49GbhXFdkxlHWaZyCINg
RV33yrGa42Tl60XfZZedGJEqSAvZmpBaZUjGOuEwEztg1vpSo7BdiB353FjDoIPwETCXDWogDmKy
7+aBw4FNu4hrmTnPOS1eQ80d+73UmPDzpnYbbJwnVIoQkh9cOmH+8b751GzhzE1BdfB9t6aKocTl
s9itw1BybtCvLWteaEmXL4faAFkiRHG/mD66u0HfvbOsG5atX27YBZwYg0lEcZb4xDCnIyGEQ+Vs
CFAaD3qD3a2ZtTPyFjjvlgUbYDPP9+SG/Sim9R3Le6L9fN9G0LI8/gmfcyLnvhl6GWtJO/qYKnXV
5hxx/HElVXmd07NV62+MeXRI/ODt0Ec9PRq6PryieA0HpZ9oPQputlEXPGKTTtkDbuMHY/NPrq9t
OR7j0iVK8X27woQanmM4lb8rDApVSJGJf67HtfrBy3xNjn33CPi+BfHII8DUbpyIom8uQotgTL4/
KUfInwtRoIJUm2lSQzTPpfNFcIBnjixw7xhxHZGF4txkbEJxD02yOIPZ8a/KxSvAZnhYWruurnpz
0JegiFdtY2X6XdsX3cPfX5qvTpRv3zPztW7YxOkyB3nUft5hmuRtrRQkGHtjJ5gUVlHboatTHMzj
osWSnVoPfnGFNbn5RJyHQf6e0MN0LNPjYi1OBMywvNi5P/8WWv47Bn392zt4x1u/+/L/gl9fZM+q
6Zq3/j1//R2y/f8I0kYNZZCempX8NacdPVVP9U9P9ctPUTZ8S2r/7y//Bmu74hdAUv4t1SZH5wnw
/xvWdvVfIGYdTzegb1jtvoW19V/4jivgQT3B9vfULrf7HdbWf6ERk8mTjmcXtBeO+9+Atf3T0Pp2
6NmeR1wmSg6BFgaQzIli/vZxUZqcaKRtbYw8extc59JV9q51/Ls8bguYSWNTLu7M/j++yxLxoV2d
T65KdoP/mYjAkjiW5CxOV0JWHBhje2to2iY/X3N17Cc7nF2KQ/F4kU76gxTmruiTbbvau3xVe51T
UxpvrLI9M1ToDKj6FLtyWZ+XudpbsiQKzPzgKPsSCHE3SeuDFRuXeHjJ7Poyo88vrc98Km/xON6u
M0nEjkkWLgVOau9l/2Utb5dEbnICHmwqDa41Xbitd+BQd47377K25ofWtABEa/AHTMTLsisxjuQK
mUTEdytnisiL2XQ7CUJNflVhNUXu9Dnc2Wq/cvYP8qT80CcomQQFhJk9fu6Vf6d7Chcbl4zIsZ0Z
OwdJOcar+metNyPZVudWXm6+GXm/P6bfEvd/QFC/3kTgfd9kMDFq3k386MkC/FIjnUXKKEFTqdzq
PJnkFYTOlatYutMUNmF1N9pghyN35u/fgPW9L4aR7euO7kJKs1e3dPN9P5uMPuPoQFm8QfVd2zY7
9waFnREWckTp2hAEfWWRm7Ib4vU6l+vDCDqCgdrWDpXzX+ydyXLkSJqkX2VeACEwrIarwxf6Sqdz
jwuEDAaxr4b96edDZZZ0VvWUdNeppUXmkiWZFZHMcAds0V/1UzNeuavf5BabLYw4x6cdPd66AgdL
UM4nrCN30ANT5vChBqYGgtqsdN+yARzvimHi9tcgk8gBU5UJIpNFHphbQErFM4/12CSriFnkplPG
r2kI8CuN80PHxIXbHuuoIV7N2jgG7niWSXdE4qgPZV2Ff3Rk/lsL6X9vlfyXv2r5Wb/+kpH582f/
T2ZZ/ljpFsvuv14mLx8EWVgl//MKufy+P+Ms9g+mNt7y5HA44BFijcKltgRdzB/LaQzzuKmToNCX
Doq/x1mcH6jYYLZwXlt/swf/xwpp/6BmjBgKmhJJcpbyf2eFNP7W2v6XJVLqNgZ2fN2e4UnJovxP
S+QslaFzVs/3TAmnTeF+hGDBOL42+SWypmCBcWFegMBZAi1fU6gF5kMfs4/Rst1zIqkqGJXccRso
VlE1XAuzRZgs5HNo5d4aBgZrRUeq2odp6A+p1T/0jZ2vYBtSnlt12aOKgEwmXtPcych6T3rFGY2R
pWIWJO14E7lJvGr74KFDmEQoNDd6GjTQ3INnRmoSFjVuKuLUp9ycnA83FigsqbdRpYGnUXrzOcvn
3G8HOOtZxukDD+ldp8lhO6i+AjIlt9hxRLjKupwFLF9IxMJdMyzT1qU3PNQgGfkGvwbDxaKUnwDA
byZlINvbx7KpQp9mRR8k97ct4vEAZAzHaUMx6s6ImkfQWsZ9Gefltp+1aje68TMMV0yYw6mz+TAZ
ApinBNq3H5vpBYMcQQJiAEVVn027UxjTmJLFY/sLM+18CV6Ux2qi6szbRnV3sESUXSDHvDj2hAOz
22QWHPrcqgntFd+ttRhEnAQrkViP0gFEnzxBet5HVY6g6g4kwMEc6BZ3XW1O7rSpe9AMu2fOrMZn
YOr23nTzTdUZ4zpOyw3QWj4atw7vckCMj0Xe3CKz/wzsCWWaG/x2hOLhJ0iF97bJupTZCJdTgGgO
JyDZydYKfCyU9t7w5unJzMubmS5eCsq0u3WSR9OjngVzhHLXVrtWS8L70Tl7uf1s6gmAGqaT16FB
ZkJOOLP33EfJyIDIeQ2z6ZIloNrbbrR2wOJOqCx7DQqOPoevQ4i5bYw3YBC5Xnfqgkv0Oy0eacCs
8KhD37DdivlIPuHNEhtrhEXR18ToPYBHASCtVWXUl6nXT6nNlji5xUpKEFb1tB+V/hzkL0ZWjVit
cijOzvKzk33Nxb/hgvmMHQCYNGmJFR0NhtoWQHv9XA5iVwfcX2zxAcU7Ps7C+84S7wxMemXp+QFc
z9VsmW5jFilT49bMkXjvIanqGDCwV6MOP3pOsS0C5oQrY3Lhy+aNdj9Hpn0Vw9xuY4/SWfxN9q/K
qrtj26Rx66vJdq5ZbVYHM1BYJ61GftjgAHwPfP9RE57kIogHEaZx9ppwf+l92akYwxWehChhUDNx
NHqCSIuMSHRub6JMvE+pKtFZh/IaOdwHXbfIflJd7j7OVjwzBl22tqpwjpFTesdqiccKZ6CGWIhw
32nzeAaLkT/NbTw+yQrQP27i/DlvJrWt+4VN21Re80EBhbuukUXACnv2mZRcdcKPPjyIrjAvtpi7
Q6s34l1QirFxw3Lcjqhgxzpz0n2D1/oes0r02wTggzKcT81XlWM2ZxzCp452GJ+TyhtO5EvaY0bj
gYDx3+tXKUf9Nph0g4rAEKc8LaPniS8LwLndnHhU3JOpDfoJ5j3R0Kphx+3yiqAezPeLxx8QYZFc
JvRw/b/KdRMI+4eDLUEcD++8yVXTkQ649X/O6KcpDDBTzeFehmF2qaym7PeJ6tWlXrC7HX71dSWo
u0Ar6tZw5GdkLJlvAESGG6vtnoHBadsMxzhvQaJYYTGVrO0w1skAe7BjrTh8b4MuGHnmQhuJW0+O
rZ5f3IAWCw5E87VyRIFOK7PzFC7o/zp6tgMyEw0pxjs1AvjqhWL2NtlPTRNFq64b8nunAxmzHpjE
PVUDsY+dZ0/17Ct3rot1VPAvXhkYpzBbudW0K2Z8Or6CEDPudCjFTMggzr1rIiI5UfdhubHhhCwq
mHxXRnhQWJK3aF63ztV2RQw3gBgwGaylEaB1SbSCAN/FORKZGVp3oJMgp3bmrRrbU1Q1j0EDKaoq
GS/BsT5oWTz6cxHEGxiJ2BG1bsbWk0y+iPKjmq3+GDTlyY15/emQJgyvQphNMQT/DhU3t5lx1YMT
/op6eziQj2SGDLsYqoFjX8oJM03tiWzrRmly49qB4MjZ/dLNg7vzwFP53ezyVM0cTE/D4tObukRh
1tO8c2frmK700DhhDaa4ltPrrRSOfmXabADEiWHN8l2Pp6Jy4jNwDu9MNInnHQaq+nLhzFoYLszo
d55BGRobGDjN8qZMyzsjl7fHWN6jbnmjYLJ2B3IS5iXVivGhquMaa2DB/hyp/lINbJWF06gPymcU
yq5nqW26vMGgVbqDvrzVgZsWT/3yptuC3afqKSGvl3UgXlYE4GHOsbKwGfV1sTwHtXyUyxoSL6vJ
vKwr87LCWMtaYy+rTrusP/OyEsXLmgQZRN+npD5PReiwZI1tk782Et0HyomHgXAIj/gKoOO1jvxI
MlIpVaBVB91J3SsgXRZGj1995ADi/HLgcO7ICULvrWLnyq/W7js6S3zKISxyGY4LzhZuCcCkoJGM
iUA38ngQgFRb6YGPZmDvJsOWATo20LoandwXodlMd4Dy8/5SuIn0CfnZDJxdT81rY4Hm3onBC5JD
MauweoWnRU2LYadViwHGTNu7MiRWdDIyPRyZwMYW0JRWUilCRAbXYwNfs1jpIcPDlYyiKVx7EzUr
m3y2mZGM5Ah1v7GcfIkiJuWOFIV5b9IHfZawhx5wTOH98Ey1aRJL3BT2x9Q35yDXd7UTZdlGawRz
tSDBvF7i3fw0e6ce1tLLnHrVuHOkbbo84wTUJ3OX+S7L5ttMpwGM6qgQrC2QZj0eMVGLU4MD4pa2
NZ9LUT+4wTT7M3Sxja6Q+FujuFO21LeJ2z63/cmZzZq7tX6G+VSdmVrpK6PVAp8zKmPaJg4Y4QGG
FAE3pMqDjpOXBIRMi2ZHvU9+VqkHdycZfgmagnzZ4PH3JoMxcD1cypZ31FHNZ+x+Zlj5D9yH8U9S
P7TuW7YBc/GjJK6+c6PygTzijX4Ybz1m8iqCISBC4mKworln09WWe2wdcjoZrmg/joHVSu2G44A9
LxbmSWP/3+hz9Ys6dQphQoybyUKRBgR6ZTunK6+Kv21roLqBtlF8d+V8THB3k0or2xfk7wmcYD19
e6XgGcSpWJk+MBzYzxR9uH/WGv9bt7j/Bo3gX17h/nqD+9/ELPhT0WKW8K/veevfWRT/50veEsb/
UwZzucot6jTbMQIB//v3S57r/MAfhKDlCu550pB/ueTJH6ATSSs7giViYRz+xyVP/liufR4XPVMI
/o3/FrPAW6Yyf7njWbpkYOJZFus8QxvcA/8og8WFTaGOB8o5bqDvsi+RKu36cHiL+ra/p9zoqdMa
7cbdDYwXkP7qOFkEHm0GYWSBhiR7z9Om/4AEFe+D1Os2sN5sn3AFMQlqD7aMrFlMHH3EYwwCTSVD
dQ0B0/6Gm/Y5dMpZD7OnbeoEWqdTWuWV81bwRAasBP8j1KtZWvlHKZ10rQHCZQqXpteptG9pmfXH
TJisZGSaXszE0Tc63m7iMx64qrQtH8vSewMJShRmwChZpPW4cTRt2OkFFrTRMIhYqoo1c6of9dyM
lnKxcmVWrce2r2Gz7tr60cotbaNCRuAhHk7YLa19R/NGvYPRPLwCBOJAYwTZN8Tf4tQzEv6UTl6v
oKC2nx2mp6ekM/IdlUTksC2H7nGrN92YW82oCZjagfiZJmB7HQsPoF5LUuJiJISI676EXFZTJGLm
CXOrjJNtTPap199L4XorPagGJuKhgBPe9PbZbnuQnZObyhepZeoY1YKZuCnnqsdRVxKa+9tD/v+X
hP8KY8KomsHnv14PnluIZv/n2nx8/VbRX9eFZcjN7/xjUZDWDwRLZjXo3AyvjGWY84fy47o/dI/D
GMOsP9YENKE/lR9T/2GxfKByog0Zrr1Uc/9dGzd/YPFn9MO6YP1twfh3lJ9/FjV5322UeR0mA4sD
wIl/XBPaAlNA09n9rkpa73Hg0HpflFSW+vTfNZ+aNzMv0j2ABH/5oP5fai5P9T+tRvA/IUIgx7sS
YV7+M7aD5SDlgE1a0bEwfMaNaVcfuQGwegVg2SIaUAm0IlqPu7cMbCy5QCwuqS9dqtZ9zNf0V+lZ
hXVLgUl/D+qAPOeEM5fx8xS2y3ZPnB0YZ4RYHqjubjBE0eAJE5CMxdCioVSlnD7NoV6ZLRWCO8xb
7ntu5ePHVBreS66jR2xIm/QPk5pgS6fkeI8QWEkCEI7GedgLo3srwIBs2Qp62u3yo8XdfAflbhpm
x1dz8ZkQro5ak4xSydVKkdfChStOCrX9wetS99WbnRoJXUtODR7Cpb/cIq2ghU7wrPVUMGzmUCv3
kzSwCwbTb5diO25B5jboE2PfEs1YD0N0lVHnbvuRlCfzY9z6oniJKWzxATo1/GmNx15qmFk94zbl
1NvZSQavMC8xOQHRuAckgMmYQTQSJZGuoeM3NrW95eqQ+VpLDoAhewLy2vioNGbDoWcddVutFYdD
4LcNeMBsC2YRF/ky6iZlsnO4D/gK9YdfhIvbCNRwz4CyPuld1e7nALtekKkO52GXr0tsF74gb8Dx
Bt9eO8TuJkWvJCoD+Le1w25vkAjY0sdi7xFY6ejCsbRBp+gOga6WqX9kcI4cZyJxhXGXBklHniPM
D1GOIO/ZWUD/yoQgjnhEr7jFhqNwYZEU0qyvSvThXWdRIOZqjnYBcl7sBc6X2zRnKl3TuGKtQ4iw
rMGL1WqVJLpJ8QY5kXBtSZeuNVCzEaVFpqU+JtdJqTri4KotHktMM50lz+4Ui8+iN/Kv1sXE6UtY
mORqmC7d8KaeMOGW2Xpo9PiSGGA+2qk+om5pBwzt1SGa8/I1J6LNZ500FWfImaLlTWPDUPGxO2nO
ivCLQ+FQ6JTXnPwHwNLARs3kRlWsDVLNFwhzXAFGYWanDHbCbgS3nu9SLZKPua012A6xI65rp5iN
ja2JFgyB68iz3pjRgNY49Q+GhnPGol4jPOBvRNWrdfCrqqVQfRUY6XypXRNscg3P60YDhM4YIwaK
idM3P1HdakA/HgJYbroM7ywvs55KRDjSTHg5cEdJqh5W5mQNUIKpmLtHGexfvLC2MbQSLHxMndGg
10azmmEjbYy/h2loxW/GGIRJzVy8pAAGgLfnwvom4RtQLGwaRPeoDIM6BhDJ1m6SJo2t49XzEVgo
N29IQlwJMFTSKGqSEnvqCNoCXai1Y1PpYkv9HEdt1BD31s12wcWC6+02m7X7AHq/E6afKo9Ook92
FWOpLQZokKO9kd31kWfeOxZFD7XVnWL6kzgkOOnJa1EQZkHOz6DZBh4NTRdJVV8KZ1ZXHJ1fUSoc
OCN0jwRtFt7piVudC9cF7x3yJ3Kpj9yGuYtrCBr7btSUPNJ1Y2zaYSw/GSvRgZZrzkWfkjBe51Mw
nAKVjt85VFzUGtpCjx5ZzIgHWBoBosZErqyZbPHJbTU+ZEaXHUkt3I8uecgV0HFmeUIQs/lN3xU1
rPQ6UHYlGQLwXmpvbR5uuIorv2CC+wwnGh9X0XcPsPf1Gjh5INfgPHtsgvPvyqxZP1RpWdsID9za
Q68890wmbSudQbAuetSQh/EeGHV+1bBxk8UyO9PX6dC9kUhOzUU9aKBZT2m7pziu/9VqeXfBegzV
l+gKPbDgz2hg7LF+tCURg8QcaYeyA3ivWh9+SiT/tVbY8s6UI38wJjFY4wc+DY6H4DDK6GjzPZIF
Hfg3jDzA4ZBeUJroRQ2Duy4j+4hB8tBmkXuuoDkcOsf+ZncCQlN61S5r6jBZOTwpap+YKZ1uQZ2G
m2aeMVbE1I8Va22qm6+YEDO++bTRT65TKFxGQdKqTdRoWCGk3YfnMepv8RSmr23cgDondfJbj0S3
49Y70jLHC7Oz6172d1WFIWzT973Em5PmpA0IGPejQKPNguKr6x3rqsY6+KSoRViPiqlA57dzQTNI
2Zo6ilUDvmBdcTooV5oIm01aNfAGYuCuSad/gv8vt7RtEHTF1nlkILQem+JNA7sCt39UzARSlZou
oiL3FyS1DgKZVUkKiGHnt09DaiDtLyVMF1e5w7iZnMZYZf1QXydZPAQmHNioi5u1qnLtSkNHcBm1
JZlObD2W1lZXTbwW2HzXRh1OmzDc5wQQNwNGw2NSszPZDaUOaYxq5kZn+KRftTv+okLD2g/K5aig
G4AjZy/yNcz3d5oWUD0UwvUwCJlXMhs3c4cRQPb01gZ4j9d03vIl0892TOzwJTQJ6Na01ZBnGlie
Q+JNQ2vRzZprc3TLx2rakCLbakOwiXNH4DrvjFM0As3LtFZAeoAiPIZGix+tb8+IaJjJwHHDrRlT
f1K1wcgkaHYV7sY139Cw4SzI3X5pWerH+TnIej5IJI1N7vDBZiSvz6Xsyx0xg+fBjrQnjH7NXevZ
qKMzifzEadpdSdnmjhWIigebuLZMidTpHfgru7CcOyeBxhEl3lVpE68vPQj3I987fXWq9Y2mZ3ii
pQ5q1uiGu0YCBzDNxuSFjy0mXd2o3mO5fKnI6faWuYC6OjEWhUS0SlITFQzvnqtnN5f4/xFLavoN
qNzZa2w5e6LTw2tSUb/IMIkCo8HWyY6ixhckPvXgm1pDQoH2Mj5qaXxes80GO61n+kc1soiu9K2w
c6Zhrx+c0Bp35OLND4805gnL3nife206rLSqoE8n6AznQCks7U59n+SHkPHcY+gJ+6jLXjzBIgp+
ZypAbakKme8orYhTFiYR7JNWtw+U2BW6T5uktwlNLT7wqqCN65BGwl0JIGW3RJhewFNRhkhzA6mA
aSTla9AzSDAFpE7meG7Jl1Dk15TswJPhOsldHC3zljGZlyrq/g0yc07Z61RQ1snxgZK+Qm0N1QEO
aOF6eBs7MuenNJmm33jTc15Tmaa3hj7ZmxeVFfC02IlILCGNDxztt7io1IucSv0SREWBWgthYTKW
KdY8uXQp8hyEb7FVWyQ+9OzICGB86ofcusOm0D9ontlymnSCqwlk5ZwJKY5tId03LRtSkiF1+WZa
AeWigrKINrw0MnFOBm6FmRCfDZZfphaWFBQ6hSCgi5VjzDEasTkzLWyaXclQ0VwNAWI6JfH0WnUK
58QqE7iFV6kd5Bf6WKIdxsN6ZfQFB8Z8askpafMeTFNKfqMQz6bT9+kKEqT5FASI6psZloq4skWw
v3Wh208sYMJZ50pi68woSPLmglZfs8CdiTH20qVW4ruZ98E1W9BtLcjBSAhXgIadbV1X0ReHFuRO
p6L/NZwzsh/dSO9aTuxrX9W9euelnW+apzht2iPNgQ0/BNO3sUTu0g1qf+g7uRleCQQal0Hp/fhR
msZYP0xjXGePGrVgtOViXCeLjXvY8wP6yoeFTTMG+Pp7AuUQxyEoOpRu7GjNTG65NYRPYyXi71nD
VurheiUCPVj4kxpdPVTMdt6xe1tP3QiEEU664b11c+jNpFvj4jHMtegL3klyoHnc/KgtoMtUOKBT
MsmGLwat3foNp2g+hANN2yRcQNJNjWCtmGuDBZqDN6uaDZN3V9M4Qe5Zmd2rw9f9kQau9YwhzGme
ZG457SVANTXBFQxGsRFK8v7kCb1U5GnwodjhhFqTE+9exZ2Y4n0leAgZsmu0YnY2eO42n+AUZSlv
rzURfVyX7IfHUiSUVqVmXV3ChoTyeiD9Q19h5ZIjrFxjYoRXLXj2zsQ5ODDzpFrlpfKM7sPgSuTX
9LDcGtt6iLV+HY6ZWlfUMx7bKQSlz3OI4OLoH5i8h59h4SV7h0a9l4QE4JuoCL4QWp2sdyeexkPf
DtO2xwZ0b8ym8xBSEAFRJRyDu8XvVE9VuudEHZ1Gw4LVj5yLq8coPno37E9tqTlX2BfNNteYDral
ex+7CSgHxwDe13fJrbA06+zhxExhn+GA9+sqxusja2gzbjYFOA2AbeG3CM5hJH92YfRFtc/40FVY
TFdjTQ3KyqRWYKWc3vvuJG2RUZfHW5xxTPkHI3pppNe9DglvDuSK9jWBjrQOcD6fiy4tD3Fm5Q9p
aX2HVgS6YBHHmL5m1yzvoaXBo/oNcnRmBx2MO4qYnacZyMZhDmmnEHM7vKSLQqe0NLqowE6uNOeY
GzoaqFvORdWeRgq0yD+F1d4hIv7QL3qgWcUksppFKIRfmH3Wk2E9RHnR0uaLqqhk2dwzOKM9ya1f
O32MISxRksXxIDfJ55ee9Bts19u0a+ePCHDaSoyd7qcQR++mNjHeMO0b575HxWC25b3FoH5+BjFr
vh1yTmNb7W9TWE4/Y85il6IN580M3/jc0S/x2HLKg7lDIdgW3wbt25ZVnQPFI98r1nu3KrufGGSK
TcDg+mPC5EiGy+NKLYrePUuXyxrOMN6umF2FWrBYIs+xp8jB7v1k4o5lBumW0p3kXJh98JJJWx3s
KkheQO1wQY2cnJsgWCNZwfzLI1NcXUCCh8AFs6r1XfY0TpVxjoiUfVuUWNerWC+MJzpm2wtzUrgP
UPXNL+ryuGF1DZl3PVQezltCYHcaD5pgetSjTdJV3L3iP2vDNZ3n1Ws7VkxgpTeKx9Seqie3MdRH
Qkx7XLlpx4gWiFRBi2IWfAytntUrL2R9gc7VONeZ1Q9+RpE6J9L0DJ/oR7WaLSyl4CNsB+5Xdheb
n71TOC+lkc9+6rrlxzgIursC3X0tiVH5kMLKU8hJLV4NrB38ByX5Oi1kto1717ox7RMbgWvyjk9S
3WON68+Q0Gg6yLv+KPoae4whA9w/cXY3dea0nSNVnpRkwaC1o3prXD3ehmmu3ewstf2EVNZKuD6I
lb4EG1gWXyTxnPFCR1xk32k0byzQPEBgHTCLF5LsJdmadIy/6T2kt6LRp81E4gXK3jyEJCSLaXpN
uUOuIUohGruxRsyfGSRnAivgQm1Eysq3nAKa06T30bvhxeLJTQoeoFjM/DdoqrxNpVQjQlBYvFh5
/a1SCnk2tTsVHzCopm/Yc/DZbI1lKNDmdZTXTO57Tds5Y/yZhghbFAmvOnf6yEacQWQudX9oiUIO
UaIvh7EXFplyyaw86gFte2EXa8cwaSXfJnOqzsvstUbjbtoRLY86eWtjZd0HZkAFTGjRaW9aoKhW
Y5DubfrsjxhsnT3weh4HDdHvMFPdU66zyFy2qXwLZ6Beey5omBLiRMHGfhy7SZ7jcIrWiB7NTniB
/gnfgw4SQd/KKi3KnN+f1Ucn0u1zzw2K5I7Z3pLJvU64YUAzTMMNTktRrFphApAhng2Th84GqjOa
e9vQ7xdN6J2Ce6taUbgkzDUD7OSekx0JJJ316hy50kHtUnYUrrzIColCcPFcueNsob/N7doco+xF
z1wsl3RsOg8cDTILBFYa3FPlSKRvcNVdSy8NBfFmvDYVgFsZTLyXWeARB4GduG0BFBGi7crmaDVo
ib4F0/G1DqmLoelAvScUd58pn0jVyomom1FWbz+YcVefa36aX9Z1cI2YD531SisQzrzSPQKIxJRb
Qtgy4kkdq1avjrEVy5sjsmpbDA5KnkHf6Nuk+vYecU21G9vEH7GSbp5u6h4MAc2EVbIJremXN9fz
ujVCRrahoX9hnILTEMzBIwP4YOW4nUGzeQXpzZllug2TLtw2tj7fLwDoXWSQ3l+JJJdnsFTVw6yB
R1jRN8X/pZnFnVMO88fYZ+6hIon6DIiNVXAsFS0LJoXJFeIV0XVaXO65Exh0V9JitNb1njMX0XVT
sZm1Zb8irkbSjxKtVWNoz7LtFYPUgWTllC9NcBU4t2TMRobKRubXk9T2beZUB63U8SZpRf1TpwRr
TS6KYRCDFhZjPIAYtVOR1/e9XrZbLHuoivPIRsrf2vvWkvkJeNKwpW++wuQQLRYzWrwJrpkR7zgO
och35BTsurRuBBuP0V8ETJUXymgFdbNQKEFIJdEK5WoO/d6hGNOlHIl78hBXT6niML6NbTVOuBn6
pNhqlD2Vxz6KDCTZqiRRRFslDyRdkdprkVhgCfUoQXvmEJ36EZnEG7O2Jj6WrhM/Ru5MhjGDR0AJ
n+1ATknquPtOXAziWJycn6kxOzc5Mkve4q/QsI4zm8u2UCtZt5I6AkqUZQ6tUtjLzBvxWY7IgxfD
0cJFWb12lpl89hoBZvwSgw6DVzWBc5iR+p9ia6b31AzASVLEfD92S1w3tGv10E/hjNxGE9S1GhDi
zN7K79lu3nFLVutAMm0UwvN+aqUZbasJm1yMM+WgKB14SVQCI6GQI31lTmRspkJkCCntnk9h3gAK
Gy9OrFxy/aVXPoK3pccFU8ET8qV9kLXhXjGEIjEktFOcwm7GJt7WpvxCNWB2GRaGRwCgYXSgjaNm
relhxYptF7iRGjwwb5Ak2SCQUKdzm1Pb3kUPcQWLYjGge09pGxSY/WATpE6Tro0Mi3VgsBPcKbaZ
fBXPUfspowTrSjSNnVqNZb6ErAvNfpCVSfFfNUyZt47dSav91kSpXfelBI9iUi29ZRsxrpnltQ8m
lYGvCOfDAzXLgBPxDO3iwlK7VlXms5nSB8cwE3OKxIq2LWNjonzRTu7pAaC8tByk87Olo/I9Hp3s
2GqivzaakcKGnUUEPVOOTF2EyPhrJIV9mWJOWX7rav0bUXUsvQ6H621kj8lOj+LxfvQaDCiulYIA
SPkgHsqkmTU/rIzwKxCRC8/GEuIxDBB6yc/p+WNCx/Nm1AIu0BRZ2WynZPAcL+IiNeamfWlKoW51
WOo3A7DtPaWGRYJvNK7fZ4huF2emH2nV19I560rTkXEKlVAS2NbiGaeaQVmd54R+TlyVuXOH/rmS
Se4eEsoyfsXALz9I+aOVgTfh7tljACGGjTll7Uwm17i56bNXnraezkzYDpzpCzXeK90Mfg1auyxw
vES24Be55Jr2pmjns24U7iGKAn1HVwndvMjZfqc8/UtZXROtvZKdj4Iq7dnR4oqpeOMeRrAgJ2to
sTSZUfetOiveYX9i7RzkwhphBDz+dmgGXzdZt+YOAVW0hdVxR+mbe4BMn2PTK7NHTIcY0wy6q+DS
dF9Fgp2TwPYESybDZLgEMzijhXn9ISpdRZuwc8sbVyTU76pQFAGY8kFyOvsFGg+LptHwFyAYWxX2
9VvYiokrXoBJWsau0g5tqoNa4zN8LAaFCVkrcokzZvCetFmYYJYJZsQbEoDXLnfVrSxTm+kBawu+
wM6yjp7ettfcdLMjVkTvSQQl0DTi5VdnLFAT9Cnvfs7IasuGvDiSOorDyCo41CrCdrylEVVSfuQl
RvUYEJZ4GFNGbBGHmxMBYeeB4Vaxz3QR3ZRhV76RjoQ/euxJjVU2m6YR0WqOhuA+7yfnwG8L73m7
tc9R0DfP375FQZ9uyOaOH1yZ5aVzQa5PY/5Vw4PJ04664KiUvpF409kBK/EYDyawFQhKfhJ5j1Os
IHYTKGZnRLrctwpI1YoQKmRKQ3eezIE/l+e4vDxT1a6tjPd6RVZlwFvmLhMa3K97Lc6Dfcux/Sdm
I8iuug6t0DLH5obJjg2bV1mDndyxy/UjbffQvSEr0aiu3iEJNiemq7+oBYZ6VbXKvo+oYD0PGCwe
RuQMwFMSRFAqgpBC6I7xDZwO9wCC6I5VNVgKMOQC9Ss3adMZ31UR0HGr9CWfL0qlxT6yO8gojM9T
7tscEY6d5havZsiWhXOOI0uEwpkKYyCvz7SlJNldvTBPbSHTinIT1W15B7tRrnWyDxvQmRJMpGlb
7KYhcfW4bfOf8FXVmdkh7nVnkt+9KtRx0NIMLVjId51ONQBxXSY1P9V779AFNgdZN2FuZc4dNxhD
RMNRGQopJ6/NtWSag9xb2R+VDUoD7F6r7QONanMLjSReAfAgyDvaLHKei0EP32v0aBfMfExPDE+x
O1pf5TCNn1je26d67Ogoc9JxWf+Dojs5XiJLIBTj+LNOmV+Sn+fSg0TK0WTOueMRL2Ax7juJ/SMH
XM5Gk7bRedB0/ZNyGRy4QxVAfmgmNq6p8Jx9ULq0NbemNvOoAwSMKoyPk92G7FxFWO4bZVcWdVEG
wG+c2dNrLVODuU3kbQ2jYs8n1dOSDtPLwC8DcMJruEvzuYuhxHNENdKD65FQD0cYWXQGTu4vT09i
tDydid8qHaFPrIwYT+RKeJN9qfI4AnTUmin+w4hdbJUXUH7oM+/M+uSNIz8mTa2QmhycN37uWOI5
6xvmKEaRHvFE465pA03bI7Ln7toGTMA/GHjpVkEXG8/MbM1sNTAQJUtc2PZX3ccFRlLTemDz4uyS
sV2uAvv/sncmy5Ej6bV+FT2AUOYA3B3A5popAjFzCAbHzA2MTCYxzzOe/n5RVWpl91VLajMtZNe0
q0Ulh2AE/Pfzn/MdjvYDfmMz9R1rmd7Qm61NkybGU3i9XVGDsGz7EOjfWrIf3IxUGftTnIlbF5D+
ZyrL6yFGToI+ajp+JUzBYKtwEdDq6eWnJRfmcSrq6W4WbLwpKEMkzyP6eSnW3JCSMflkAeQ3kvGB
xrizTScAt+sWdErRHOegyA6uURibLjVbn6bE4adZqYS6wya+A8fH82uZXd9xBE7jobLWwcB/LQlY
p5XZt+JNQAm4a8MovU2b0dqUnYhcMEFDS8WD6t6ivloemmEobsq0dlmjw8iVVpAfMsoRfmQVCJSw
chuyKATvA4jDNBrGY+z32bj8aEM72oem5xyapRz3zOvIxPBW1fZ/vUH/lYqjP9KAGFcsbDqWrQi/
/mKAuQbW/qrwyH//bN5/D9Jes2LNP+3fh59Z/E//ck3W/r2M7b/7Lf70GdqEyRwL26lUtM3yY/zF
UnSN25qkZh0mZEESHRvSv4bJxG+O5E1M9FrwYxPF/TdLEV1LmHH4evw61y/p/iOWItP+W2vPH3lb
7s/I93idPX6IX/O2VJ+PSagXuQnG5x5CEqf+NtxGVEbGANXW7jVIynbvYkO2Wnk9zo3nto63cf4a
APCMA4NqBHkF60OuH4AZYbdtV72xdShKGSp3FbTUQLgf8yT9qGLr2sev/fjdiruNMTe4IZZHG5vE
aM33dtRsbeNYuV88VLN9oJ8G6y78jArYOgrQdArx6LZsMBTpLx5x65QFZQS2wdQHlRAW84R5BzzE
n0djnUXzLgfXBD68h0aSbGmRFzpB3DKvyK0+u5ui74W3kE8bP4RXPLedeMjrJfLj8HpBsedq0zqA
4osfXXaPwE/uYEgxIyUURYRc21DwGsKbjnU2k+QR2sqB5RsyEatLmR9TgRlH5zf2ZLJKryqG+ytf
ixOiJ4+sE3HOeLxOVZKsDBtOTy8B5dTym0jQhKS1GcpwU2LnTIJxix1kS6p+3XSTz9bQz9L21o67
c6dtYi72j9TRZwhwdHHO1IhisnqBXf+M5LS1wAuGksUa0HWTtnOH9uWBrxpG8TkEKk2eAdybZGav
KX1NpttfPjb/nm/s/2nC+iOFSzmLSdjcITr+1++tdBAtMrCBgLDkz01nkAqQ7ZmJeB+NeoPmU/uZ
o5lai11W3at82uF/O3XgAf1Z2MMqb+GZBYGHzJ/tU4Pbdz9umyQNYIPYZ3soibCpRwy0DT6J1q/t
+FQXJ9HLXVMVJ3PemhS70n6+quLlQWXR3nXGTWN6dx1/wmqOv2SjLir9BqVwGxBEJkGJXoJmYkZA
/zq/Hm2/JMSBrcVnDwoNyNgDITo3qtniiDjPwrvREhfA3OOLyOEBdk8JXRy8JXeLd5Tmd61IZS/9
sdbLHf6IAphiWDODcG/2eFem1zqegXRycevU2c4gJqly9yPv5n0GJgZvK1stg3hx2i83y9Rx0gXv
c6W2JeIspKpxRXQYQpA5H3lcvFpWSOXDk9U0txQR71vmo2L6zjE2nSraj4knmLQwB0gURpS9GRBb
o8rcYUxIVqOWW1PDGbGbTzHxMw75fM8SCNcPnX/kHu3+VGO/q/Ty/T9+m1jXMPivVufru4RclC1c
90rJ+D3L/Uvif7muaRvYvyD305+h0b8GvHxBY34HmboG63o0neYC9v9u6Yf7sIUQO053MbhsakXq
bVcDLVVe4idtxQHq3UeYPxAJEEQ8Akpdek6i4Qtwxn/y7sbc+Tc/N/AE3BaCBzhxc1P8rUW7rUgk
DmYSIPQ2LPQtwgSYIBdVrif6SQkUgmDMIndHFo5pEG5WzkOqNtl0OdupKnZ1xA7EMbhhN/W4rLnf
8Z4NGS6seO/0ibWyNGnReHjkwQpsGKhu0j9Whvm82KHPRe4zVNNjLttVYLu4RCIcN0GMP6rRXbmZ
2GVjzrS+RB/1CNqdcUOgCEPcUnWrrBov0TCcR7c/VRroTqyL22gIki2u2O+1s5hod8MT6uT9kLFG
6lX1VRhJhChZPY2d8eXBZ1y7sf7SBnFgnbzl4HyaAeCnMr8oA9hFU0j7BT9BSClLK1mbe+suUi8j
fjbbHb2VA+04Mkgwu6DMxg2Z5FDQYIlEF6fqtagsWqmjvQwmclndLYXI57bj9KiE5Seut8c0ie29
71/BIzyD2eM5Lt+WtH4OkTx6q1j8oYd4jWnLTmp24mKv6uJRReNehPguOxhWonrMgLH1lu1ri897
onyduOewEAeSKedRuohEWO5gjl/pOX4vQDYBRY0ZzMJIbPnT3wiTlP9wLamIX7Op3g9Ov+kAj6v5
VpQ3XYDqRc6s8zJY7fS3tG/J8njFQqSx60f9yWMJmQDca3gJ6YQKY9p1zG1dYHNIl000FvmqsUm/
RhEpKX3uYczjzfpW5yStvauogjkG8wPlgvhJHJaEufNQIqevDLALRUOY0KuGc6wo5cmAkxnWF+s0
Llfeq2yZ7o2ShZOxpSq0uCIKbgo+hlT2lOeuTvfWorZJWT3mo76kYXKS1jz6C66celHz2iA5hbEN
6aTfkh3wg7DFSZO+Jda45661z/sIEAKtpKugy5/tqHgLW3UzNfZL1nEfU/pNLfXTlPfdhnf1oQ5o
A8I0CAxKb8a217gNwhNbGofo1Dz7TehmGyWXmzTk1NLlPYVPzc5pxLtsl2xjjc2ltOf3tI6u1e7d
m8gIHVEUWq5jbz43snseFvc4OFUEIDXeGOkBNNyLdvDwdua0tqLkCUbxW2/1JzFNH/m00P9TZL6Z
2XtjnPxJiHPOZhb3w0tO3MdFz22kd9G9cRum3xDkV6Xbr72AfeoQP9j5spl5t0t4kEtsQQKc19Pk
PU6z/Yrbald2y4GE1SUwPobU/fIW8X0iKxZa09bsvR+JtPw4d8DtKnUJvJ+g51aOB/UbK8ddZd4p
+77oLwAEUQZzv6fGStuXYabyNHGf8wn0MFNHuXS4/Wz6eCbfSn6yV4RO4W7S9s3xnnAkreKJUCEJ
iTjyTetbHz46Yb7TbrNy5QM4UPxO46XsLd4uxm0iLhNXzlW0gEgivD9LFpHzPtbyQB+zkvkG1OLK
g8tY6Xtz/OGh7uSO/db1uCNmPtepBWD2jF8PS8cDNgZ6fNPotcaMuu5j5Yfxx4iUlPdfU1Ku88r7
mCiU2npD+2FUeg/jfJ/G5ucwJh1qNyx6QLIk51MCL97oW3MNcLN0D3SWOBgIPXweYf4SzzgVJ2uW
n0aDx9A1XL+0HXc7EtpSTfEUhbXjQy968lLjW8kasEzRoqfkvASdsx4qouB2YctD2KUQyTO32LB4
7tnOFz/Kftm5i7PvkKh1TseZcBmnwmh6NGRNslZUGxR3UPjjewf0rjebA0ZXIqIICYt2PlAvj94Y
/XTn/skrSNzXibVPErKAZctoQpw03QQAl1ZXdSAZuqcMc05l5hsG9RtCZV+pyKBG7sIO9wULGLNs
btMReLgpb6MaUXjudq5dW74MbLY/koSPRM33R/w8OD0bYw3ciRaD1JhX/xwtLGGcnjGtUh6ccEhd
TGBPscjf2IMUq7ykCgb328WOzCOvTbwJPCI/VgW9pHScbu0UPVUPhss3yfXjf9el9ZqJ+Z8GIOFa
xnTz91Mop58N9JFf4yfcuq7/5N8yaZ5JUJxp4kr2+CV+QjDFtV1X/EFYsh2ucX/eFU3rN0e4hItA
7LqO9hRzSvsHmsn9zZIQlPh6oMc8x9L6H7kr0gL0NxOPQ/mo4sbKmCZBPunrJPfLpOb1iTGmqZlu
bLZqOiiv82eps3jNyr6/KRJk2gD/4knbS7kn+NABt29SJoWcSCjQkO5VjhLVv2DP8qarBu6PEEV5
yJj4ypXnpi7CetQV21AN7r2ICAAfBq3H+KZRdflDLqo/tZTMN8de6B4Nv4z7YRuCHqUMaol0uukM
79qEQD80lyUCfMieOP2KSil63wZXozfagFLZ9eJBX81ItGzDjdR5xoidpJvCjKYbArjBiYLepj+6
kdCv9TJarwGUo6c2MsZ7HqwcI8PSGgwdIjwOpquv9X8RfS9u1ntHrGp0itHmhVvJEKyrBnTN4Wg1
QQR9nX4z46jnyHoUxdirbZp6cebDaa/xTaECMYojIxQw6KMpuI8cnEnYCxckXkAdgFPaeszGez2g
3yN5yQ74SiDhGlZlKh3solD1Vr0TNmIdJzn8SvzmN1ZvxO2GlWpzQ45dqH0ZtRi6ta04ByQJ+cdx
sRAbg9SKo23XTRlnR9wlnj96BoKlHqv0B12KS3WYqdwu/bnFE72WoXbfuH8k96kReHv+MvJJuMmw
n4Ngxl82e2dqwGgBir2kmTZtK8pny7Z5+C8E7YKdpjrlWDUTLTVyaKYXUaXOQ1oL/UPAU4w3ve7h
zkD35aVxQ3eBQQOwfoP9zHqt+7h/dUMsndsxk/QSUhQp+jVk5/qU5H3xKHFZMO66NcuoqjON8SCn
jkhfQD2FH7l8B191Ysg38ATsSwISYq/COn6g3qYrVwx3+se1qxRcdYQBfg3CfrxLsiE6eaGdIc6b
GvJzxP0sWCAIIxh6Ey9BsHg0ZxqUYNYqxqXcO+OVEG1qpuqee1dOFpUtLTB9ipxyWckthlAKmOfJ
ICM5owELv6eTbbjazLirFSHarrCRg1u4iamPY7tUq9oFbcYWvem/NCtw6fMl4JDHooI1m1cp3BPL
rYnVmLRKboVdBA/5MIU8sud03KYTv9hqRLs2EbTnihWP1TU3V/bGZx/LUBzc3BAkmFTf+DoDc6lX
o4xcSFd2lz96HsNr6/Qu6sqQ5dbvHogmeakW745jZNoUfTM6uP+htJ6EhTupdwhcY2xN9qIVyUth
jWIn6UrZOOyhb0KvzU4zrb/berLIEsTp6Iy3s1d05oPZUJHUcAtnErCpNBhGhiy7q5KjhC38eOVL
wEqcB5KcZrsc8oZ3CisodSt6l+VhBzZy5BvYEThPHErVB0UolDoOWGrWacX7hNVckM4vtM+QAapn
sDFUMzF3ptuhFxnBpwbiSMxBTiVgYNTRZewL/ZFmY135gorQ6MBSuFjuuXfRn2LykelhyFda+KMb
TpyuHjdn96A9khX3Niud5dYwjOSFzh8HQcjuVL+FgjOPCSBRq3f2JHd4zKOaRdzfwtQpty7D/Hs5
gdYnCbP5XTafWUMKPknwIHuQ2krx267+WVUe4njV15sUvzvVAkO3M6sq/V8Z+ed/RUZmI2SREf/7
h/vte/TevLdR1/zVCf/nv/szYCp+w/bnCd78sBGucvBf1GDrN85WIKemcvXv4fK/nPCW9ZuwOKyY
AAiYQ2bkH/15wpvqNyYCxblsWxbBDUh7/wB80RTqmiH9VYwhDCulYwKddbUgbMpv/OsRb+HzmjrL
IP+BpXLYa/y1PmsO3bGZxW2adkjAXY6ag7FwwOLqsocGQBsK8+QZjhFvXIgZ3PxaVb7lRNK9Oz5I
1/+jAHhn19oUPpGVA1s7weXWoQ9plXFaET0xkqx6UE0cvxpSxeGjIGFWPuDJxQQcJySz1hRd8WRr
Ch0w2GZjw74tqjx31QHmT5E22yBeebkFN8UjigFJB8+msy5VEZ6xi5pfZlJKbEfaouEh7b1DndbG
xYK/T6Feugy5z2ZS0gsSm3VKALIab4BO5cNKZaLlF2jGY0fkwPUbVQ7BXZDP3OkLl0/khQXfWzJc
8dXsDdmG1Y4VI8gGGk9wHPEkWqZGJjdysE0yWG4b5dflN3JwObTY3EkjRU/SNXK9RXaMBMBHUB3r
cUhifCE2pl1kDetZ1y2ICmHP4XZp3SHbGy65p2MzVbTD6bBlhroy7arV3HoZBhZk3werM9N5XQmJ
5sdp73NFpCSB5STdkfgszcaNHiYzrL61pvFDNR0u0JatPe3BXq6wU2MjWJW9xmkos/iVr6ZB6YfN
OVC0Mx4UShKhBcyj0DKxGl7SWS/hbRHC3Vhrir+9FdE3uz3wtDdo+iw1K3U2n2q5lZ3DIBQ6ZqXB
gy/S2DeoeK+AYGiD6ilAG26DZpq9tYrZJPruaKlzMU3mSAwgaIsbV3R4Jgcv40qFp9zcq86jQKCd
49Q7CKan6pTSAUacT9v9sCETiFwyuV3nm3ZJw1m4WPx3h999XlHtGAdbahOH7CDmsp03bMstE5Jd
pa2VDKuJ0S8ysn0y2fIDxax+Zvco1gwwzWfZBuZ05F2HikpZ/IyHvmGEAl5c0vfbCDpCCexATQCp
y0XRcKljMFycWNds6kflmf20JzLGohnRrKXpjv4yjGtYmo722JHTjasmvemaOHpoYufsYNd9btue
vGYX1MaBSSQ6uuPoCGKyefXq0mZ1Mfqo/b4QPzh5Kt0PpdXRccO3tiAmDcx8ZRZ31hPXauK5pkjL
et2Lan6MC3v5pKN2uR2UaMY1paiRed8Q18BUDths3KCsVcN+ESEtXAB4uj1Bb7xJ0Lvzb/hE63ty
P6j6jVeRkwpoJMQfq2z5VM9RxRls5VBouIjb3YaqIHUjuyJSiKNzjIDKdd089TbPBOpTcnnbVGYv
/TEqZzKfSR5/545vTRvEB97tJnGWtUmggkt9zRZIuiJ4MZYs2OHNS9f5hDE4qwx6l5sI/3Agp1ea
hAgYtImLpR8D/rc5C/ncVHSt39OPTrxJ5uWpENnwRI8MNsBszngWZN5EYYO0z42nJiz9dFTt+6G8
di+YWb5KBIvxPfla+WzmaXtq5zH8rlIr8jZL12XBA9ZjZ6StGnmVPEg9bnsrjD6myqAhL4lcxEUi
OHSywFx+ipkOD9MCWX8l6X4y2NkQspWBo7PPSkXN0UbgtqHcuctLb4bFDzzQg7cdMnsKd8S8qIvI
UydEYxmHjYQWchfVJW4KkAbMatS3jo/VGAeYadTv+7isAGRIZ3ZtHrUVVMeBOG+/Q6Ui+NYugtYD
WqN0usaFnoi1EnX7OuDovScdXeLGoGLHDAOneHYTjF7+OPFBWXmpJ3ykRaWurQC4XXJjtlcUbNg7
1Yy8PaPXJTbER9dn5sa1aAORcdpsvT6qfa5Qmj5ayPp+SXvd9YYR18AcW8VnFMYCj/007I7MaV7x
VOJahCEioQ0Msg4u+WyIp3BOeUW1NTrDBlxfPIJYTJIHUOcOsSNh0fftOkoaJ9jqyTvFQeWwB6HW
p7fSDpa1G/LIQVixwShSq0t7CSj4M6p6+GS6POb8IZxAkLV27CG6qCsN0VMo46sx9MZnj0vcwvPK
jCn44pWPN0sl9QPCsEFRwlzkDLc9ag9ONryoZJqj6hLXFj1aPBvIY0cgrOp1xBXWOlyjexkvRaw3
1KOk3tp04okqsZitUCAX49AX8Pgwd1SgnJgP2r0FvAj7cg2eqqCu4FPj/H9lFi8fjKFDiJ3qePmR
SiNrUG0U9vUp6d2SkA+dJ2syLcuB+GaaAnXKiHMASKtnzCKLBaXKvb4IBSEFMVJ7dSafPjMgNLb9
7tYLB51bFNXT1QN/W4pqlD7+G7xGMuXR6vWu7a1I1eR3ky7ji+1Gw8sIuOyYzgzmW2EYC7cv4Y6r
EDvZcJteYZPDArXYH5OU44j4bV3tJ927P6nYAMxlh+YdXZ2KigdjLDOqtVIWU8UYLiV3fLa3cD2j
4J5U0jTvafquPCKsxNFWxkj01LAb7xvRRfWQWMaptpOYpESXX3rIYiczIa7vB4UJpoCHHLL2YFCQ
TmWi208fBCKHNZZSvYJwkNrfVZO72TqkyIb4b29/tRX+60hO5XuK3Q7Kfj2kBzGNKKPXA4Ai1+Rx
lgldBiO2R39ucrzB6KoX/HfO0awdYe0G+0pLDokLZmCn0fxCtgJ1gIB3zYllK8l1lFieAljvBMvR
oK2NC2Jo6YvMjDz9HrHfpk0vpberjJb9xKX4ytuiegrUq20C9Gzg3oTYTKnsswA2ROF4MqIxZIev
xw6abDw7V/a2czfUBk3wmQw/5aijb0QinwyTgxUEayhj0GFNuY0nrE55pGk40o5DR2/Dswj/l71Y
wwHmpP6ojaiiVLyAzHYckuRgylnt0ELcB2lxo1fouk+ZtqvvykRFumNdM3wB7S9GZoPUgj/YRU3m
R8lo6K2yFvoAZrfKN8IcS3NfynT6CK0Q2qskGvlSBvD88GnStlErWzQPY2A5zobkocM6lu6w7gbS
Ji9jGHr9vJL0E3zaYUZmCuxLNBwCkUmAFYxzMxuIMveOBXGfx1q43Mjj1MgfR68t7UM56Xy52E19
GdqKOJZq6oFAF7USD1zfCKTaS3RrdlO8j9XM+jaaSPs2EUdWl3V5tXZkNJVri6UmdgJXd+d4aaJD
jshxLOgWhhU92vfYQMifsG6ghWvCxhCUFe0OIgs5y5lBPhtpT8+KavQNKoPlO2VoMUWX7othQB9Z
QWdxu4ML96l4n0HHVDsetN7THCfysx+wodJg3RT3vdfWLz2UaupG59E82pQX3bRW6bCzqkPz1RLS
ZFPSGHctcA9Sn0MofWQ9TS4LL1m2IdBrr0g3VfXaTiv5gwMy8zmyXNAmrmG/dkH7bjU1bBdiBWRF
Qiutvqq0rl/NWGH9MCkBMsj+oxqsjXguXuqwD5/GMnWrK3EiQkgQ6pH6TTyAvJNr641AJdn6esnG
H53MMQoaVwkc7OPETP5uTuBc6GJ5TFLLPBiWzZMf/6DtHfGSe3ovFnNgkWRm6bylYbFP7uJysC3f
Gw0HO4bEC7+3qpYONf4rd3jmOWwl6St3wy1VSNW2dWp7gubgdk8tiTlsA1ZoPVK2asYYgTnKozmt
LgBRwwvv/WW/DAvrhxTwUO8XS9+fYzemh7C1kUey1t5aEO/hccmfdOha7bqiNZ250U3UgZa5OXql
SS2i3Au9nQ7oqrmSo2xh3sJpoAqR5ZSRU/SL7zHeQACcjpQ8lhtbaJq42uF7CiwVO367pAHWSody
KjtS6q6evO4yGsGyCy0rfqt4bQGsTKy1bF2k5T42PEOTWJYxPDwdoVmhahnfUGR745hck9ur3s6d
Z2CraB3YtU17TQVZ+UNkrjMBGRmiu1BeL2el06aU73ne9EgsE/ZMiRrIn1At3+yYGKfFT6Gx/EeE
KF1eb1C1dtXupN3g2LRCknexmcr7OLLFEwMuT1jingzrGLePgV1OP+nepCZodjJWahBt9oNXylsu
DW5wrJPK+mCJafsZXVS4GPpoIWi5eGjHS4ollO0QnBOrkNLirxhQYVTHOA75i3XE56gJ3vBhNvF8
E1n74OOrb9qU3pwVAR9Od3RdXJVRdAUTR0B1gKzYGOFVfm8JhqFNQKrGPEJ9CfSWG7EgwhobCbcq
rjcaYny87GiFs74r0vD1mmpJ7q/Ib5LqsB4xjouSp+fnJmhNiS5ke8k2bovoc6gbdRii3vwG++Nq
NlTNPq14zLNBxbSlZs2zBtDaBl8vWUTlsjfHLw9KCKMmPIvc0u13adTBfegMaqfNJnppYpd6gXCu
qOAMkkw/wO8o22NdEvTzW2qVg1VAjILegAmFmmgdzqXBoq1orYga3ruVC7kh7GLvM/bo1bXb8Dny
vCZbqYSurZJ4GG/dxdkCWaN4LRXuccadwqqxLg7VFFdnZ6iFXzVaNxvOZjiWc9y3lyYYsSI0JOP8
uIjbH0kXgfr0LK9r9g41mdcre/dZdctwD1m/NPndBLqaKsOQQ5qkxLvsRuFn/B2+ZCqXyxBxwDON
6hvJqvkhqUij51GAr2xYTqHjKcwRCur9us6HfSr1j7Zn4El1CJDJKsbTCPU6tmqxa5OMiXfQ9uuy
RJ+83SZeY0TZXsef2RDnhzYAxZDFLLvzhAl5MvWdzMGY5qrlBxrK6uxyDG/jrgm/M1PAnuXhpx9l
+i4sGgpi3kcM+oXtx7MioC1LdYBXgK++6sSucYdmzYPTL+lv3Jlx4Xz2mWHuA9HIg12l+6VwMaPr
nsLCCq/JNskb+7ExzfnkLK74IBNSnPDLju/9FfFCFUJO2Vo3i2mfpSWZYx6S448FAR63cmrWa1LC
Lj6tmqGrptEuWw+jUb9DRHfnzaJr7Hk9Md5yYqZPMfvskqQa9ywIue4PVYrRxJ7vND4a/E1jNt+M
08BU6I7d8nNOWoTklAlyzR7ZfYJ5renLAtml20JyJ87cNesHgRlDJj8zY2p2Dbrr9TB5w7/WmzSB
qv621TxEO52UybpirRHscvxze/IRuzqDAlF0EVlfu0L8SCEGPDPu1ggUc0tX2e93jqkK/bpV6Zdr
R96BSuPlMs7J8s3MQn0pyrmfVqSY2nVtybldFaI38UXyuES52akyO4xWWO0iGAn3gAsoxUsnDPCW
KguGHXhNW7vHhh06nboZMu6nvSPrt7ERJ8eccbII5ahL5kmapfJmeiDGjHAkotwlspO+1VSFvwUi
hzzSN80doQZzg35ubSt1lc/a0a8Ar0AFn9WZ7S/OOodKUawyCMxzjx/DoSg9HNeyduRpVpbJIOWB
slUQWwurU9yR8aA1bWhsBg5juEtUbTkkv294UCUbPjLua2GQcKdCtq7XhY0t3zLDpzmDcLGLxTA9
aT218PlLVie116t7FxelBoGl59sxM8YNT1yWxXZB+XsHEGpZwso6YY6sOthYINOCqP1mJK54Urru
DO4qS/tMZJ1pL0zt13pKgLtSHc5fdRH7SvP3px262zhtloTHeqJsQ4zR6A9KKeacJXU+piJ716zf
1lNJrER3S/5zmJ1gx/OhvLDSGxmHAuMus0nqymB87RIO1h46ox9C0yx3Ct4dMVH4mGXm3FVgLwhf
cx3AeRNxvVkFo4pPIm2KgyMaqD+dfca6TgExmxwGsmA+a6qQyFF17AXaDHIIwkkCPAxvVNId9LSg
Tc3lol+0latvikoF8j+cJJgjTk4NUn/mvoFJlsH2LiAW/EHJrv1MfEx8AWcj9QvK+Nzju0q0Wrq7
ymC3g4mL3SRfK9oT+P1RK9NqN4bdTntG7/krImh1Tltl7WtiN5tG5NDOKWcg2oIRcXA7kx0UXVxM
UosKsX4Ih6xbmsQLtaFcWh6EndszgTCTQ2/137Xo/3XP/3/+P4XZ2rAe/6PNQhFXffNXvgFxrYS6
/rM/FguevDrGhbAJCFms9SS7+T87S+h7IrXkESGVFsSpX6wDFtsDT8CZpWoJY/yVWfuviwXL/s21
r+ZGYdOeQ3vgP2YdcDGs/7pXwLjAM8V0LAVs6Lri+BvrANHSojJE6u2TJs73cyR4dMbcyTqQYlXH
FQ542/SUEnXbySEjhBMt03PedsYjl/HXJvTqW6N2l0sY5NPJYa18aQf5YKKprFLu2nATJWP7VIor
BIsbUtQEL9JyKdJMjQPBV48cN25HzNMXgxONKXKKPpRBgYMiyru2huycuInrUlifcx61muZGWfcg
4EFpLX6l9PAEVcBdQzmk+Hicq1sA3FPkq3qmH/haMI1tINnF7LD3RkHV6t5rmXkpKYne4qr6mS5G
4fhhB11tPcXJ99hKPkbPEnvERUy7aPcpuMrT6Oadz3KemkM5fwkCfL7si/puUqMG2BHkF0qe6lsv
ZWdM7n+FoRIrWqwA3zejCZOdmHsaxW/DhBkrgZKQYWTr+IXakTFW2QdhsqtNHI/Ymrgmwy3I9S1v
EegZ3EwvYkw+R9WSrqWafU1wOmvXpoCr5bbie25OOV8qKAZwReBzXE+Gj8M4EYcdjUcW1tnDkGlj
l42KLrtKBuJBjQ73OBmOUQbFzhzE2myuX5MdMMJF2qT2Kv29boFs2fwQWJOBhCXzjodMwxLcIOC8
z6qIqqUGTPmpwpqQbIPFSnF8TG2KUSMJumHLttQ7DWXbv3ZoC82hrXUbobfCtKs7Bb0r8jBYcD7M
CNDYeodgjV84o8Y+l+KH5kL3wvWnILnntQzx0qlRv4Y877zNbOBjYFubosvUMrzOXY6C/c0SH1kI
peSta3Vzi9orq41Zkmddh2ZA3UlY5KbfjUTemg4FCRmfS4VXDPdK2q35ABzPRUVFOoUGL53M2YzS
RPtmLT+Ol4TdWLQnRd/X6J3CDtdUCocLi/fauoOWXHyh/OUnB3E+3HQz18IdoPeWvzla+hEoNHv3
0WwUOtDoPbRDeGDqZiZWIyhmhVFGdCRUXRuwieNQMGHfuUK+Za1znq6TbRYLYK1xs4/AJaxUI26z
ioKW0iaceu2QqeQji/DNjJpzx8S/V3l6m48gQ5Mw8O20POjoVufU9eDWAWQfInw0JX8ya1Q+5KD8
EIrUPsezbfzk7eyTo8Z4Ks5WFxv0e7oPQtTVthwpuuURtWWpV/n8ql/28pB3g9+6/BvTrN5yoFIP
rRCHSkexP1KQm1GvBRu1TbRfpsanpCD50asMuAhGe3Y1WWsOOHDaTcibAbzl76U3vR095fYQ7dIU
CWDM7HBfOyErRf1/2TuTLbeRrrs+Ef6FQI8pSRBskmQy+9QEK6VMoUegDTRP700t/7ZKX7nKnntY
jUQCBCLi3nvOPtAF/Jn+rihlt56hZQUUVtqHZaEqadxwqmQSLCazRlW7N5Mm4qNGmhvXyjgokbcp
N5Go5ElPM+ebP8ePRlGmG3q7QzhGRc0rgwfAovISJjq6gS71j8VaOjwKcyC8CYWPAWnQjLx9UhXR
XtnuI0vfKQZ5tzIB8BwQEm97BnVzVhRbazacsAHPUdbeEOIq+mS0yhzQmb9iEBjgQeVaLZazRS+D
IViJr7H38u80Fn/+tjv9jfMD0+pflvtb2IkjaFeAUkZR6bruH86Pqp6UplKBUDuuMaqXmbHyl6IS
MJ1qXK+UGDezKrrygDToDrH0lL7FmSQwZ1LKwfnhjAnrZO/w1jky8u+xFA+4Waa8nXkuU/B8rQDp
gMQd+YZsK/FDzRHvs2hHRo8kBLnNihwp8qtnOWAUmupWHXKRDEmYxI7W0iywWSyqOjoSeaDU1v61
mmi/Vpbm1yqDsrg4TuWETH1AlWGQ+jCqTdJSVjNKsLStd0sC6TNtJiq70bHvNczj2pEEEYYp5ALe
wgUTZ7grIs7Gvm5uh1uZaGbqTqezd7T16mhkeXI0Ga9gQUYSlBvUdGUZ+2sDp+lKDebDUjJwyFjO
7hwUOWHDQBw1DJHOQqZwSZFRER9jHMzB7b+EJ6tnsidk0JjEDCP2bQhT7nJGjGGmJKN7Z0EHjEqJ
t8XRM87kZLeyClm1yHL6M9TkR4h7hFdnI0EwNkbNCeb0Wm8QGvs+eJvkFiTj3CJlOrJlUtlmxzkW
1v1gVQtMTJoE7ywKHb1Dd9nacpT0JRe6Egz+souqB+8zRvMSpFV2bQtpHBwdBKMEPSZONBrzM114
chL69ldmQo+t4K70DMKIJo2xE7qkkGac9cPD+BwKrejvIwQ89Jji+EfUpLytoNuGb7PN6qU8ZVzQ
MOnXVDkFAyXx3UJouAMQWIIbstHpGmV7XxCcQ/q1QdiinBkMigO7HcCEQVNEq2DmdKa2AUbQtWvG
0CnpGnj/57u6t9+SeJkC7txrEbP9W3kacSX+HKCERYBViyc4h8Q/Mt/F305JWNShP5mfaCXGrdNo
Pxg+VIghLRHWGBFMN9skeArgdx67MnqNQJ55CIykGr9jKFrF0j/rSkGNG5ANTsvApHYS57wxv6QV
+6d8oBWP3bTdepPm7aToP2yv6w5QItQagHfyOfv+yIzP666lhLbZgXxeZTUOjLLMvVCpDqMx0VSV
bX4q62bFpcuLUiL2NqVI06OVae8LIOWwnHHaVY1/giQx0/QdjABMxrwxXSG3qLNuvDz828puF6Kk
AHBUqlgzuz3kaA2Dniklp4StrLv+tNSi3czLPIeuVRO1NRmPbRxNQA1FugflgR1XzA6HD9on8eSK
aw6N4h5FR2D6Kt1r/W0AM+o9bgYmFwdUNwbIJo1mageSMzAGUf/MVYwiJXfk1hoYEZXUPyvwHfzX
1I43GV2+EJVkxg47GPP7ZLvAapxpNl7deaDXp9pSf0MG0780vaUTWJBm2c8koum7AtabrPHr9s7K
NqauDrV2SHDuMV0+Rrc9ur3t1vmvjbv+tYk7vzZ0AAtxuvN+bfTq16a//DoAoHrgMDD9OhgwcuaQ
4NzOC8nt5PD/q63/GxEX0DU0VJQ5/+diKxwyZFz978XW//pT/1Ombf0XwijTtxwbyqvONPy/ay3H
I+mR2GTdwG6HAu9Whf23pZcCTdBSoRQzbnHYzm+1lv5fGCRNBgCWYYhbssj/i4jrVkn9ruDS+QTP
R/VN1jSyb/eP5BBST5XTAUIKeptckNXCy/WaGBDSfrspf7PH34Rgf/0YDycqmnLfdQyu64+P6SBJ
ZuOtJexYufqmEJdsPY6pEFv6XIXYS1X4zx8o/nqmQLjke45juyg5dAIVUFXzjX5Xn5dL7g155ASu
mEi9rUGjJnDEEvReFUO3DfS69NEb3GzXRwSKjbqv0Ywql28VgoZQb/zs0DHKYNAKKIAkj+zgz8V4
KuNluRNTXv+LQVD86ay+fV9+cjzaOBxd3f2j5M1cLZ/HqQKPH8nyc1SEf3e0+8i99St/k2mRh2zA
dcYVTeLPVurL5zB548scZ3VoDze24zDkz5WcelgQi/y3M9p/Pid8PdPEnGsRlmB4PI+/307Xh1UJ
KcUJWCOtU7oIONipfTu8dmNyZHhOuH0FVZMwLnMKdA0ICXX6FPCdvV0CYOPVmOPyAgLqyFEcxpN2
nWKBYDsCpkHHjeH3O+oRNhb06ffs9fL7EAuAvHNTP/zzo2H90V349WhwzDQ9RK9g/M0/jpseDSq9
H0w7qIciuZvtlp7xNBnxZqq95DC2KQFPpanbgSa78RPovIw4HVYUvVXZ24gLfO06TFP/7ljKZCQp
KsIDNfttEvmWbfLktqmxYYNRSGu0+FKhKNv3MkmCNs7ea5tQxzSy35gemOdeG9ZVNV88as9dPcOF
zMlqO9NYhCfEwI1xUzLaFQQPEW3BZ1KxcX4O0F1aK6MYTWRPevLpOS0+RYG360hHFABKhuxhlbAa
HdmORqRDBlTIjcSu9PbP9/LXi/vHiw3chRoUFagwHTwjf3kuGEV0uY1tMcBcXpLxnldbmRGaSFBS
6JriJ4iN6TKAnbpt1wQr7Ia2GH86TdF+t+qmPzXxiMLNaAx3jzqj2NBCpHVRVa5Ya5FZ38tEdjsO
G/F0jOty/vSHUTwCLpRHvwBVL8w8vquJ12M/rmlmzLE+3Xk5hVI/OPq/PDisrP+xivFm3rYE0lts
XoU/LtbTa+XeXgIKZnWOSwPDM7fW2tcs6/fa7PjbRqCGikQB4KPx4qNZ2zgiODXXO0EO7bONOOmr
HWP9xz//Dn+zvnq359rgF3DIo7mtLr+tdkU8l/TBRjsYYZWuzVb+TNS8t/p82riTOvzzh/3NbfAI
Nb4Jk00Pm/cteea3D5PsD6M399SRc+e+6XKWt7c4u/zzp/zNgviXT/njLS28LHU6syV+20zTL12i
PyWZT6M91Ffz9p8/629WBHxU7NHsqJ5pGX/cPh7JrK6NxkYFZhpHUyuXT+ZUjP1aU3/grMayW8nR
J1gKB9K9X0Xt5p+/wN/cUhxZlu96rP94vP68pdpo1w2j9qDoXfUiRiLqpmhx/2UXJjr6rw+w7QkO
DjaJ0K5h6J6LNPz3X85gyfXmInMCTtsPNcjIdanPYQYmfCqfpJ9eGCGuiQv7vMVXDUlB6KwoohX7
icfRd5yZiRNb3CeWvDpdPYYuVnGYSwC6ajr/9GmDOo0LWoXJvrYYlyNyWdpNOTZft0bXP9+yP58P
UCS2ZbFXWsK/naswsv1+LXQ+8mYAvhY0bDuA4alMUMrFm8WR2r/8Ov9x23ydvRnEisMBhnb0H4/H
/7Y8wgqND9GcaztXX9QxbhlRmV00gIoQ/r98KEfBP99qOuqsNxyXWFkR2f35c41M22i4EkKgivHJ
vqU0mzFOZj+axjezkSVy3IkONekabTy+0y3Mti7Q5I8sRkICdIh54bSaabnQFHLuIYvoGxa3W0oc
qRZ0M2jOpu+R0b1LRciDDnHT89AYUU8yDCyYzhHtsLdz8kRbt9PvfZxdjLoRGqZzEqMQZ06V6rO+
RUphnzwZTTAv9LuaimrrTgRw+PCqyGIrrwP8SUBWcc0L9EC+GWJ1djrLA90vh8vifKDL/Kz0pbtU
C8oLuFHxG5mKw0XD6rodsw5xHd5bWqoePgBQKyFD+QrnaVNk74jFScAe0oqo46lTn0ZBU8tKLKQH
ZW9a71NqgPLVy6cae3vrhQPXSbao+AHCF/1AhCYo1eLyG86YdMHrB66DNhP2vtRHSVjYqO8R351p
4uX3YnKiAUlb06N6g3UgIKt9dWbunUosdttUxGKDAJSmki9UBMwdjApNPTP/luPxC1BkEMCSIbEv
nEcbRPYGZCXAWiyxFh3vJpmPLfaja5SoZo22LphMPfDlhAWvInIcfzmcG9Ayq5sgt58N/+c8mnf5
ODw1avjKOF2+pIbMt+RvlIHvqdcyaQ4dJu9tN/RI5I1GvDRZZl5V3qKPmmtZ8ncV+JJ9POy+2VxL
f3mZ4sE7qRxCa19jakrguBcokkC6kbClLu20TKFYCvu+J4b2s+r42YaWhvAqSuKfwG/8MF6ibqdj
PLt2hSfeqqYuXsfUDKusB8aaZpN3L2VZXwHBDaT4xXpir0ujod+aqfm5iJf+akbz8FxD51sjLERL
mER1WEstP2s1GeU4JLSHnIPWeYBtus4woW5EU7p8slOfo0UbgnycyPAk+/2DzPV2j5nAPhttjW6Y
X2+Hp7C/JkPxvVXu/D27XeGog/1pI3WPNSFc5JMuSIr2AJsgqDxFmtuFmZ6Ne0kn8UcEDPNJ6jyS
DQ5FDuAg7b0mFwfNLcDt9k2/WWhhruQU21e3GRM6L3LZIJsnfBqE3k8P2M1WU9Z8QKRVXkiv+WIY
/17peuSvOiFBM7dGOr26nSt3DEQ0Rq0McBIT+dzQJcveG7NqNbTxa1t3r8Qtkt7e26L9XtDKeYm9
3NmVflOGvjnLoEaOu6by6Ugia2309q3DZK0uti2eEDAdfCmhO9ULCj/tBEsfHp2I+J/z6oEVdkJm
0Ix7QoPIG3GqODTcW/6Q+jJtsncRN646MP4VMgdzWmdANtEwkCCvJt8LFJ3dbY5V+UK0CTRGqSH3
GebvnWfLh4Lu58UeWBV4BxeUXKnaF6V9v9S6eR2Skt/EGCRYFrKADpaAOuSLPtkm/jji6zfXkyHr
OzdDHJ2bDnKDOSG8i27lc2/CesvNejnqOlm5tmxox8Md3dpWB47XaVCSiiT76AaYfyq2x3O6RMXV
nuV46m2tDDR6KJukyELbSt8bGFVbNP64bDUY2L3ebnLlq82ElO5MDhcqLm3CrjRmw2r0GoKBfUw5
qMCbe8QcEJQiSjtna5bWixk1OIbMmOiEBEapcPMLIWwDc8r5iFptPWB+WfLsiXzMiiuu86upT8hw
59T41JepeKhVxknfwwETZp3hAkxeSJGfWufSYu/dVDUq3mYyHxkNrYmFMVZMCdTKdQeytush8FuD
sLLmmIDAJHrpe5UiYE0JjAZo6hhhq+mPxAAjEpvUqbJVdDcOMmMERqjVG5oIsakb0DvfYsoztUqi
0iWEd4ZTUy/tsUdLDE/XDGiNxwRd47LtDYaMyYi8d+1KVBAaLun1QKCxtrKR62wdH2UwIR+w+kwZ
SjzVR2lq6l4TqBBB3ld3TErrg+0ATbec5prkEEwlEOQPYpLlx9LqeSgiN32JKs9C9mqld/gVzDe+
tQy6IbfPlUoL2qjeEiZOnRAqo2WHxtPBgCNBeWhhQfBe1P5OpcOwrvuMchCu7qaLZblHGZSy9Nug
KtuckdZYE2rXsHhnaXttBaAV+ghMiubuySN9fN2JpMbCXMwPJIh5x7otbvopNzvqljkHVtFHrxUu
m7ehyFENGoV4mOKmCSuETPs8MbLQaoF64tiF7gNvc6saUlpqQhj2aeLLQ2bGbLfJfE+0dbKZcrJI
6Oz0SFkGeTfGs32Em23fwWuyA9Cn+pMB0feKdceEqTN6dwS+kk7qZ/FJAWwI9M5XJLtln3XZZE+J
XWIBR0644xENaMh+90o72VYF50XoO7fVxU8SkQMD4twPgpmGMHkgptYe6uFiQ0kpO6e6jEXarPB1
eD1uGycKNECZJ3x88qFfUhvhW1O+uQYiWE2zXubIsgER4aGtml6F9qjQmwJUB0VskXmtkWp9E5GR
8meSM2C5Guo2HVGVS6rdI9E0FuOfpfDV1sXtsm9Mt4aoZllIsQHmL1bJgx/1rVZvpgrySBarZc/I
7dXDS3bv8edXw6RpV3JBitOSNp9Oh4cLiQ5GWbNoq8eqHc640XZuR/Cc1x7ifInv7dx3NtOs8g0z
6mzPdBMXiZuSP48cmlGxdSLkO1Ax6i0Pf0UblWNNg2BOAuIY/Mso/OHS9+gdKTFBo8MkFlvfqpxk
5XaqPVumH724rSseGCbrJ6Mf64MZx9Npmqbus7OhbKxUkyRPY8WX0XTL/jIn3f/hpUnFdI9MSSPh
zwlyqjcteQuCOXKtbwntMElwnIDeGEys70rVzfiFTVkFre9WD3XlVvukyUAbjlgnCFjT6iNJJCrs
kMOSUSJS8axFnElgpvh4qGz2a0X7B7miAyfZGmsUZd7QRE/MhkAp3UDpq47ct3BuTNLQu6hx6ps3
npCRzihepO1PZDUsRbxpu6LHuQBvOQoyRqtYsmXmn8Hwq62Ra+PGpBiaWGw0+z1u2ILcOireHWNw
Q9/WtHmVj6hUx7H0T37RwFXJ4IeB91vglSl8Ux3TNm25TDkNyk3fdvWlnpPulKnsAb/Kd8vNXgfS
07ZkqxsHpgkERg4LMTsGL/SCB2dOcrjhICoCVLEV8Gm2G91wXU637dLcWkTTpmJetakLb7hDUyu2
CWCirWtm0aEEqIvLoYwmJLhQ47AqZSWzEnZXAE9EIZarbq6yo4ao9aWaluMQfdLcf/BG4wnV5odg
ouPNN4tY95YYlrUrY628Nkr3dp1ekTagl+5doby83xQyJW5TF0yjJMHN5xLD/8a1/WVXFhr6Q7cA
W5V5kM18u+0ftS7PAcF4Js6b2hjO0JcQt3aObX9MIzbVNV9huG8iO77iaXuMYHnjn6iq92nRF8IF
R93c0VoavxSKiscF6FA4T1ILMCy5O8Y7DFHQy8yfw+CRxVUioYmtmyy4MuuQN9kDit7KK2Ljcad0
Eb9Xskf5gLERrltcTevYP5hVXl+dnIYLqv+UsHlAHXsXa+aLDrGtpFZRJskoMfQgRy7UrNAzCPKI
nPQnf6YKirZc6k0za8RAcIxJLPKroF7n480Yn8UdnlacLoFFqzVoDb+8U1aikdPhSHcLZhhZKoBr
llxLmmuRGtq26nzvUZtcCgaXpuFzQvrlOwW7fqRFIZHZGj4v9+CH2i0K3oqWq8jGtYI98NnTdNxO
Zq9/8A7DujdJms8Hb7nXlE7cjevjs5pwX+3NytNOesKQd6UjsD+BjowuLYcPsB45VA9RyHCIPGQB
piWOZexB59UPRtmREznEKRT3JnlEfS8fF9vU1kONTiYtWU670neuhBjr3xIsWw9DbhgnwyUehb8y
/nFbCr+VsUweh7FsbP5lLo5AzoxVnWn+s4te5cnNcetthj79wcJSnBOkPM+jjkMEyn0utwLR1rdx
rhquIcl3CQiOu6JP47NY4uYKsUMeZFab+zoe+nOKRAJDlhG/ImWLLuDlUQAV9F5GQhCPJQe2V2a7
YIxaZEs4kJa6JtiCFO+bpBw9oqtARgxJeqEzqF5yi84g/ITyIEE/+GgAxu6KPtKlnbK0867ivHZ0
it75GkVjNABFKrBbPKrXxstmpqraaBh726U+TkgBFTuEmrD4q3Qstk3mVbukGrPXrivb9wZODOk6
OoODlWwWnSzweMyeB2H7G8ObkdqWWtut3LKksIErpd81Ce4GDRxzINCK7xSeWjCeAtrznLT3bJPZ
tjWXAmFb2cSkCXjzC7y66llLNVg4RAdtiOcg1LOp+nPu3kIwwMWvPJUPu5pL0Fa1V1c/+UfLWY8W
NrAgnyFXErvRMOuYYs/GWEJsqNtmnEJgaJH3AWD8WfSChqmuc77jPzdwh8HnqYUxuFBlS3nPgecM
fkZ92EmUvVc2bOQgEnav1rIi4+LBTJI+LNAO6BttmYfmKK2OlSGeH7hQWuh1O4FqBewTsqnP4eQ6
5S43caS/lFHU/VRGVlBa0zmsDgYoKGtNYWCPR2RY2KiXSCDjL+a8HTecpDXtottO7x2Z7xZjMNn2
21BOJXxNwiyKxfTxoKTNvCqVJOeGEz5gsGWxayISAAZe+mYEwdEsy4DbJE/9ZFtWU73pJV4uG417
HcxdOxt3tPcijNopqmjHkxlyvxGRxoSQ/ZSbfvcMnx2j/i2mYGxc6jTNm34utY8zjdp7PCyaLL/b
olZb1GJskTM7LE6+UZl3JUEdr1hHup84b8k6WGztk0tv3odo7GykEHV/YCtkGeC3sapgHkqvPaM5
ms+ddG7mJiiRW2Ur/Y5uWMx6rsoCCbNZkEWL1+uSKl8/Sxj13ygtKRfdsfG+Z1mb011n4X5tIEnl
gWeOR2wRiDjGkeAUgm8czPwN/tQCAd4bIyXeK1XcbDypfKxU5N1FrR3nW1zY3wuM8GDv4W33FsMT
+pnoRJZDno+Km00LbFUtWkzCqVs8TcPUb029jo81koJLjsqYxkc7wL4cFHmIc7X0exKrjaDGidoH
pSHbVzNzUD2zfb3EeRz1rPCJk3Eloju0S5Z/YEQXwTjKfserGpNuMYj7uss0gD85mYarCQCatu4n
wjsg6M1Rt7HdhF1yUsspE4LCgGr4u2E33p7uanw01PTVCfXVdtqzTgmAnDMVe1O408aTprUltFi7
ESGGl7aO4wM5Kf5dhsv4S7lE2mIlSOcznS12hpKDNVZ1w4XmYAnaoG1KXOJUa1+dfwtHZrb2s0NO
1/24fQQmNNyT/sOUWAkGH0MRqrOolNLeYZxJRA15yataKHNtRVycnCNK8OXFblvMAPmCwgNPVY5m
ZeovU+Teq6S3ka4S6cplRZu0nyD1+oTLHFXfAA8cLahKzfyu87eg6tNA9FOY5CGxBxNg4dibNu28
fPMG+nCY9krr3W298XJzKL11XPqBrBT3pkbs98y4yCisSvPlZv+ytASYYRbN9lkT4Po4y9wUcbm3
acRyIiWzOSIIUoQeN/XnXEy028pBC6OaWlebMrLom7GP1lEFMwkkIu+BJjCycaSNMe/5qDP6iS25
z40pdAgiCaXeFdBMHdmt4sGoz52hVVvdal1y5IxYh1Qbi0fY6c4PWhk3IlXmTfqaAN79IrqHMmqT
e2HQF/Q1kJauM5iniJjNPuM5nJ35JlL15LzjF+/H9WJYDF29kSc28Y9Y599GzXRfksVxsCO39Tr3
FkFrtoTewN57IMzTPHlqcDYex5U3JUhOK+2yXHM4qANjUsAoFHHGYE7G0zR6OU5DXZsDgENM6yrq
qysZYDx1alTH1vXTH3G7sAEXWPBNmzEayTbVc+nY+VNM3s2DpsXuC/N6tIZuGpU3XX5DDENMKFLh
4Erf4Kj1XjwtBYhQF8ZjP1coxeYbptvq671YYCjWkF0I2rtFODe5qiBY86j4FiiMcOQsGbJNA/hL
XWirGjhL0k9uSVqOnPEKpn7TU/7amb/15cjRHj9dv2cK7S23DNy63HapOzz0wtN3Bcd7QJ60R4DA
YWKOccKP2jUt5uzcQBMl0Kfsw0Ri3h1H27mbrKrZjTnBYHjGM+LPOmqgjoTZNsrq+3SS98QdmM9i
ilZVa3xLpfPhFz7pMxK46ooTXxM4yVKii0aU1M/FySFZYhfHif5A8qO5birTO5TzWJzSLn+qCJpZ
CXBdPxthiEe3tcjczGW0J0tzCbRGPUYGvmwwHOPDWI76bijs/Dyxk1ZDWQUdqVkPRLXFj85SlmHX
t87WKOky09A1T2NlDaGNjQhfpYSPOLLme3h59LjQQjyoe1W0bjhYPEZZ0v/sqVY+ZyLdAZ1P62HG
fDjZi7tSTL5yoof2uiFJpCSHL3STjt5Q5CIbg85MaCo+4qd+GLYL81izqfiNmXUF+tz9sCBZHeMR
n7A39C0M4fxGftFYSSv6TyHa62Erc10D2dwbXmDYl8a+0bH6vFbr1u6GLSQHzCI9o+U60Jvi6EHh
WWot8LPqrFJteC99+3PwtDgctEns8RDzf3t4A0lNWMuOTNml32koHFeyj61j2yQXer+S2UEZyiS7
Ss0mJK5eRpYmymFjRODoT2oGsSqec9+iraC7awYPayNNafapod5jYDzG2EmpJabi0+yjdJ2b7Tf8
QnewkwhhiVMpyfwxYoAGtWewHWg2PihKoMVO964xd/VK+k1Zk9PKJIujh3u0NTKckaoB7ANDhogZ
Q50nULJHt3LCFv70rULQeixVbm1MiVHPHKZtzJq70ZEBK9TQ9ndZVtaj08TVEMSJkbSrUTNQ0s5Z
D9tsri16LTI52FqaO6FZCvu9VUKLP6CO4bz12tqh7vXFk2kBDWpHuB2rfFZBzntbr6mlg8XzZn/L
gIJWRpsihdes6LGpYcalgy/90PWMPezHTew1xqGxjZQBphrHeafcJf2I3Ihd0cWZu2pTROhPWkoM
E3JY3GwfcQrcfCVs00XImWjR0UmpT8g5cQQZ0H6WX/3Ytc0942ycffPAfIQBLUpEWy2/fLLrsTHo
iTp9uiKcAgAvkt7beuojps/b9CEbVf449BarLetGFZrZQk9zjCpQM07quO91VQwfszTszxwh/aq1
/AGYn8+5uaOuWxsYB7fL0htrr5lFv8uwD6wxbdKNSGNFtRjVqEs8rX2jUdwilYWiuJp690BwGD18
zV1ZFja2aCnOpKpM1L/NxcyMfVfWHwkYN77oeLHZ32NZXUwtPnYZxhJLYJHHmlDFuBREd+KJS96j
JmuoiPFKdDGp77P4bO2JCDEciTs4ASnTJWizZeaHqvS/qVg92M30BoFywjlKFNImW8xmP+V8lhf3
YO5aecZd46+dlge9TGk2xjbIabcTwwN7d8UOmdMlA35Vws4qqVR7zZriVbGo8mtRdrHG59+tOfZg
0E7MVe9G1EwWRooKHUu0hl8zPhIu3j/HhJCgfzVpUhd2c84QMOhFfupMLQrE5IqN8BKaFJ2MIpyT
FDIBqrRmg8952Stp9t9S0g1gp6NRPC59B5VR2XnGwTdlLNz0bLolhhFGFWuPfsGcxf4OIeiw0Sl1
DNafUp71orIfm9EXHLTon6a6xnDEzt6xFopwVqy49FanUwpuhwjRaXmbXaq2cs0oi84GUu/04rTl
2zgK8xovxCBtu96cv9V6mu8GTscnqLXO29xg4WecaXO0zhd7LbPZ109Toelwkl1uA3owLQvxASF6
pzX0g9qUKgSnyDklP55GBfePO6klrggiWxTPlHAEDbZtmM/GGkuNfrR86NZJp/Lnsm927VCPGIvG
l77DcNTJ+BlmblgLz90VzJKCYWm7tT7PhInZrU2PO9MuZsxIkXUlfSY/GHCHV1OZKB60VeHo7c9q
Sc91g1nZQpHtGu2GAC0ZOPnIlk0jf714KR34pA4Sw8TxgNJmWFlGHW/9ubxJnlHDOBvLTr8bA1la
iBox3JbUn2965dNbdayGVAyj+axy+rGbyeABGQHEoMRufPVY2MKY1o3o810ekXDoL4t75yZe+WxM
TteGA806f40VfeF7IaVXlRNfkyY/9+7AyULV6YHJCSMHoyx2U+vjxG71ASyhVY7LwzKl1Q7h2dht
DBBHO6wnBSEeZNpwWsmyt4xV8cciWrGuENc8OnWk6BNPdXq0F4slDAnufZ8zNlMI6QPWDe1YpEZN
ydRIiNMGxvs1gYn5eeQcc0D4H6PI72qAOUkyYe9YCqJjOYoZ4KN6bvlaM4aXvFuA/3iLF6SOasMR
6w7HOmPvuDXbIDyZ0O44QcEm740TFZxcJS1TRYBczXKt6s8uS7UvmU/aunUH7S6/nXjBpqYP6PXg
lvhqgNBaZPfZskCsFpl5D/tmebESww08X7Nh0yyYLG0s5sZClp6dy2kNnIh1qzLyO3ROFscyjElR
1GA0b/h9FGe57cAqHTpmztxftrfJWBOJ14J2A+HC7rCpcywDVWo6DxhC01MupP0Dh5IbEa0ib1xa
mGWbwbKBSY2QhopkGDf0kMyNDnSMZFytfwMtZj8Kns9rUgsepdjs6Tss8sFGqrWSzKHW7DwdQN3e
pkGlrL3e6DndlHxON15uE7QGdDQkJLoH6c1aJ3GFZOFYoWxbzXrGFZcQydQaAwiTpdjtuwDe0Q/8
jMa7rbz0Mhtds2GciGUaoeJKZsRweZiL14YOKcHOi1t2hTkfE81jy4ml4tcZZeN9aKP2Xnn4W5Rr
nmzfvOeBoltPN2ld4hS7TzRRDpsha2+Vg5WU0xkfWF2ENVXvEEoWT7BLbad2PNYNx0eTlulYeske
X1f87DZ6N982IqVvpE/O1VrjziIZWPy7SoloZ7tl+8OA2G3Sc49cs79glJj3lT5BjM01TPo96To8
ln0aXWOaRY88XelrXtXibTTgyDpuFwexZsfbSEbLxakkcajuQH0ZzYqxcyH0N1SX/XO+GDSmvLKh
Hb4I/ECt0UAdd+IvP168TR3peUBa4/zY+E19V5VVuWW3KALHbbtDNYHWxZ+oDMYvgPWpkknFMavm
qGVUX0ZcFAcbGwd6er/HMJQyMVkKb952llrONFr6/QK++SMHq/A/2DuT3ciRdEu/S6+bCdJImpFA
91347C53yaXQGBtCUig5j8b56ftjVOStyry4hVuLbjQavchFQqHR6eRv5z/nO8+2ZtDG0Z8ftBFp
dFgV7Qk0xjurldtMjN0PA0jLMR5EYK2UGGjCiaz4TN3yeOWKzBipneatlH3yafsZWjoxim9KiR5g
I+edajOxPsbBQJYCWDq+fJD+qCSPUxgQYGG54Y30RLT6G2FEfesAr3NvTa/oT+1kkcxxjaEjAO/H
hzqO2KDPqXmdbIC/nCFy6+BbUbatZItHxapQ9eDVPQbgX27JfDOIWArRJgP1a4Ox2FWhZonpzdlT
RDOMWxtYqGZdXozSeFKF8WVj7XzMK6N+KDsn2BmkmJaptuzXcFOeTaPp7ybgeY/2mPYPxtSXmyS5
H5BadwIM1CukBbIMlj2+GgGNcAlGlBu7jD3oAEFHHKp6lWlmXyZjmQ+GPL21U0fcwMM091kY5Vd4
G+k6cPv0R98TMaoHYa6bvI85qpjcHTBYHTgbxtQiVqKNaO923GOmdL3voSy+5WFN/qedZvGZ2wbz
mK5MAxTAPN3QNheSP5Xosg4BVC2BUYZVJ9a1s1gjis7j1hRWx7yS6D4LbsRW3akaArpTpWW9un5G
67bHT0XhSZxb94it8Q1QFXuHZpvwVdVI/sNMoRdm9rVStd7mUMw39JZ7N52FpJEUv9Mwt5Mjz4ws
IL/EGE3h7bR0XQQJ/djB0n9RS1Rj6YVvXhT9wKX05aG2rkO22DFFGuPSqEEmMtlXdfmVSjg0PunU
IoZLkk80MKYTpVR5Ty1seB5U+TzSAeTB39uMGYshkiewT8Joy1t23VnOpo+Vdcz66hs5qQOOoTU5
0ugw0c65dgcIay5boXY1jCyyvA65J9cmtCPjMJv1KbOdQ5dMZ6dG/Z4syUaIL3nQ3pjsnDbEj1zN
MYfJrku+q2pqyB2HyYVSwvSbYP/16BacGMs5RgrPS2v/3+fyj9YclbbhuxFFzoUjsLmb6ZDfFzrW
Tz/NeQtFP/wqfxn+9U947D9S9fnwv//vvz2WeAbz//En8v6fP+Pf9l/l7Xv+pf/6j/70OXybX993
aV/70/9sf6Y47ruvZnr4ovK2/QNnu/zL/+oHf/W5PU7V1//8b+8/ciJkMWf0+LP9x1SHRUQRip6J
N/A/T4Oso+i9bWNNE1z0n3zyL7IvoRDTdOC/YsUkf7HkO/4WwPfM3wQRAGIZJNjIvi8f+XsoxDKF
ZfqENXAGSouf5Q+yryLQj4WVJabFp2Ju/1dCIeS3/2IUlR67amH5PD+xxfrUxv3JXEk2vU/5b9wp
zqliN7JWXA86EfYamCKiFN4anWwbBBoPVORSKQvPrcPDM5LJXlFt66wHX4pzMeAZKLuy4loN8vrs
KpV9S+PBeHStIDqGY9lfZV5E+NSVSb6cR+Qeoqy/VTbPIMpCARjZ3oyzb8o8eLQR5YcBVcfPVE2w
PQgy7gDUxzskLYmdrvFKTvdyLHNOGPO3sLMnWn0OGcsYbyV6kq9d3DQ3EV1PgFyI/e2Ie7KpCEZ8
rGxIJ2PYwxuvSSpORNK6bDa/BW6cvdrjGH7D9EKtsEkSv2Yne5myxQo5USX/QdjO/Y6Yq9BHuuZ9
4MSJVSldRmpw4I0NLq1MrFRACAmKK+Jsdldh89kWBn+dQmBtN1vS4DmwvthuxM4C2waBgArtmQL1
Dy/2xnwZiLFlskhMWSnJ9GMAEz5SApD5P8LSCJ+ETGw2vMoPlsnQEKRnRV/Q30HJr8+zAFWZPGmC
N/SU8AKsEbgQTuj+vBnL5nmKiyDYKDHG6WbGpUims0BInMe62EZYbe0NkDB16eSQvNNPnX+ZsJ78
fdNPbKBqyKDzyvQnfZ59jiyVqw2bnOAs+Dv0bQi9Hv7KKqS9DkuXHMJL6w3+aaTMBFBgoNt1Tp21
SY4u5lCAd1muG6OMXvMsB2/F3BcdbL3A3ya7oDWwGTyA7PDUC7pyILusyqBBoI38IEZoNLsfVVMM
0c5GKDh0sMn2qlMTXd+hnLYEg1m6kwlJq23GZf3UOra4pmDuzoHs9GNUROV7aNoMA/Qz1/5NG3Ip
rpU3Vp917k5vALpKa+PG3GupsGmq7/gdcNLOFrosIKOi+UZ4y786jkUZy1wNbAzSUl8xYtbAbIvI
EshaXnPvyWJ81s7SnRPkpvHVVQkQVM+ymldHpfkH9vNy740THy+FPzxq2II51Vy5N0IISKLpMAgV
GeiCUXEDjmYlByaRvdGOjLzRMDwvbt0Hty3pGrRwdU9+Wh+UFxmMG5XkAW6SCdvUoTvW1HCI9CPk
zbV8akBZExURWX1Yyhoa9uNLr4Yby2tm4I1bCScbzZcQzMCr5JKbUANL0GTA9AAcUPBR7u3JQ6ew
a5w92mxgcimiEIdZR4j2gfwKMjG/DeFIZKRc2/lgf6Kt4zgw06T5cNWYZ2u6LMe3EdTGpu4izADU
Kj+OQ1edI89mce464lRwwC9WLroboKQYRXQa9cusYSVuQk1Hr/AQYJOxLU9YtWW7oiy+WtNfUOzS
yaZlZ/SCwzRFe37ueVtSzgakakRtp1dy3yGvrmahgmdfEG8uWlv5YEp9uTasTtPQ1OIjXQ9hjpl0
LiA5O3MMkC4fxhybSMA6ei2iOv5Kuip6mlUUgf6x0nBbt7aAsOGI4dXgjUJ5F36RjjNajXxqJ8iE
oUGHOzrvzFt7zt36Su9gPu3gDhIJRn8cN5ZBJVuLsQN1rZPdbV0v4NSpKMtjm2v9qk1FtwOWgzTv
E8K0DfdpSIqEov00gqHbGSz1Z79+MluRXGZPUOfl4/d7cYKwOdsA6t6sXiVLiya9VB3LIs0Fi6GI
iqYcQBLnW/WpCy87hHn7adaxU0F07csTjxJ3IVxl9Q+HzcSwIt4K4LZoh+GCuy5sORbiUttoKjD1
2tDEvtYO3h0CxUjN6sCiP/KwkoZsLlLT118T62SOluMyyRCsDZ0+P+BfrU84PIq7nL/UgslwZ5qY
WTm1ewE6PDqUeSt2TixbE6hR4et1Etoc761MusiPnZ11/PYmxBQuzfp3cg7eCTa42FgaTPbKm0du
Tn6G/cvg7aZnMvgb+hvqt1hpjtwwCr17XNHieVLlsterU3E2o1I8IU/Wr6pMvBOyaAiTUbXLXrIK
7buKZok7OPLqqcb7zp87kVw+GL4yezdVVsrMHPeXSbVyZlfphM9Qvs18M5bK+p2zs+Xd8BNGFM+h
78Em8SbvrR09wsVdJvSF962bH6A2u9wYBpfhL1bNGb0xuWXEFjsiPIyogWAfPRrNPFMzExvROpsz
a2eAHT4nU6BepoScEmbe/C5NfHOdibpiOVzGV6JQBRBEy7qCFSjhCET1cweP46ny7WpjTd0burz9
CHrcuabZJDZQ5OxD7ebmY22WxpdISpY0MC8RH2xgqHioAXhGsRM8QlhVV1XGj2VpGlcaYIJNOhWL
fhRhtTcSYa2hQpb0G08FqgDPuzmi0mKxZrT82aL1pBKHBGHGjo8rIbOr99grgt34sw65V2mHhYuO
5AiF49iGjA7kKObPjAMmjoWlVrlYGpbpJNJnEqhqWw0y/g5j7y2HQbIfO3/cBzCYoZvliOYd83/p
DekD7opib9TufHD7qNjVxuAROvcE7ieW7pupi2wOh1qL5qLY/33Poh4rOADd0duisXKgKxrTOWZh
xc2F87FzxMnSPoIZK7FONRG8HrPZtpqlaM5cH9Nf9pP35dh7hxvQusSJ9ujyaKG8GvrIWg8DVK4I
h9u2NAf9PmM7ungaDxGuTB0h19I0F3Ke/2Y6XXWlNC7poZO56myGvfxmuxE2WFRE+gi0LfasTL1b
NlBhS4lIYMYr34xYoCUqe68mP3jrQN8/tARefm9gzSmeyowS6zKqXHtLFwKFd9aE7RJEU1dk7Ooc
kHWuzUu8QlgNDo1uOfci/08vYnbBDadTdU2rAlaaA68mXtnasoFtMzTTPxBGz9LRdP0OvlcagI2a
6MYJE9A2sGmgWUS4sTDkdtNw9AOly0M7JfIF/5N4KvK4f1CLxbZNc+tuEBEiSOtqiEwdruuDLFS4
lwg/b3DAy/tmCg08PADVTl1t1jcywoS9moFNIOzb07mRNT4Hg8PvPQPsUK9QRqPXyALJuIKg3rJI
SCP70UzG+sUWbCl9TUfUyNr61utkyAbHdRxWxXXDK9o0MaaRKVc/Ssehob2NxHRr9EFx8qsCYuPM
6ou9bGsArVPyE3dFS8Cgcab3NmoBTuqcenJnqvqPRGQJ8RabFd2QRhCzunkg3tEi1/38LTk9F/iJ
6/7N79EWkpauTHiqL7w5bYfzdgFacgBcG9X5E9LZQxbBnBmzUJ/9PCIIYAcQL1IcZfsid/1wbUxV
uwHqxwsfgBx9AcnAEySohjBdEwHPY1Qcz35GnqBO3irLB78s5UOfy+rC4QVYcDhRJuthSV3LXHuf
6TRH+5n4LHtOQlC3ABZ7Fj1ZO3734smcTuVo99MhJU+TnqJC0IRM2nM6tHAbP4MsbPZBQX/yqvhJ
9w4rtbBUGs8HORHOBxbE3pdhafkVhkHTbfufkPBuNgGGy3xpFnR7OxZ7QfjtiSpAgSyTAZxdOOOm
nwf2rl/o4wJGx7OFdvqgJpHhKu/m6xzbLZrO8vBlKa1X/OEB5gxh8DBFk/4YF8C5WlDn7O9urHph
jKIeyPeojGty0Y4X2VvCHqzWhKQRuIfHeuelatiYA3vqVfQTqa4zF7y6+RO1zmF/Po59zdZFE/5K
VhAo3FcztOpx1dUtxk8zpqysNs3qE2BrexjKJr6ULFlxAA71S+PDHtW16x8ymGbPvWVO83qcxvCI
Gq3bnUX5V7zOKT85Gv4CjU+L2jyInyT5hozIyp2i9jsKPco5hOruHEd2Xu2hemK5Si2dnDkSxAfZ
DOJQjWadrtog8XG9Aa53p4VhH/3k2RMIA6eZBO5srUEG8tJh5zjleUJdaD8yy7HssVjwZ8bMon1p
3JjsjiiGqZMD/lX4SoNhiYeQK/MwWLL48MqZ9Ban7JbvYOcZArZtfDMXGH+eWc1LOtbTMcVuy6jK
A3/tLvD+ytIuH+lNRgxDlDfanKozFFAgCDHxkWBdZmXynpc0QhwATYV3oswXPT2tlMP7AWmu8/Pf
G0IxlNtk+X5oUPMNCmng8dKEwQbZdfFQj+yeOFeaj2wpMfyIZN46Hs4SMh2dTG+SumcggShNZVfs
sqFG7oTmSTtLddBtbbJUK2KDo2lEv0Em4tw9NK3mpWGMB9083fTu0JxankjvrJJJaBVxoNl2QgOE
O2qpDMmqpVJ4Jdx23M1DS2gohWtAMU6ies5s6QKddKIbvZQ+NGlPoweR3908jnm7jJFs+1UXkZAH
MRwfMYDqrzFMywtlbNxJDFTW+xqqxFPuLmeK1nOzTeLxFEdttpo7p7Owvsk2OAizLw5kyih3gbZd
78Cdjc+OkAJKZyLLIyaL4HvbeDFoYzlnF5h4yMJ2Q6fkCzVhC1lFDXpa/W+Rqf4fxUg6RGb/mZb1
XvyI/4OS9ZMkuXzmL7qJpGqSjiqHtkcifrRO/SFkKQnCxBOmKT2bXYoiNPtLx7LN31CckLEoSmOZ
/ZM++UvH4kMwJy10LOjqljStfwkk+R8hILzrfZPDED+F6SBo/VnGAtrMmSVPpr0cGlp46lK91soK
L55AQl9RSTPSQ2N+BKnVfHmNjX+5Y4Uj+yjqto4Gpa/6stkq1/BfG4szTs9gyGI8zn641MG8/P+L
8b9C2UFZ9WwBHOefXY2PX9l7Eb4X73+RVf/4zF+yqvWbLWg2+zts59+vRvUbzFI0UriiP1XVv1+O
lv8blxrXr+u4got5QcX8Iau6cE0RYxeumWfjMP6XLke+4l9lVdddQuRc4Y6/cAYWDsE/kBPi1Iu1
DQhnp832QbI1POTtKNZlSLGfb+TDV+JNrBKk7x+Qqaa1GjO96yNpH3CW2djsEOW2vXTo+s2swb0H
TMBzew6KI2mKfAUSdLxVQSgvtheqIzWb5a5l1PrRiKDczdmYKL5k1X5omiPJwCwK9KoZY/lK2Vz0
3FaFvtRlUzabjkceCdTO9G7UOHvs5wYGXMKsPrVWCc6JNETj7DrHoPCsGIhSz812Qoz1MAO/Sg4o
a/aXeAL5cxCqhqXsHBqs/RyW5gq6SuM0x0GXCUM6KK91UcthBmgysrQxqDYr1gWWk7t0pK54nRCE
JARq+O5lST4U+5F3/BNHKEZaqjaguCl8h5WfBI9mG2NoFWbKvjmm3+B28Y9zTjZGCSYusuO7Nsv6
56YgTL/Fi2TejCbTaz9Mt9Zk9Szi9fBZmpzZDDvTeDcyre+AaBjRZiioc5kyy30OTDLXrW0bj1Gq
zFejxDRBp7bqj1PdM3tDtds2pLZ+LKgFtQ7luPzgnPWrlJ+9o3TcLT3w550ozyb5PLJfY1Z8wPnH
+hphZl31ZET4IT2fPglmkX1K0PhO5D4+p1RRcB7ADeVAabB5D10Z75G+WQZNpJydKPAIygynErkC
oBl1QSuSag/dGOPFJwNnLbRseDXYNpGJOCu8hwS/TgOFmxcuqC6BfelVBuei3tmGmVIgDP1NP+oS
UcbqN/Ac5EEZefxcoc5s5tGobyxmZtyoKl8jTtZ3yvfCfQkfb220g32H7mRuoXmEByYErDIOvkph
kG+E0GR+x5M/n/CUBld438llSrhQm3JQH21ajDsSxfqYlui/eeE91vXAVqEB9pB00RW29bAWflM9
oSsEOzLrzntsddNNDNZ+HcJA2UnOBTYr7RdG4reciXqFtbtf8TI9k36kewOfL9R4aMjxN9rGD82Y
XCtUhy5yT7LahWoeYM1ni2UV7gBtHh3W4MWCZwqBIbrSYfzI+0BdqJqQD1B2JUaWdkxOGb65V61M
79FpkzLdlBAePMy0EudiNS6Jf7aK0zfBOfOQck3dmvz50CQZ1VYCE9AxR1wx6NKWznOReM6tm3v2
weK8jUUiZ/0XqCH+HaN+tWsGJnZ4AIH+MLM8XN6Unv+oCqtaJ/Q/8fLjH6IuyZXTFXhhdO/Uqdyo
JDAtnCVeeK3GOhQbQOvxw4irsEJtiXKAebJ/q+Kkuo1jkg2TWbi3aWhTTkiJx8xXgqma9Z314Ita
Hby5htAfVCzePZ/uwS5Xw0EO4/ThZ3H+OLW4+w8sKJwPru/490jiVVnBPau9FWT66N0CxomVYfRY
pAaRUncJVQ/bycyFCwEzt+tdSg55P2CSwkGLD3lfdWlxB1HTfuxzAZOjccW3NNf2uTFqwQ8JKuka
xRDaN0LW5DobTKf7Dobx3TwkFnGkUO6TIW7PmKbyz4RLmFc1sMWzLnV7Bvxsk3WZ64NHspyip8y7
LYocS1DW0MzF/iAwb2RAj6BfD+GNa/XJ2fJS2Bme65JRbgzLejRcOWBdkZmx5f2rblm95vdeE5oP
jhhFhcFf2tGpmgf1FGa5aRPWmprPYS5nRnsTUzfErRrzLdUDnXdKaoouiB+WmK4RB4jiGGW6Xw52
egvXNTrZAM4Og1/cQuoktmYh1nN6H5NV5LfWYcTCei8TbJgub9ytNnF4Q3RHGB3m4pvuAbW3rIEJ
uvl3FEmGF+oQOZzbmIQ40qY7S5TzqW5aoCcyF9Rp4NZN5zq99D006aQIcG/nrrrROFHAVYXyHPh1
SgVBgl6ldHFTTBQkYO/rhi3hqA8g9+U2s4zmYBN/fSFHsJNe95JIsJe89bHUcDKJahFtjCTtfzgl
arqu1FZqbBU0J9BjVhrxCiD/KTacGgKD6xyBf9+BY1IbN5DGvWUU6jCxKDyGRnAywwbLIPZwkxJg
Y3plE0DNVWCFzT2V2DZW2dCoto0jNjS3PRJoHHc5bqMdutZrZk7iSPLZ2sgm/kiMfshOAtwdmS2/
SzfUYQ0+cbR53LWB0z9YvZNcAB9UO7ZM7W0jxA3cn+/dWB0wSOA3pF9npUfdrfMJJqdXirMF2pz2
G4wnVGM1dAbgdy2RGzEa3QgygQjj1Uyt1+gG2T6OzKXhq3TyPVDQU5MGuOwCd4KfMUdsnZlQ2ylf
xeVA3KzJ3vMpy08yk92bnVXaXwfRFF/I7fd71lGcMQsbT0rdZs1+rgcvw3DrMSfg+rnJozDNMYjA
P9YT7PW5M+yvnGKDeEnDAoZ2KoAM2jRCKsWHDuKZUWmeA7HQGGvxaRWkYOANfRal7u6UbAe6j1kD
4fD1NmrgIebTQ7HGEXopSzrcJxab3Kqm5NHWZk13oU+f1doKhvE5CKIfPpf72+zKDWPPxY28bpfq
ejmkB/UDobEYn6Ob2+tm1CO/FKtEk23nfdLH85sR1vSiqmwkR9/4w8rM0CDMgboF22+Gi8KY9qFF
CtuAb7wKaePChmcD8SbCSz6vap5KxQk2pFEc7LU+YTztrlUShM842qp9jqT2O/S87HXonWonFBXb
9LsjQR6yNmwOQ+EDfuirpqKVqujNFVpgceUZMOzBAfS3nuvNJ6wbznNMMOc0amM81cILN3Zdw6vO
3ZYHknLPc1+U+J5FvHi6+Fu5fjt/Aq4yD/iH9cZ252CH6RQMEqbyfYpNcW7Tp0lCrm/p5lXk2Wg8
wU6rl8JFDMHeWGAS8/Ju2w3Nl+1QmeuWXIrpKLfChDPPjXhDqxhgeWlspJjuDbu2T2U5OMe0mtxD
nAflu8v9bE03bbB2dd5Q61uYu6qNUeJmwTmrYWkiyVWeQ8yKu7zSwQVjQLKitoZakqwA8UrGxY0x
VoV9dyPE9LtlUSyxIlxsArJwJNGCTG+d2cWIg/TY39IV6uyKcKhv2jmM9gYeY1MPPFUAovePbdC0
T/jDMuD5I53v1nhrLt3oyte49AmVbYIeEI8eQhveInuaifapnc2tLFrb9vjGJ/XnOFfzB96ncRuw
tNg5INrPOOPsF/7eC6VedmSwqipWO3qQnK0bmsYBoEZ0wl2v7queZ3nQVeYNCd70Trgqu51IZ92D
lfHOuVmk5z4yUvY5VepeeYf64wpraXPmHJLfF6Fwv2ZzxAZAmO3OHoV163ZCnsDnuV90RPkkWujL
ioco/mY3dQ0fWjoD6OcifsPF2F64bWbHmrLDja7VZ9j1/kEVdK2FeMluW8fy3nDBYzlOioK+ZR70
zEV2Ul2qqSZK1MR2fCzzkBxZ5FYTdw/c/ACMix09wN3Bb5Q8Gq6aHoBR65mVfHcqYxVsCsMvThjY
pufB1sXdSJ1BKVVwNYMqfRtMrz6AaYg3U2rvCW+kW/CV9U7F0trmzUjJYWSVt41KeNJVQbitmJso
tOTm3PkyZgGaui/4DtiSxF5+V3fc8Jgfy9eoiN3vfpGlJ2pOuYAb7Zw9q60U8n2HwVvHYXQfiowd
Zic7PADz+BlMGYJ1zHMvoPxoA8qO1KbiOT5iCr8pVf0k2z588YyAKTOntqxjIGqa8DjjmALVTLgm
z95HohlXnqgsoGxG3o3pdnpFjmZDjA+OSryEGKvhM46H7jH1q/yUNOAYexDiR9u1rJMau2wrNIVF
Y54GhyHy1r6J07ACbHVU2Y+hN7F3eMSmk5IvxQhLZHfIms/JgBWV9fQ4YwnP0p0YSnJ1ZJO2Xsmp
r5gH/nzO4NwZrjft8WM2V8ro2eTJsvpg81lTYm31xwTEBF1VCYVVlmacqH3j0KqpveQsfdZjGE/f
giDWzAtJ9p5a/syvQs8MuJ7ok8OYwBjQWBsc2g7lym39hG4+PKAiKmgPhW29FaokV67ouadqojq4
VDSnq9jPKh9rSc6hp/Wsa0OLxTroWcl6aUm7qO+nO6+aWH+xgZQgI+o+Xlea1wunZvo6FePAlTXI
fWkU5FqC7mKz0JSs3lTJclt27Cn72PsdTNkKGtV5LHy+ftXSAgVmyI8Fa7XBPKWyMbcstb/qYTxQ
yfroLStpafXxlWpjAwJ3MWG5U+Fucpoa1kfZHvG5t2+sTvp3gPjN1leBfGah7p+BIAafBjPTQtwu
unXfuIQ+ZOhs/byHgTJn1RlXVP6mvKBjNnLdI/ioet/ZBgq4P43G1kLfNQ/+7I4N0q0xnmsyG+li
ifT3gh4+LNkl6zEwC94uaBLvE8ONBLqlXRRy0iTfsStKtTKw+j1XjEjbyp/823aYqb4a+3g/gaE+
SGGP77KI4H65aWFds24iCAaO/T40DJj37jzeG1oPONuHlB5BX4ktvejzcUapePBzv3kPpyAmjTlU
rxXPt8Webh+pWc6XOEJz8VphEvppK1CxLf3tIqjL+9Ztqertyr75MuewfzQIo6gVnSz6IonsbYeO
qDQRJ+G90XFY75UWv8dpQeMLXBAE9Sm2r15omWvaFmLq59J23Zi6izaVQZvXqGbQHYFgeTNN+Wvn
pkyus8quBW933NRZSY69d28z1GT6x/U8gZ0phpz4gdDXVLXVHcM1Fho7JPzZJIJbDcir/iGEze2v
8Ltnx0rm3j615uZbUjHD4gxI80OOLrrxOcWcSWRjnM0K/SRNA7KBrRQZyDR8dhIv3gdNYHukJvrk
OBSE2109zCc656sTborhtZ/t/tFnCr3vqCLeVaBLnnOcWCe/t5KPUHU8i4JhviW0VlGAUpnhmX54
61Jo4uuRBRTWTTL3aFY93h9KhalbLql5eu+J57LFT23zPZdWCqFRzeOLk5IBA2GHmZ0qW8estwuE
78aYNVyDkuKmVU2WcYdTgY0dHXJv0RhUz72CjjlXDgcDD9P3RBfzHZtr70mqVJ08Yk/wZ3t3wy4l
v3XriRErWXpFVgq65CtGablxzSS6C3AI7huiE4qIXyrfiO1Q56lNk5W+l90QMmXqjBNFwV3n1FtV
B2QktAx5ab13PMPcwRJjPyNaAfvhDM7vYa0FUcUeb6IMPO6u6WCkevGd2HeUbOcHq8Ur3BhZ/mRn
Zn0qU03DO/Fz+YETB5LSnDAu+akEIQZ9ljIZ0hJQAAjbrvmtGW8NSRslPYeXmGDEGnZ7sXZHaGX/
h5cR/xeaZoUS/3zJ8PAOZa2N3ot/lHV/fdavBYP3m1Cosw5nsF9rhL8ZZaX/G+sDvIAuJHT5tw6r
vy8YSAKxkMBi+gdY/ZeiS1MViwAkXfRmVlCwUP8Vo6y3uHH/BDYnD+wrVhzIx/RrefIvYHMarEcD
64LemQDFs70RjAy3JOrYLGu/lEd6YBmi9dhrOFZJQvdLLbFcbXIjzW914wOKQb/wCFmk9m6A7neW
tU9dUT7BD1uroakIVUKAZmHa5aJjKT/uYI+Ac0prNbR7erUx7vQ9veZhSJoBvJoTXLpmaJoN6zt5
jHxdNduuyzmlyClJ3+Z4HIcNOQI6R4EIlvQqsdkkkFYE4RkFRn5w5iC2qvxhP2LMu87c9i417bxb
SjlTigMhAFR1lz70oqo/e2EaNAazAn0ys0B+5JAYXgU9Q816El1CkydyTbQLHR3+6E1oSxlPe8wT
pujdVTUouiRUn4/fuAV0e9orG/xUCj8cKdlgw5l3fOM2Mw6rgVvRbQymw9zkhYWBRRbtTG5GCPgj
WWvY80YmIQVWfU5wjR6GJbARghu6yxtcKaijnf9WlZYdvpsFbA+Ox5ORboe0RgesHZoSsVa7b/gs
WJG2Q0R6GAqZcdLazlq+KCv/jUHIyL7xeszBe43jzgIGWTSM6EX30nUtpjnRtppfIM2cagW/Jwcf
UyQfdtul5zlxqmsWN86PyLLGJ79zefB2HAkKQgB1caqoLwcwXA2cN0CvPOe6yPb97JVynbsdNSfF
VGOfNefOfQbJScFEXaXUUJLj8lf17JQPlmSa3vITjM/90PL4q+roflnMN7tgav0DJiO9BygYvibh
qFz0P6xiHl2pHaEvT3XzS4eNqzkRIbMMQr2jYe0g5k/iYDh98u7qnhWvXyID3liK4mEGbbPgNbN6
pEow/I+67jGMBp6cgJ5RatSvK9S0gNiIIsbuT55+7uQSD+ngjL0lDH/nJGbaYyJsAswZbZBXXLCT
CNY6pYkKvCqT2H7Iy6beB0NiV9u2zsN0g7Gs3zuJ35117oj7Dr7dU5pol4ddxHc1Cg12we/z+Rok
rZ09ANpjC+BDc2MrYF8tSipvWP1j9cw0PkcIbV7xRmV9eqMUCBHAWBAkqE5VGzrjPGPXdHZ7igPG
rbU5cuNv2Hls/aKUb36Y0PFC4wm1p2VHf9Gm6jt/IL0vsp1Eijx69kgJWdlE3c4sTeBow2zgSy+H
NnxwyGkxLEWJ/2oOcf2SUIj8IXvPuVFDj9RJItYjzEMLgFN6Lx1DbbYu7cHBgWo57wpTrnkXOiET
FG5Y0lH+mHV3NcP/tElZzpya3sGdNGd9kOzspupe3TLSH1ESImdnavIysjgjmRKRzp19YP6a3EUv
5jsHZk+YPID7Ed3UVTiQmwXmMAAg9SmIAYFfcTxwMQJu49TWS3CnGi7TPDrWRlSiwezpYfDHme3x
No/MdkJSMP0U0hsX7HvpGPF7alQGxgA/yn5MdWftEj/8X+ydyY7kSNadX0XQngWjcTIutPF5Co95
3BCRGRkcjPNMPr0+VucvVBeklhoQBEEQGuhNt6dnujvJa+ee8x3rknOFzysPeNNP6n2LK7ECh4WP
mF8in7bclQws+2dNzS7IfM+1z+PsxvU1ZLT8MGZQnAmInbUpCp8DYBI+84tafEY+v8q8ntkIOGJ6
192UXqtQAbWoBf6oFa01cu+Ybe6TBet/JrU97unCWuBvU7bNoxGMepdg/T1nrdm7lzB150duNk7G
oU4Fnyox1JVe+Zw38Kr61ISlfqOuDFQw3hhijSjzBo6rEc4avrbvboiIjqqExAST8iLqc31fBGSH
r9aqfGa8KsYYgXFTqxd7NJKlQorY1a4D3OftiYlzmQ02jph1m8+IZzVHtoMXFM6Tgj1PdpuBekX+
Wm/spmkhVCRFdAZn+RG2ZnaAGUSQQJbdZzp2JcSvfulA42TpjA5Bd25nGYnOilTkwBiNIOenksqB
GRIUjUTEVQkD3vnaQGfv56k/EqRzOKxW81ubet1SazeorclWJj/UQWvH2A6z0eH/G8QvBKxmAVBF
pTufx/1RjxInE2XLJbcjkCNfpBm9W4J/1gfnkexOTktLUDV2L2k4qhgffYs80Ur2GSvLGfIPIFLj
gdr6Ef18KOMvTn+ENOO6UFs8nj6xWEyf3lNodP03i0KZbZwsqz6c2vZqJO+mjlgnhd0aJz5u43gk
IUdk1Mu25PdTwsX9pKotstpdV/cUukFaCfuNajmIrjBjuq+N69o8uDm8i1kItFIf+7ofDI/a98az
NKQ8IL4AC866CMlf9dB4lXMKdNu9N1OzFOxlhRGtbJsOVtopORAiHHr5xelrC3AVSd0UUIDlVq9F
uKxHwoJwboLlqoid4ExepKMEqLG/RixCxzDy1ZqEN0bHvpw29hR/aHb0q6Dyfjlj/IMtCFVYcQp4
OggzYKwN2WNc9KP92uqYctui5E6M5tMAcIQbNVhHxDdNfMCmHv042EEE5tIoiI5Yhuv01N9OVoUD
P+3g29WqZkkcqa+iqIj0SbM1X6JSGfOqZDPrHAaNVfc68/P5ClwXu9zQL82MUUqLpYgA/LMtm3bY
s5ODDhNjK0Eo8FtJ+zMOIE73XBDNhhNgcixaCsuiJPEeNIn8HajaFEnP1z8zFctvhe7ynipCyOOM
Fc+oLIq1Ztem9E8kxJxt9gNXzy0omvCHnBLqPJ3h7cFUcS9TUhjGsx3FoH6DoY+LNXUSaKCyikm3
ViqP5TbjB4PCWpLC2MKpQqRinzQey9iwrpXZz/E6HTlLbguzs95Iaejk6M9W80tVJHgyN4VsQMA/
PWZZA8aYO0JP1/ko1O0MHGFazXnt3wxwxS6ildO0xssZ/UA1tU4QoAzKhOE9/Shl6zKo+MX0AY6y
TTaT3RKm7gxFG30XUh6wz12T8zl8F+ZQhOuZMhUHRjsUkeTGhFYISVpbHkCoEaBRVkOHkPib2ZHI
5oUhasb36ZvyZ1NN9VtXtNEJODMhrBynf7zioTRew9rHdgBvXeBRMx0ivI1lJredR+XvynKddlO6
RjRvTN3WLqRlms7RixSd8NzsdsNQL0+/2atSHquC95OU8N04KZfpGno0TWIOAJnBn4sXbHYcqR0V
F0dleN5bMlRdcqBauLrvkzIsNiqUNWiFmD/yEhfeFN9CpQ9vxqSBOWxR8fjpuH51L0s2tUFTI1AF
0oU8ChYWwmnWSX4n/ZKq0EQExK5vkg0MrGDTt1FMloHB9N4JwdPBl5QNKxSTZSC3cedFD0zF3DKi
qYShn+tqqyKi16+hkxS/ZJ2R+dftInuFwzIdJTBuyn3QtekngwJm0X6cwosqS+Kf7PYmjuYm3oet
zmKPnT78+3HFDXpqNwRZ2xcd2DgKA57Rtx2G+XPe9f2WS6D+lXWO+YBmEzUbs/TT+4jd/DMbZv9F
9qOzl8hqvzp4tc+ToYYze0rjfRIBjc1ATOb7oUg6BFqTccGuWvyJmWqAYlArO7FMFeoo8nB6BXiW
ziT5zPQVEwpGYJs+yoybgEj0vmhRgBmacU6wfm9LGEGAzYj/G1CE0WBpzTjAM2QV5fVmhekxso7Q
YF0Yi0KznMCViMEPxaea9oEFk/DEGV2fnc6eqmNnL2TTmHSJgRic+t993mc/GzYLWNdRNuW24SyF
3DJFaHjRMNaUOGG1Ndb8eiP7FMP07blnJSUU8HkYIHpQtQlJuqBOgFSuTFWBuSF1Esozk5lUEUSV
kkAjOxCFfjaY6sEpmEv2uBtkiQV0NB0P9Fn36eTjqpkAhO+GFhxFO1LOGkobPXYkFX0EESQX5oeh
skvktiVQJ8vuretMXpztduGplVDOk+B5A0svmIJ7jZKaosyZM9k2PfuhvKRsXwI2rANycaYAOVOI
IVxIxVnfc1IBpFJP8SpfQmY30Yw5+LYs4s7eSLPM7GubWHlwcsymj27hmXXurRsHwXBImrjdjFhM
71tPV8aFLVRSUtQuJIEuJDFr14yUPx4dnErJWxyWdXZw6mCasLKoqfnI5kl8+nFC7WYJCCj40G6Y
B9hZQtNjSGottLuGaD+Njn3TMGbWYxWvzYVBRkprgkVquT3pv7qFML2uglJSnuBM/oXHdzUctDLh
vk8ZQquEtnEoiKntWxJfDmMgmkyUt1l2BBeZiF1Ul0hsoLbIQRe2N3jrOTOLdgs6jqy7EfXGpg2R
jKcMxPIJc8jY7cqEkNqaNhcvOLEFmyq5ilEvJ/ihbqa3hkEw5H3UjNtlRRDvhjWl9NYGPS1491lB
qvKUi3zyD4HyI/bnTuZFLzyk3OZojy31FJ0Yhks/UMlCJDNu+uw5cic7+WFyDRf3IT2hm9wtWUOz
IoLSJhq3J2Xj++8Jwx2lGxMrjE3DP4dNMJQn7Oyh8nq4FvacbvF14USeDa/debJGAZtVbZzjTL/7
tIUxkZtleBfpkmeiHZQYmkYf+4KYkdPCh6SvRLdBSG348fgkB1dokMmerV8ZbQBAVWfZZjymcows
33TPG/Jo4hkxNkgMuKDbNJp+TiGs7GMzmKSdtOgbxMy+e+zMyl2Td7B4/jtU9/ZWxXIAMOlDF5IA
3BDJ0udw5IplagnA+gZqclwifmH/o/EUKztT0A/OU4hI8IqW1iE9xA12DTgyU/jSkObi+1AzJJQ0
Ds3bybVSeeOLHBGPVxNXsdmvGhsIoFBvi6X1ct3WYtyPYe59Vdz64+1Yyea5MW1OTDop68/McPMj
READl7MXXOiDZTdPnajprtLQgUlHFM+6xfJpPVRxYVPbnWSsTiYx/7BMPg53cOszv8v2iU/eP0Ba
F7ye+FaxHebmWIp8/GSvHL4gZLevUxXCODcTU556WJPHLvcpYKBBIn0HH+bBFawzJSDmm4TAht6B
SptXiZFe/a6ruC9ZKlvaNqPxpQq1f1ZwPMCbaVayq1wFAyRqDvsbWsyBUrP0Ze05x4noN0OnAu7Y
le9u/88aV/8vFC4tirQwb/6P3dFPn1mc/qfr51f3V+Xy98t+m1HFHxYqI6g131G4nJeeuX9Il1ij
pYlp2nXRIP/ZG21af9BphF9Z4LAiKeMgOP6WLtUfwnMkr7JtD8Aa+ad/R7r8e+WVByYWczTGW95N
ir9bo+vKUh2BgXrLbf3ODDIERaP6yGzyZDUTpNHqk83d/9A1uBv/8kn998ogrb/jBZQQwNZ8xGFl
IdS6S+HSX3ywCEs0qXCZbc0l5BG0LrmiNpr+dG6s2s5r0SwSeeGWGe1ZoceXlovhJ7facOuXI/a0
qMWevXCoxivF3Djn5tE5c8InAomNAKMS135cN/6NFTdq09XQVKjOmcPpEIhyE9Sld8/Y7eibkgPD
unLdJyCc/toLJX+gNxcEunnk39rAsZfNLylLbqw0/7J4Kpx23qWuRQzXYVl19YjKPJmiYnYpM2te
cmTyIlVjPHmzTfKdfeztYEG4A9pg34R6kczg1j8ncWVvKy9IV2Yyznh33W7PLcU5+2gEe4fgKYg9
VPH1WBs4nZawtz7YVMRePPKyDRuNuBvITTiFdWZjU5V7G1vaPoyZYWsD5YZI3qQ+VGAnFjJpKR+Q
bkJsGiyvuYMbfGqNNR2mPmkuWFQMTmc0ndzTHNj/yoJJvKOkNJyKHCOf1rhkeakvh+FtSSdBZiM0
9phbzWtXGc62J1668mV7Vrl99gk9Hag4obePPMc+qYwPtxP+jejs0cURxpIq7ZpOkqVJuvhMhnyE
nJWN47VDHOLL0voM2jbbp7iB9phgVLdOKlVcchYHxygdUTCg6T/RX5CQOx9CepY5fTYNCvXc8XU3
phafae6KrZvjNYEClI17bfi3lEkOF9T1cKdx4rA1ZmiVEOXZdfL89oxGsSwiLw0Ww3c2Y9uZlwmH
RYkAm3nrOoHkuyuNlK8ftPzO70r7GEIGIHsm/V1vSyTotmte3dBUr5ALxU0J4hZfg3NWZmWtmuV3
js8Sp6Pw7Rtrqv2n3i1icmFdu8EO3Wwt+qYRKPwSHa6KqD1AM33yJDUXK8ep9aMKG5ZZveM6ZkGk
32iiDUgjsn4Nc9ZHojrL3JUuqQw+YpHTXNL0MVcLXnG9s+c5QzQZpN3vsjgmlkgR6o/cDtoHYS1m
OC9poc0AyHocrMD7NXOieiR04z8vona1mqLO+EhiOV5iGhOeLE18g5DyWHlXO9I+QhluiJpjuBMM
O9Mwqj0Fywm8bBGHIQ+oKiSijm/8RzmNMYG3RMpLUpu1+aFUg0fBcyYi4qZa+HJu8qMZ6/RuyBIN
pKBLn5pYOoe8qI4NZg/OEcP3vEzb2EaGHR081jeiTfkVj4TEptCJbypNCd1ct7QcBCUae1hZ/dX1
o/IsnJhHajea7bM7SP9nEljB0cBosDFoNFvnxGmjddgQtdICvuMGZ0RzA38uAtuf169WkFbbtBvM
qyhm5zPAkrWjUiz+lq4JnTof8ofc6NVjAdjwk7pYl8Dt3O2DKOAjHFXzzDmu2Kd9Iy7tGGZvUeJU
LzDMrGfCLPYxatC9Sx7hwYbmNc1Cp9PDvoQZQnIrT+nRBNJk1j/R8PLwHFk1DpAMf6r9LAscf1uH
V77Vc7APOAp9B4FFtN6eMCduzQhn10EOxkz8FrTkFlbDTk0RigM81IyGv64GlhyKimMHTg16nUzD
rzcjBrpPfmkjDDesg9yQ4GXBfI+5G084loDWw8qleq4kp72xrC7bdl7l+ReCqtlpJjnIBE66OMSx
LtUxqJT54RiOj6I298cKXsErseM6oOS2H4xNkg+xsQ0CepnOgGWDT2ZmFNKg9Ycz/IDhpUvy1jsG
nCoCpjw935tVwpETeGm/DcJ4/MyTsby2ddTIU5Qpn+qV6X0Cd47LmWKyPTQy4zHvrPIXMMb+SEQ8
2g6e7OnE6Tp4NlM/tdXGnbL8jR//HG6zuceIheDhW3sdtOyOOjbcYlUNvTvgJalawGYtrNyVPZTm
+1j21iIbaHOXRUQ3MaRU7TtWlQaruS7t18wuxVsVg5sSLOt/xh0oU8ue/Q1mvnoH+6W5pYbF/2po
HbkSWfSTveW0ApuWO5NcTOeg2E8h5zbgCLiTUZCR0ki+Wk/BNLrIEjYX/aqwQVFOSc1fINOzZs8Y
zaiN+O4I04U6yXC4NJpehbmzuV9QZkFVUkF0r0VjdDoQFq6Fo5VAB3GAjFOwsWLP3mwIzBQvPHoC
TFMIcNh7x7581nE7n3UNC5qvLF/D3W53tk4xsVA+to/RxnHIVvDSMEyB1kkjy4D6AiaXjhGGbcfm
cigN7a1NPTl3uIipy/Uzz7rFKuVeGdXrdVhR8J5NNeIF4suZerNhH2kUnxV72SRfEy+mIc2H4PFA
147pIvbNjbECpy2WC91gSGhruQ2pUf1K4KqEa3ppcd0VhBq/6+lP+U2jFOLgN/C0ctCAT9tCobEp
RAO30FJXB9ykdce7aDD9B7x14YvZOhRBSLxKQS1Yj5URuE1cvs468vz60kRhdItflMtWuob9nBZV
/7OfILFFOoaFD7FwwjkRuWJeK470K8t26huAR5eJEgAkCx7IXdXsqZIH1+rJ6Kkfk+HazyUvjrDy
X2Vh4OKJU+tqj6bbrwbPwMjftnTh2i3mQ3ijc5ZRG0RGg2Ue3RMFuVtmMgq2KN1ggP1JuBvjhlvf
arCSsM7gWthJyfvxQncHls07tcVQkNJ2sU5hUtzZCxGRBUau7oaoAH3vNqaVbTSmaMwvLjXQhVbq
jafcwEmOHxVzEIPQNwna+Qp0eUyPKiZi7UqY6avOimGooLWK8CijjACMBE9NU1BX/2LtoADjqrj9
iTurnnZZuySJ+7osDx675wsurZ62SpXGBB4yOD/cWp0c/L2ZBcMxj92SP5r+kHalsy5nuzFV52Zq
ZyxaqU1HmRc6PA/LLu5eW6eRr0Ml0q1HeQm6JqOKC8wKxDESjbLjbVIJwvil9u7tOhheQM/N2H76
WJ9CZZUWhWdMX9u6EcVzFWYNiJuh53rKJt+/q3BwXwE79Ic69+x/nBTJkSSgX131RmlaLdaj2SHN
a+WO5TEAD6j5S5P8Ij8lunK97GHiVeXo+pevZRztyIxnFk/0ZHp0iMOzRGhGpLscmIdzEGCdLp3h
Rw0uy6K4RJC7v1sv5G3YWRKD4Xth9xUAV+DM7drcxOJ+cJpLXQ3pcJtnNumZmr0JcGVUJnLLoTEF
t6EYVb6B0sK3Xk4zH1CifTLbmoHY2RERl499TW3IqQs8toNJL2V/Av2Mld40NUMH/W2nrvdSxdgj
RiZgGqRW5mTrUxlgSmJak+qJVIR89SLhojNCqziZNPGeMzMaLzM3Hc0tXXvPOAT6/DxSh4bTOx5A
y+sR38dGsU5mZC3H8oyX3/hURgXFBVMTgqonGKO2g4R5x55EYfpshctymu/Er0/RFASvJMSSl3pK
+/gyRy3wI6cdwmNa1JRE1ZXxS5g0O+nAxNcheKocp5FDOvUFUfLGalaQHweT+sq3Xd7Y5gwjm+he
e3S4mR+CJpXn2cYb4TtBewGun8ZUFi5Hd/7pBOhwSrJctcdrCesl2nhRGEAWYDyCnuJXzhOUWrax
/5PzmLmYVP5a4s0p0xdEIAnjOsrEHvPPxzEW322XxnZL5EWk7FZCigHzRwSkN8vPHqWT82D1IjSF
Jv5oqPy4/9fnwb+XHy9v7wqhbKY7mHhi+d//chrUQSMzTFvttg7I3BEQzC98+On5X7/Lnyfav/8r
fbmcOAXv4/h/O3ROzdxLihPxGYQsk7q+K0O65CxDHexoVv1a9yXcOOnn0RcwVENuIMGleAPYH76Z
4+QcJ4O6SLfM2gcde/7N8pGtXfxHV2MopzeMKOWaED62sY7nYnuHQEsu7c9/xKKA/O/kKv4/F1i3
qBv/y9e94B1/YxsXfuR/+c+YMD/rf1Ji/nzBbyFG/WEJ7n/CW3SOfzjFfsMWrT+wgeEhw/bKHdJ0
iP7+B2zR+8ORqBRguHwwBBxV/psQI+0/eIVL/kMIx/JIsv87QgzR9r9dfpKHh2Wapu04aD9ikXz+
+vuvenTm3KcnqQxMHgyhzSF4otAPJ3qz6ZOx2/dV9h7pjOWqVAoUVZZdpO10lJHyX/Y+Z9q5iQpb
vyZRFIMnmd0b08+94MjIQ/MyJKIIuHPtuiB3BrZVhFkJaGnI4ysNRu+ocRLvQ9XPr2Reiu+58NrX
aPaA6ULHa29dzxjvhFriOmR91nZFxTBmfnka614+dA0pDBs/1IlJn73aUhMTkviFVSYN69VwwV2c
S87V5ySFU7OKIUo96TiYxVHHtnEGCMU149gJ/SOR27treFbB87gE/jLOCWfXx9yBv6RNV/gsWBhX
bPdeAghYz4SeBn/XWSF/tlVweLHShDLjMJ3llx8GYMTdKCsoVhpDdsSuvs4Sc8cqabr4AhfAs9d1
waIbjn7m895WfW+UjIOsA+lU8JlKdn3m5Te0i+oeVgacczCSVNjchu3UfZtpbDwEVhqMSNHB8Fma
TmauUMx74l3GVF0xjuDNroTKyl3g2QYyd9TrewzI09EdnGKH7Zlzd14hLekBA2DZecXFchrnmJgm
NPXMFtYu8xL/IDueW6vR+sbO7FX8s5zEoD7Srg+JgYVtVfgCzu7YCr7dqPMlAGeVcbeGpHVklPS2
UytKAg6m9+gUwtsRwKy/pjYlkJpQYL7vaBD5WWoqHsy2d09GmRBrZCV/76pJPg9YTm40fH/G2kl4
xg5Rmv38SJVThnmDMr21l7jOqQOxeCCE7t/W1I9sGVXykCC4nZ1IBXoXO0+Gk8Nseo+T2TtbiTFs
TcarjyzqQSMD+Xq0hR0Nh4Io1H08G2Q3oMoJuUqc0b8Kju+3pUut6QpjDAmwWlkXp0IUEqZB2TwV
M92xaxiKVvnAR6pISGH/NfzkPg67gS2F348X+rYeMzEHHz77/pOh7aXtKHPPnjHBtJO15GMqTP9a
d3xQK8fLEcrKHpkNZUDhKdSsV5D8i8ab6XFkvlupZmYPQhMdffduI7fx1NcPi6DA6TrZYuxibVJW
H2WZBZvALbJN1fbGC57Dcc3+/IQtyNhB8S42zmSTNrcJtDv+7k+ZLqjt1yCiXZX99K4ovJo1jxdd
bKGGrzSrfhKgrK6ZWz9WdUneAbErsPQ29bsWDQF30GwPt1kVbjyHzhGTeq0VEvauiN0uuw0wwtA0
4Xmju6P/TgNbBMi0im0O+m3RAEATMOk4CnTOCfgVOo4FcdHOINH5c5tdlGe7Wy7D/hlYS35jQAlb
1SZFvqlNCc196was/0L2rhSyCQPfSGiM6qMDD4NvQbUQbMY2jH5i8xdiw91EjttCzK1/InIVRXur
48OhaDE1xl2uOOmCMmgdluRWiKVwtAaw+oPDMX89KE9/xVbe7TozMXYcBh1+Fu1I4Nqx96K3BbNr
ZR5NGkchNAmQM6GNMwIxIHj2+Gg5vfdqNZSIZCr0M/qdo4FJm5N4RUCq7Wg5TmaaoWPxqJKaoix2
XNZKxnV/zqSktNEL9F0gVbDDXhJ/U4FB7gcrO7DHuRXTbvFKbGPLGIA6ouOucqsHm2en4kAWewhx
Run4QKqi2nW4K8k5NR6eLpctmMVsTcY4BAoqqe0J6qmm7g2ARFay3ExZdT0KEEdvRtrpk5dVU7Uh
zOPtGyQHroewuYPW0LH4Lu3uRzjm6daS/mFGWjFhJFxanKpvtQybMyWzhw4M12NX9vrIwU4/THEV
3rqNmMnU6myvAJDeVfmlBLbAeWC6w9ITbwjB9s+sGZbKu4GW8WT0KiqsS+MqGhy7Z4tf0+2Al/mS
RNzh17rzzZM9pO+BT5LGM7R+qeKuuOFj1vfoFPZH65B62VSs7EoSFT0njqibLlHP4pRc8UyxQNda
20G1/rqBmHQTgXmcN0PQxVuKYs7pNNvwCntoj0Y/n2ukOAh2KV/djP1ol87Z/BjMLWTaACfpK3F1
CxWLIjVoZ9bJw4DiLuBfdHI3Sb4qHXVHs+/4kkAmxI+pHfIrW97boxvqrsUNtAszPR1YtLs/TWTk
vQv/odyqTBItzdOcUjlzXOBwVm5c4PeTSrVDjL0Dj/uyrnbsAd3dhJbwgFPbgVJhhHBfldJYhqZw
H9jLVBkE6SvD5wytVsnLbLEIX9HGIk+U9lXdmnHVPIbC+sLEhznWHPQP0rGV3s5FUj6PTLC4Ohg9
8o1f1d5lLFVyw4YCT2bDvdWJsk/CejE/Y51cExyjtxZmI3rL54DVbjb4+gPCYJysKQexDE6TeXEP
acVsj0MVz0/gaSXLXAxuJ9HU7svSJPY8JnThUMM97wFS0UYYphZgiCb85XVtuKPwGI/pJEd6ghqW
HAhn/rh1WbC/JLU3PHncaj4D7HrcdGWfeLTeLEIawcDy2ZuS9FdqkQbrwAlvwDpwEMWX+R4hKLvE
d6rFNlcuJZH+bgwNRSLOSU5z6fRvfhD+oF/xwKWlqA/0ASRKKFi9ER7yynwUpOaoqingHVTBFe9R
RYK4StaqG+iOTsoJxkDNRXLo/Ng5j3niPvY56EWDbcY+IWV25BDI0OHMuvnBjvhaTBZf1IQLWJJU
2tMlOqFV1EZCSRRZzNyRwz1WrYZ5T/BoxZuwK3mmPJMmS3eEjTCf5WZ9l3r2+KzLmQCupuQMycNd
8nDIiYVjPKnR2444/Va1kOp+aJzsWg8ULxHhTF7Nieh6X5PvrXtqSXCO6v2gm3wbMm4dRi/331wr
m26X4+xX38hxNzQQElaD606PtR1XcOgB8ZeyOdAOHlFW0007TEYVectmPo9m4X57RHvXZeBQ40oh
V2bwuM9lZf6YctZueHagLRG9a3AETL0Rn9MsYIWPDWBEnhbDcqKnnnRkCX+dKAvcNXDofmQ9Ut3A
RuYcBka7H7IhvkOSLXcmyLGd15p6NydeCVjFXxj9OFbNwKawrBm/UEyau7gk4ais9mCKstlMJhs0
RQHCyiMLfYEiQSCgGy4MnfEm8XP7Nu1leghKbuuAKm168fReePFlaqMfvj19lZR3e2HY7DCJclin
A9J7KMoSyacqBY3PlXHmnph1ONiS6CnD0JRS2zjmSLxDR4Oe41fzecm/76ypNR6UmCzxjnFMeSfK
GHAbu9Qd7ji0298MWUW3d2gFe+EhVe3HoTV/eQ7sixN91Mx+tdL+V49fwNzNJNo+GhTORz91vI09
d/ONaAx6XRLngWFyOiV+ghNPNPqC8cFnmlsiGSpLYhzooQkqbqgd6wkoaXjImhZmXOoHm6FNcAuX
7pU7Qrt1kLIubij7epVBAHkrecVFZnQzsRBE0albNVGPgLr7njJZPxa1rC9cr07H7NVOu7qa+nuW
y9josGyrG2yzqJOlC0d+GzDhYtuAv7UZzTx9nE1XVnBYSxqhdZRdrEbPYm3CAblaBROK1pUMVwyr
nNQjkjV3Wra4R5qsAR4IEjSe17qqQ8IwMxmBlaYK7FXoiC7jsmxBYQjbOJFsOSm7a46FTrNrD/Up
3dDUdCN717unPtG2GMCs2ENOzLMvNcXmj7Ds1I3ra++9i8zuqGjo6VYExuCeZmxDsRCTQqWfB8+p
vyFOkW/giZjVNpgH9dRgQGth62FPHBczOH19amdXzh6aHp0uOG41VRbE2IDf1HvuWp993AL5kF2x
iZQd7VNVZgTZIWzI8I7w+Tce0/AQ5AXVtEnQrHVmHEUZHWwnvs6snVY9IsUmTcL2UQw1VFr6sveB
k4LXBXGykF73xnLE8LzswAcxrwcCwwWzIX+Tk+vk34KS3U0cGiBbCDbzRbB+dnnkxKlvbPwiegWZ
kK6HKHxqWRvAVg6fjSVDzHFw2NVJe8txnq7qQd1gvKw24M0PFqWkOw4jP4zAumgnoYTIUWuyKzwb
RPgBgRkIPkczp6nlBgeAu5kH+nx1EbVHT0OizgZ8j44bzFjEqFEHBN+uNQn/TUyd7NolKUw4tN5l
qdyIdPzMeiqCuujQ+lW0of/2du48fTdYALrdSMw3XHv2HrgpNTns6VbDQJCKhIi0TkmOPyoolaYV
sXTYOrAYwizVLd1bLniqMrd2NEtqhlJKWvbYAIP7iV4wWAopaHFKfzpWmB6t9he4ngllICmfr6pT
D3uVQSTdsvuDbQAX70zZvVFMUib0SqQcWJKWdc6IxR/wv+z7e2yVGYUiYem/pFjoP1srDM4Y6Aco
kIj0DDTOWziUXbht2acla3PmgHMSlhk/uGU4ksi1rPlQjmJc8eAQr2HepI+tCMsFzm27Ym/otDl5
ntcygyqKvITXl68EAB6tiZ+iaNVT22rnzA1Gr7K4VIcxrT7nMrZIsQ3uFtQRQmbjb0tT9L/k1EWS
6VQo8hiWwg8foH1HokzfJwUheZS4WVdFHfQfXFnxOnbKmHK8LGK7NLr7EV/q1ok5wsnID0/JLMcD
8DLSAgqA8zaWdXk2Q+753IXE8BICq31HS473sL67nCB34z0jwjd06pDEo+c5sfTx/6tv/yuEPrQk
/1/S+W6/4ib6JzTf75f8FuC8P/g1kbskH8kd8E/g428BzqQHhf8swu+f/EhsSv8hwMk/HM8hqel6
C4fuT23utxPK9P6Alg0e0vZN315yof+OAOe5f7cjuRhbYRC6AnEYQ6/5NwEu7mEH2AW2npL9HI3P
2M7zVT0a4ibyWPvXXoPIxGDGRpJheYtLPbiYbp7ugnSszjpJKAYcBaf73qKSEw4W05eUlN9RGTt4
9V5iz70ZzTjyiM9BlglbsAegWkG34v2r3uYYbCo4uPSITTk6ZBQhUGDYt9t+uYVV1IjexphA2xXO
wd5nZ2ezsci0ZBFWQDkZVpL8Yn6UKrXP8RhThdeVdrMNyJLcDFSAM8YCu+MI44/GL9atNSMAG8wf
7EnUWgju00zI8anogD4sy+ICJ7BFtIVDOSsskhlYD0oP4HzNkZeWPov0A+UMyQuGkfdhFvFNXMdP
AXB5oN9ZT++JW38S8ADVLavoARiLu/R4pTciTiShUqPZMlyxKJkAPfWTsSxpxbE16nRH5+a89fno
tlzrEWZbspwij4aHOpfc8H11o6j/PEvarPBo6C8ZYpUB+BA/kKpJIEBhKiPDNX2MVKdccOoCVEJ9
oHQpdv8re2eyJLdybdlfkdUcMvQODGpQEUBEZGZk35ITGIPMRN86+q+v5XFVT2RKRj7V+E1k1OW9
0QFwP37O3mvnIx1EiKSXeZ3CopK6heVAktHADLhwvCsNbQ6WTEuDeF0UBhr1Zp4ol8pEeM+043Qq
UAkEgTgF/0IZQaQCDLW3uTUvHUWVKb/VIpnaCwJbhyso1Rik9HqKbmuPFCaiFMm4QrDCEnaFTqBA
lYV8wt5ogm2MLN3Yv5NjrGzsPaerXUXb7pLBMWinpqDc0SOvTYN4QLqzc21pMZ7guBb70iSnUsu+
auNg7iIJmr7KyBbjK43FQxv73jO9Vyd0em8+5rIcb3uwwFxK/6y2JwaHhMGpGx890P60HlLLfB2c
yX2hgOmmbTN1xj1OLSTjJgEMAfLv+jAAszmUDHeBxQ3j8trrZnxqnTS7lzChQ2gcNE4oMTE2THyl
cTcUSGGdpcBjUlE2PSRi8OCM5PrBzWMF2ioJ/YhyRHptI+rrwiz6XTw+cpxAGjCNO6ElL/WE+JVR
8ngz9PzGtJqzLzQbhjunRtnv2AwBva667SFqwYw2MEDO630Oof4aBRo/mcZpirDh9ppS2UJc5jg9
T/UyJ3u80qo2xcbNSZLildgLkl1WWFazE9iaPr0jff6Cj7Q7crisridsZRdsomSdZ5hXkEiWNgCQ
ub6sVkm30DON6DaTUoPjAdL9igyaLtqZk0FN2empuK/SQr4YOWXhdk4K8IE+LRwmt6SnGV2DjkTg
+r1yGmrKi8kz5XABzNxNQ320vOWrDbbNepREaQPBr+of6LdrhGX0pNyGpty4+N3GaIfUeNXgT88X
Saa8vrAfMbLBfM/17xatOTIJ6zYnWpsWNJdCdb2nQeDOSIE7WltYj8szODKiboa+fDXMmVOdQpfj
cUG3t12ZPGS7lBLGIC/cIk9QOEPximoRopXfac5Wt92XofWno2H1khGZXj0XnUPRF5swI/C4zfoP
ITJ6VXNUXHcmMwWASNFu7BUIvAI3dlszdjuRQWB8KYjb3Yqudw4zTxErLNGmHkKWpyk1DblF1u6g
MSiYTPyIx76+X203emcUADgeX/OPbppBPpg6L2ygnorDwkKbiSScXvtTqjEzIg5ZeqjzktqbH0gv
F2MopKTpKFr+1Ys4s4ygrxj6hykJbu4hMuc8CsphKmFVl6IxL8pBKZ9U1PKwIexlfcrQ1ZQbK8GX
RffFJZhGenbn7pmnxuPWk35+PTu1xvYSc8A2EjrJKylvG7NR+h5fYQB93PlU17eFLIsj7jpksvY8
zxuNqFV6g9yA5SSby8HN8JPCSJr2C+BuRKbd9OzQvkM36yMIWm2z+TowBSFXiRNUAfhqbgCAkRd/
BfbFW3etoPdACGYjlPUONsqWKnv5ruP6g6GTL/6JI66BvIXoqGrTiGSlc9MSHrvHzm2ZoV4uGNXs
1AFezlipeJDMrjDKAUBNriI4h9h7yIDBqM4Cn96KWu+uphKgzUW2oqKcGtOergubsA7LcXkKpFZe
1UuRHqYIysNGy2YggzXLpD4l/QPUpH4ni07/1vbrgz0Kz9pEUPAe9Tm3kfppUtODnk4SuZ7VKHAy
Il351sWLjk6hmd1XevuDv7XRhsSHvF/HJBxal8Yf+FX8TXqd9Vt9mQgKJSPp2TH66bH3Y6SENdKw
R0Td/hWcLSj4mmk/GLK1XzXpl1cs2PalxB0JjwViHmeK69Uv0ABjSZ0gQ8IA8KG89TywSOsKUOtF
TVNzsJTJylyl69ykSSkVpcqHV9u2JXoX2aEx2BPya31QOC24VjASLfcWzZhnJ7FG9epQenPgovE+
tWrrOZsz1juh4zW6bGu/78KubPtbTQwFrarR9F+bwmcuQnA6zB0AMNbB0QwVJatF2APdhHqNsrzL
yeohBtdiIpBl5a2csR2G3iiLLwDN9Nsu43C/KS24WNtuXCpqCH9uAhh4w5eWk/PtYNKwqmlvWVvQ
FPJRktb7jUmoQ5rtIEUaAolgodFpvEJ0NNt2a3LKueVbE/GTaDptukafZrqOg3yXBHtZQRlPsQew
Cxz5oV56xHrdYAkipukuyG2iJyzY7mpopP5gX7kWsw4+g7RrVwFQjeYHvHIyioSKK5JJS66XPbXf
EasXB5TH4vtAgGkKEk+lHfWmSj5iZ1rBkCEwJDlNj784KiQJkM34qqUFqlJ9kdn1aNTP3kTK+qaA
NGaEHKicq1IFL2XnDKaENCbdpglGZEn3tqqopu6c2jRCI7uZ8wbFdqIDnokIDGZNUVlPhQtFf1dh
Pb3LzmlQWqSSoYpzSlQGoONLOuRkR6Fmow8U00h8W5KSgUNO7ycONc+OryApx88DisD3AS8WjzTc
SkypgxKApefcKvSnbYAqDr8wAT0kW7XSdnFyWq4fRCr6ahyG6GVUcVitCsbqSDvewCZrSPcmNmsl
P4uCFJ1sTqJWR/rZzlYxW945cStX4VuWB38ZGqsd6udsLmT08nVKfdCRGGa27PusJ6QZmEpBFR36
GE5WPcbTUwvLZ1vg3w8sFQbmt25RbKF/tKcYe0y6XZPE+j6XnPoj1Cl5vX5JyBYb04gjuqvHBxmZ
wI69BYXWxlaBZD422HofRSqnLE+TdU/6F8Y8DXPQG/rCWX9N2pp8M+zJzp01ovtZU9AZoXXOQovx
M9Im8AeE0INf5afmnJy2qhC1ya5R/rnnbDW39ptDx3axRepMXEdaNA9ki0wvkQpmc84ZbRLUFFK8
6mpkGER63jnNTZPnZLdzylulAt882rwgNghd2tOGK09CRcOZaW47QTnm2nt3zo7zTJfXVoFyrEA6
kyzdaqBzq8g5vSF8ztaNWFNTGv8uV+F0yIDIqcMdgLcduW771T0n2ckmq4yAAm354qmoO3JoeTrE
OQGPB4/CMFXBeL47yCfHGK3jYFvmXTkToOeds/SsZsAJjJRtYZ9FpguAjeA95IDzgbuHND6ksMMP
GyNselDBpFf4ecEg64i2KwCRE4l+9ERJ98sk8Fp0HMmhOKf/aVLEeKiJBFy4VZR1QCUF9iTQ91tK
NuOb78nh0lChgpNJXAdoKlWCnVMHGeYw5yl0K0IlB+GP5C8iCpeITJ5Ne04uXM8phokKNGSRyL5l
0ySuC0/PrGBR0Yf8ZqQgMkKCI9AbSR6QVU5OIsl1L8yHGP8Nmb1NU+IUx8YyLg0VseipsMXEAXTL
qgq4XKgsRgRD5DIamB3QljPYeYbgDdnPB0W46fA5nObByY5dg2lmI855j6PsjJOlQiBnPYm3qZbD
ylw4NzKMb8LanK9wYoKHU0GSvpUUt1a2Vne1cDNzy0CDFG5Jd2TT1EDHOuI7HRbJb36hE6fmMXKH
w7qeaOeQYdl4C3GWPqAaDOAVTO8ifhxKI38zSSZ8TKeY8x8j8vZmbJpo2ptGhWcT81Kfb3mwMHL3
ulNtexWtafJYhHOJNxJ2yWHyKAqq6nEBf6f6tSuiCjIjtjX60TEYhC+uGCaR44m9v3iRCQld80px
EXS41RM0ecR/YrShWIQjgpqAcNCqs1a0HCoyNO794c5VMaIFF+DJd0aaWxEhozHJj2CiVfTomCtj
5sSGu0CqeEL8fulyQSOOX19Exmo7+3b8SIDh80/qo39jcVJasp+1Zq7vkpvqIB/SdV+47ifQv2fx
wyKIXPd5Z2T3zbT2eCRcA7awIS7TlV6gUc1J8Ps3VaGsv74pczFlOCM+Q5iGClT4WUdkpka9RiKf
93RmiyNVRn8XR1MdWIDXUFSiX+RI5uLYnNr3378zMql/eWfaJoZuCRsSlv2JgtU4zsTkFMlAC6qS
UkfYIwNBV7vqGICROAe5/sf/tOL+O604GmHo1ZR28TfexC5tiJn9WQ73z//sr46cbyJ8U4aUv/px
lkDd9ldHzjf+bmAJNIly4e95GrnL/l9Hzv674+CL5N72aOXhH/ynJM78u4+G1KYv5CFnQ8z5n3Tk
7M8dOQy+lmtjcbRR5sFl0FXH7idJaFPlWORsYzjYkb0QVauyhibvUI4sV4Y/v3muT8uaw/PWkTne
obp/n03zNUN0XopCf8BkArWlnX70SyrQuDH/7Gd3CDTNwAeA5O0xb3R5JUbUFrWHbQWcJ9tDm927
uBCCidbaoZKat4nj5kY0uYmPfcEAVDtvbPCwyoflobb197Ip7oylAnROhUtoRYYjO9d+2LF1Q7uA
2XqNqTKpWww17kg/m+ePgwDJfBtgLl9TWRwgFx+JjqKVB2RZQAeJ72JMxAF2J7jx7RJvDCtDdeEJ
66rP7PWy0RoaW5jW4QULu1Qo6+Ul8uMnPc2/TUn3luuEXAA+XdZrWktOyNkpCnpywLYIKYZNZtrD
Q7lg9u5y+9i4xnxhQl3crdFSBzEAWPYUI+39jaA5gi7ZMVC6Df6NQhyERmehfXdtfes3CXx2mLEL
A+dtpbXVtcByvdVwdUOQY3jk2p24xITTsJy3hJxMpDCyHDaX6GrcU+8uXzss6SAMIHE3EwQ60y/4
E8i20+D62nXk0hT0p8bdpP2UBbAZ7OuVmpfVv37POJTtNb8Vt52O6WSKia8C0WRuYD95gC6FHeYJ
4osJxcNlW87mAyqtH+xfKT0kQiomBDNvVr28AWJBQZQzPpc+g1pS2EldzweKfg7sK4g4dMHFR4og
5iBq/6vfF3ng4uBA2VMsCWhpQZu21AnccLkBKNoOetMlV6konlJspQLd46Wn47gs4zl9klEng1yY
eYhKIqYzFRcPUw/116Cm2644jMIpTRBuNfazsLIIJ4JGekjWvnK/+u+zXvUh3cwSISNWu7KnGz02
8omT21OyoKCoCYrG9fKSrXYejDpGUlkR8zdr9peimvVD1ssHw2nmMO8ZpFCNMNEG7fJCECQuSNd7
oHv0tBKDUVmQCR2e9+2YMFeHXUDAgw+NeD/PMo6uM8tsO7DnPdT9KMXOFy9dc2djXAgNR9NIDcmL
W3qTRVjb8XRRpkazc7kHUU7K8RIBQHqI1d5cJMkTg2kJp5xhvp5FHOaKzrqisZU9yMz29jhXlw1n
sRcjlvNj6Zfx5eR6+sHoUY32tvuMl9jc5+lYvhQZ6lAu1RhOBM7h+MgQ3viDFn3p6kadEsz2mPYy
vlyXCW1HNApmvQbIwWCIuncGsVVAewJx37z6N25pz/dw8vygmW2CHKeBml660Es861ZHqh5AYIDW
70/p/WQQG7c03nCrZysqADSv3yl1D5ii0GpOoj5QUtLXa1bjHvITNDGNdvySzOTz6D7JEzISW2jB
uDn7CSm623jpwUwc9FpkYKOU0QjD9CdteF2k7z4P8SAOhJDjVVBpvxpYReSterZnSpAw122XqxY4
3LOPCuKI4ghVA51w86HgaHyDvg0SkF9kr25lvsLA63e1qyLn4uoAyPqu6UfzfWyM8SGd3AmbnyTb
m/MQiOiZDAhOOQqj3pxSKtz30ZLlrWDPv0RBPB2Ya0C/UmNTTQClNghv8+yiudE67yrSSjOANtRz
ZAW6UeowLnFbUZWC4gPeC4TcyoJStdWaMRFXgGWyu2mNmmNk9NltwkF3Cz/vCAVu3JeY214rprJA
qsrupm+XAWUqbEjanrSdGKFux2zNnkefj1FMy/oQJev97NBhNZHUBPUypRdNNtyzD2kXAwECO0d3
4lNXl1A2Cu0pnskLWC3QLrVZ9bfYmQjn9sgaJoyBVGUzBZWZ5PTX7freAQ9P49weNp1Btq0jhLmx
yJcOltVYADI7vgEsXRuCHrc242uv3OvIAY6z1oO5RdNBAjg281FYrMKp824YCUottzAAifn3JSjC
1PQWMGVIWG2fYpy2Btz6MQMziNw1HAdIeyWx00FdRS+6XbMrqs8AhtQK43Tyt3Xvm6/eyNNcOKYL
s2r1r/M8MbMtcmYbTauFLVdjtkBHu5q6J7PxPhw6G/BmWH2NgwcPM/RM75YGtL+ZYZXi0/SYypgT
WMPRyzWgYBl9OaO5pvGUvZCT7Iat6UBJXJMXOKR7wCGIHdgTqq2r+V9WrFO71m9+1DM3lCuLp7HF
/ZfNyxRUhX6zjisM8pYMocbNniXGvYtB0/wtYpIBItcSQeuPTYYuLD29X/2ozPWEePrrKODD4yGx
krDgdE0Tl2YKMuT0co7iuzRpcdfpMe0gy7xPDQg6SzRyIMFDhgyF2TFhpmhcM2Ed5Jh3eMxjQo5k
jJe57/Gdz/U3XWMVgg9DgyQK3d5B5mQe4LX8wF7mbKPeqLap5fxPufv+3yl3yQnEF/Hb2fP/qX58
K79VfyOt8G836ff69K3724UkLe6H/LkC/q9X+kcBbP3ddzibuQbWEGXhwHT0jwLY/DvBFpYrbHwf
woHX818FMHAO/glgYRActtBN45+eEMIOHZr4PtFu2Eb4N4z/pAA2Pp0fmZMbnOV0XCHQORzvXB//
VP9KCSexTudun0w4/DKnPFUoUkKLrvomAV+xq9fiA7VIg4QmP9WGZAqDERQvIr7PtEbK4lUyiGa4
ndGUvoz1Mm5/OlL8mxPuZ9OY+ojM8nXf4awJTtn/VKJbY+TozDm6vVdigMBUjrWWniq7mn8c2/ab
bc03rhwCGTMnzV2kH/9fH4BTgslPRUbXJz+XmRuNB1eIAOCYD4BXGdwsU9WNlUZUpg29sCgi6tnv
L4cEhwTFofzDR+By/3zsPf8EpFvCnyZdg9zAT6d8aSNKKcqi3XcD2n/fEE8kh92kiKR//1Vt9UI/
nez/8UYub6OO1wSc/HocwvYtOTrU7b6qmZGCwFISyOatbiEBAflPt4sb1WBMpLUZJ9Z7EenVUZvN
e6cy8EzTz2Yoa0XfZMaK3M2m/mCR/kCjl3rOJ28ABlG97LuSOkdr7Jn+oS1Cx20a+uvIEARx6Lto
MO8AaRXcf/yQS+t+kZG80DuAG8hEo8u44rikmc2yl86aXC/R8zqxtSDPfqoNz9kBcZ5vsLl+GNZK
+TsWp0oDOsBM+Gb1/PcxKR+sVbz+/pf71BLhh+ORUOdRDKxKf6Ku4E/PkVgrDhspbBTOXF6YzsuX
jPYdYzgCIUxTsSeZSYl29P/y6f1i0/tbNZR3dVr18n//r89mQ97YRiJBLShUICXLyK9vXDa+aKTv
ZXtPJrC6ehXn4a39waScDWKLGJpUrOMWrSSjAkrnXUVXeCu8igtazGZYJDE6c+mzk/NMAdHJA/LN
PRCB07IvsqjfepzhUbGCNQh//5spZ92nu40DOURzenf0sQT2tl9+NH3wbexbSbGH/ogpRDsHGefN
1hr9B1h7dZgLQCF91Jc3zexdALG6mPL4ciiwUkWle/HXAmTPu9o5usKlIyoHgnmIlQjEwrdB551u
Z2v9/vvP/a/X2sbGBw+ebjBZnkqx9PO1xnut4a7mY08aWj7bZlHwQA7/9UN3CGy37YBwX7ML80/P
57/5wbC2Y2KFu6L/i7N0MLGaM/Qu9tEoG2YmBPP4nDP+0N5jR/qXy2IBf/Q8nS/HgvPr96sK8EJa
WxT7ZBHVXjBCIvQiOf3hRzz36n5dazi/Y7I2TWGgyTI/XX3KaSGSbIQFYRYfoPE6THQSnFIM7Wcj
bB5yX5vYW0aVHmSs+SVqqQ8D0+I9wRWhU5HKERHzsjXskYlyTxcjWWP9UEhu8jybTCQQWoo1wnvS
XG3Z6a64MdHPXDA394J8HrLNaBQAzqypD1NQhEq+v9dn1jfHICtVRdSEsA0zhrWOASuej5bBfePx
4L+3W6LSllWbmafyp3aetUMWx/WmwZm/qwatIg6vsXcmiFOQskyGkXHAFslO5ZqenMy6B/oYXUZN
5uPYyD46RLgHRFjAK/zqoM2+rsat/q7A5tPFkbcZatbc1hIMsUZYEjiDrE0VS1rwTQHJm3vQzuPn
dm3W3Vj4Twk3B6irnM9tIQMhbWdKRjPEZPlGV93fTmr1XhZmZGhPiPbh4BTMM76a3ObNCvpL3wyS
hTadKeg5TelJQkUOAPab5IzSPaFr9LXqqOup5c2HsebEwPiQjXh1tVAU2YeR8KXPBmjMX/MGJdpD
Z+bvbs7uOVnFMZ6mkXkHC/c0NCQLsoEE4KlgdXTam1BaejvqOL8llhc4TOy2gy2THWtZtYfhebJg
5quZVbrVJDtwsfQYSOzy6BTNY2b4T60Cs7dD1wd55CV7ih+LjQX+dGFxaSrZPRAXSxemGW4pMPaR
qE4dppILVFpKKEUGmD9zNWlfAVZqM5dmgbtr2+Kj8um2QRmAhjJerWX+AUKZXgWEZRKv+KJyKp3N
ZF1HFnegV41egPn3Jo9IUzMQSXEComFiDq0eRA33OfMGjC419RXj1Ga7jPmHFmvcsVzZRcQf4Jf4
K711XsYc1VAVe4Qe2iXA4Sj+wFLKTYBoTFEJPLTdNaFSoLSAJEEGXssTUVHFLUYofeuOmvdIlwQz
Q3JCWFAf8Fd2REsKsmwZs3aUp0c3G6it1IWhMriRbteHRDLw/9S9u8CogXXA2EhGBBU0SXryImpG
J7buLa/w9/1SnDx9xOnLHW70PBrnG7db+dwRGatihjSCemC/KO6CTyGTYF/46xHAdXEyDOue8xdY
KqWksO1mva7IvNgMRBnjnOH16rKxEOlyB1m4jvEU8bgwDtTRQI7JcdI1so0mGm/0MJFQ9Onp/MH5
uFQxQ7XusIEue3K8GR8hDHgFn48wi74I3oqZR00kzXXt+20InsLcClC64dqKC8M9o7LgutCszDg5
jkcgJfE2y2ERzaSmEaxRfCAFYcESRBWufA9uXc5t6gKXunNvFu1bDY2bfk/20bp8alC4p/NygVj8
o5+po72RlaDKYt5AuhLwJTtI4y4ZR/0eyQ1OCSIM+QuO+qQlsTVsRofzsmNmx6L28gBvrhewUOWh
uzZvDpG/593J17mLdUaAO8ewo0uiUT+A8UZ3ZlbvSook1IqrHXayanZk6wWspz8q5TO2TO5c9Pyw
22T6LCUgA1vjdUfW2hxPauCA+u1Eceqpr9RytlT8ELDlbs6L0uCwvCS9fMtmPls6uOBj3PXQFs49
5x04PfTWGWRnp0XD7uVZHUIEBpt/nSYSVbCQmIZiiW3HrcXN+RtibvxQj0SbOvdqKxCued83fLDz
NWhM/yYtNbrUFZiPfDp6MSZio1K3TUUKQWQ6JZzs7k0n5vnodNlH3sRF2MGdDzrgOH+tdJ7NYuIk
3lO9OKyoZAmGrCbTrfSWPpw1nt+MJxO/0Mp/5dkaHmQZXfbq6swad55Dk50gUD1wMp7DmaHr5Xkl
BhdGIebGRTAxc+UJpswCOPMkCvQghMdVLp/Em3dy5m89yQWAE9PsEKmvOzyR6Q226zzwcEMHvmRF
4B7m5dW+YuV8KIKGeFRd597oonBJGFRYRDdvclD6W3WHzSv/ZtJQprPSQHPhUk01N11H425bNNxW
6EeQU4xcGsunoFBXF03CG34nayMSVn1OQdW+jXnBduRUcF5/C7U6Rm2CEjQ3rI3m1+gqmasDskpP
mGqtTUzixMYZeIDEmh9dl09tKlVH1hh5cC6HB/xp4TB1+bUWFcuzjjbigEm+Qs9GcYXO6nS+VyDw
nmgEfVTr/BTpMMVyp2s348hPrXYbxFtsjD2PABpg5G4CZychZTp6XwbCdo+lHcHcgFy5IgZwVFIN
t0tvJjSGgWOo+twRO9QuiAHw5QdsJ+0Nq2R7Rcxif2FPBD4wfXA3s5XQU8X+sMsHsgfqGhNT1vb2
ppbTMhEpTEAmSTrxKUE61lFO2+luNIg87Alk3/sCYRO66Q+o9W9RV/W7mZPVd83P10eAAhDjKibF
cdM/Zugw95xz8L1GhvGGbp05QLmgE8AwFCSDEQU4LvRDXNBPXDkmjXWsSoNmRPLjJAIUHFF307qY
KI8i/ElEulx46gCXJ9TJ7drdWEZi7wQsp0vdj0+DVsxBJiCOjznWHfglcpfDtbpaOx4nImxPnjrm
oaLIg8RI+R9Pyh3j2ORAnnx7g7AczUKFC2WqC6xcNm1X9N/1hhm/TY3SjhzQ8GOD1kS9bnbv2UrB
1o+ElRptxSyD2LzQFPYFPpo3VGMI2AfAUKPlTtcE4gEN9Sy5RymcbdPMjnh70nOqnhdjeMdrr4xg
UsMYSFBxLgs4DnERT+/Q4FG5t3RIp5mGPweo742Ywixevg9w3zcaDVA4CsRb1B4sBY1s2i13Qwdq
qEo3LmaTTWTXps4ZLgVfn1oHLUuyrSWJPxxjm4G3e6dN+VbrWACkPuwYThBKGnNN4+Ram7qrtGb9
xdbC8GC6RG3gbby0BF3ha+8ABngGJkY05kwvOR+0bw72cO4nw7rAUH8POw0gQacTNW3lQRWzZOrZ
AJAzNbRDmxJHJOeSp1adfHBCg9BcWZbSIf0w5trfJQSqY1ZkpWHUsDxbvd2qK4wLq2AHIgw5+pgQ
cG9NwytewFLbV/aqv434dfld5FtFkjwa/bb7Hq++muxUQ7i6ot/nNUVwQrr7Dn9nd6FzhssBZoCP
P6/jtpYfEQJ8tDGLg244faiNtQ9dlab5+UTv+BR3wuIxxW4Gp1k37mlid7DFoZV1Jfct4clk1cTI
eqbpRH46gXjVeJ943DERU4WNBngEPEH8oT7n6On3Bt2HvXQNjoXs1hufMnswklPu1G/ANKiRHR0Y
xpyRUSC4QxM5X9L7xjKqC3hHIr4je/3YLAAi8bPv9NHprjAsd8+Dln/J2NPiXuxbc/Evp45FzZyy
/Dqb+DQeVRXjvJ7qWi2nwArW63xgxxu9vtlNjvdkpSi4lvJIgTHfrWLuqAKt66ajroEdd4R37nJu
RGbWmxNmgLl89M0pHM1k3fXYPyDRd+6NPWXJnc5E80uq89tXlMmhkYuLwuYOQy6GT1jzagosflN0
bvzOtvBeyLkHFq2lEzZRDSVTx+1mquZVGi8MIjETLh7rWoQ+OITIOt9ommXiNvTVIl1S8Y1jQ+0t
+5UvS41prmODA5bIwrqrD0Vs7CMdcyN8ro9KSz6Yt711HfsQQUc30BgIy1I7Ooy7VJH/T626V2Nu
k5vIhoQaUxNwuDbDzFq0kCxtj244e2aFI5nRIqeWdaZBBN03DwawBMxLOC9Mw3Qbk8IA8lvnYld9
te+Jtrpc6ExufPx4t7nbMy0hwWhb6kaoxTr0B5BSu4ITfXje5bq+ro7paFFGodcLYs83jpg7WPUh
Q5AqYq1fS7SeP7p0VtQKXsDzBwdE3wDIT+Nu8oF3fSsmyat05YdKYzmVAMKOBbve+e7nvBn25BFe
clj9oAnBtyrcB29OAZWaRO6yTcqInStrtHfVqHJsAuARLY/XDmGmmyVXe2DM/TnU5riV1FAsCnFz
D2yYLMmeOV5iaIxU9OQGsKCHchsWR6mkazn5zdqAthQF1dVirsDUWt5+KZCcZ4ihNqlm3hbQ/jYD
7PoNsAwj8BO6UtztbHEDl2is7Pvz3ovIVnInRU+/P/g7/6694HquqRvk7em6q9orP7XKyKRVaogF
b2jFoTO3aNiCanlrG5qCmQ7vFpc3vJSBq9yvMHATsxxYapoXp3312uZJ91K0aaRb7FSZMQhdC2GL
POVjfKeb88qcX2AoLbohSPACqIn/nVtquIm8ngK4j5/PjczzGUkY5o+0L5MPd+6xdvTuPeS4KgAR
ZhxNd5nJwp5LxmfEizqjKkoxaG17izWkE7nJ+dqh9tJ0469D2GBY3sMA81GLuqtKtgi/Y1UFJuRT
u5x5Ayf2oovcMOb/vEXORMBiUCBoBer+Z0EWcLekjM96S8mRwxNTdCkHOhJ4aY9MkJyXVLVS+X7s
/wOPm0EK7R9a1P+mKaZyyoVrG+Cd6ef+elUt8jGc1MyHfSaYbklzTQ4EbLELuS0ZFlqGKASZBSzE
1PpDu+rsmvvUSOL4rsDnFgsGvaRf35on2xjS3B/2XgttEHiKCDK8FmqsTJr42mBJYN4fRjrZ3fjP
7uqxHB/9xtwv1my8/f7uVu3WT5+FKwDdyMJhze39qQ88mAMG6XrC06sWAdUwIOWKElrOUOccGz4Q
q+vv31J9vU9vSX+UDAbGE7pB4f3r17eqXue4CVpJRpYXFu2CgjHmT0ZRP82yGze4XZh1Th35BvFY
Hn7/7p7qdv789sJ0sAQiClZDAxBm6nH/6XFOupGTXZcm+yRJnKOfjvYxQZATzDZqmS4nC2JCBxOm
FSFhlm0R5I46/WAYWnVjkzjxOtmlf5eNw8G1hlvpenPYur27saexDSeKNNzVs7zCml7t/QlVUwML
5VhZGcLxseQkufbVDjU8hc8ItIg+wT1+lOwiGypjV2e4wrWaLC4EWw1OstHG6lenU2CTmrNFbzxe
zECkWf3bsIshnJGRaV3SN9OoXvNbMCc2elZh7YVpcR4kJpDYTKgaUZbHt5XpmLt11MagqMgQGhL+
IjG1k6EmG8bUDvfL6Jm7sogyAIvpdB3VI2AaB/3+YBPytUnpCQRVXoKDcUyHnjvIp8At22pXNXZ6
OWTY3OlqofqacLOjzm69g48D8qgRWs5e+tj0NtSa1Aw0dmICGgjAyrXV+DpMEISxvTl/6D9bnwdR
IDFJioCzwp3NyENp9n6+2H7cdr5W+N6ObpV3gJBBp6CgQ1dJnS4CFWlmlvpt07bVPmome2utix2a
jbqAQEADryNohy7q6KLzFVmQFsn3wsws+FXwPXMfiKvDDRTi0M5QQRg0Haqu2lGw2WRG8Wt71qo9
LfVkH3318lnd3/aJ+eQIOnvT7NK1cwYrHLqyOpiZ9P7wcH/euRixGGrG4jKyUNqzT7d61DeGY7W5
B55z3XeIingc//Awf14/zm8hmOY4xC6gj/z0A1OGOUJzY4/mTNZgA2KrG7uR9k6z0njrrZbfRnP/
8KafVxDe1DKFbQiqGTi8hlLd/vQIg65xMzfpxK4ljj7koNFtm5W85jHODZozHJ80/GsXdadHZJDm
8g9LiPEJC8rzg5SXmQpqTPYuRKG/vv+CNnzMYOPtBkSR9EAyydUmZxUnDG8YOf5F4/fenuHUk17V
Odwvd3z+/TJ2njb8soypz0A5gp8cRgChkb9+Bh6bTpid5u4yN9eCcWnlgYyKDqmcjiypG1N/m5a6
/DZDGyDSTdg39cyEr+pN7xFG7Boko+i2cgLlN5QrSGIJX6RqpRP0SbMr86R7mHAGEEsm+Dp9Io5t
a7tEwEztC7SpGLFNZaT7ye/vLBE3G4KEiovff8cz3/GX74gJA6Gri3abIoHt+tfvSCaMa7e67e4G
nqrjZHXzTm9igwDTerw8fwmfELw7fYqFAkobWw55pBpgbQ4Kgz7dmkKMtLAHbi3S0g9+nJCVV2ca
z7UuQUCaHw19r4M2urTrgTyC9rDuc9DBYdOl4+W6JvJQtC5Bts7q7d1ZjHQQZKj9X+bObMduJMuy
v9I/wASNM4FCPvCOPs/ucn8hPCQ559FIGo1fX4s3MhshV6RU/VLohwQyEArdyWhm55y9117h/e7i
Qbv3hoVuarP2M2oD9hhJB31MRAHW6X3Rd/J65r/ct4Q5RWma3GvUToRxq/JWL+3z0uc2m9B47oLC
2SyOWa7ZBtOVlfnDF6P5lzL8P45e7U9idMTlTHvpMlo+RiXHdj4tGUA6cbbQE95jgwSeOxo9cEIi
1BP1UBGFhGbKgZwz4LTMPB1vrIGPCVgqIG8Kzjy+LkBX1PKbMuQxy+spvUCqidVQQzgxcfBd8Ld4
lxMe71VXCUQJdXHEl+4dSEH6uuRteBHnsQlHnPGIO0hn31ldzQAFL4rhNc8YWNBMzQbAQwVqbsFc
9esF5fy0W8FLWImmpu3CWkDi8uOCyrNBo7gt3T1OnfGGzDz7zZoVBQdvnGjdMSDOswGrPShI57ZR
GTQ9u/QCMnxw1A6OkzwlBBJ3YvUEuZ1WWsZjVyzSxYnhQtizVMvC9DAW9Qwitib6XviSDQCSLMix
IAVip/sRokcq6Ns4D2qyv0D9wZsT+g/gDL+pAetaSy1AoKrhowRtp6ukzoLbwQ+tXVoi3sZlT7u9
Ttttpebh4NEAOTiUV3uKQBY6yIbdHJb2b2bff7d2uCU68C7YdzhSfvzm9Jyl1IOsnal0P1B2BLfr
s9KPIFqUSKarX/9Q/k8nl8NPZDMNcF0bUf9nJHE1+pVljgM7LK3rLSwfaFyNTC8IrBBkrpD1bZtx
fk1sXHphBbiWqOQ7ygS+9Hnq6DKTUIjQcXqZwvhSJd5VvLhyL+ioEumok7zZdiC1+BOMF/mzxDGv
KRch67LPOT4sxdNs+v5HI7vlzlpDHES3TN9F08gjVHaoXmquL3NpejtSn5M9Snb1pKayv6e5gg3K
Sqe7liiRjWPREysckEe2t3Q7HLjTFY3z8Izq925Ai3QMC83OsYTjVeWBAu1Rslwpk21ZtkWxl+vb
oTot6YdU05OrWVty4piBWB9UG9dC4Uo64mr4NfJriyBlpHo1+XGxj2EXA2Z9maaNsQ978n5BDhh7
fHNsRr7wdin9RW6gPBDLbx60v1ktLJLQPs3+11Pyx9UiPa8sKsKAofvQAM1dvj8cXBxOjdNsfZcH
4tfr5efXWw0buCwCcCmwUT6JSryiZgq7NO6+rCouIC1PAyOKEDRdFhzJoux+8zSIny+WWPfxewRg
VkIKp/DT8xAwSgC4lTh7esY2YFOmcGRle5dZ5Q6HejHTCwxU2S6RHvCysT/2ku3CKzp7R/Ka2Piq
zul0o1GeC/5fOHJQmRM/tdk4PQ0gMRzajo+SeU1/X0m2a7deD3c3xq+2ZOUtMvB3fJpik9RuzHSb
ReeJ8p1ZEYAJjwkcvE1jmyCke2wCDrsFvlg5pcWe4eQH5ucGjJT7UfjlO1ChbmeQ7bDXQIUuBPaX
nRhnYsKb/lEurHVhsPOfjta24KrVB0n6he69DfUFcYNgoEo/jqcpDDklU5bgRZOW5oUanOFAYCCn
KeAWcji4l8A15qitiHc212dVW+wfMPiAGSzsb8XEOl+wSGyLvpdHpricPQXbriza7jkDH7/ne7OJ
f+ANtb7fkELOWR8aqYEjoQPRd/q3Jes907Bje99gMtvQhQMio7rNTBsn0uupm6eWPHOywudhYbvI
hOI+MMzkFIlZnqWDGVyJjmbJSK7MWTgkwVFCoL8i8ZrfKeEGUcfhQAIhg3bm68OBsJn+OhN0bOsB
Xm2+fkyDdMjryVgWZNtC7kbdeAf0YOGZBUdiB2wjOJSL9+Rp/2vFbHRTlI51xtM5gbAu7B07GKvY
1cGBvGWuLBnX6NPjjtcUdb3ENm0YnAKYpMFkgbrdpKE9HLKUn+PXT9fnzRjJFtI6avYQFNCq/vzx
aYYJjKkUCMgBMCSoNDQQm5oZ3G+e4c9n8+lVHIuEJh5i9ydlJw1oCiba74dFgI8fF6gCfT6/QdO7
liGkLJDMv3lF8XcfDEYSZWF4suh9+mBd3Sd08quBbLBcXsTEnO+zwenP6KKhfoBQR8oUUAcTwYnl
JX9Uc6kPE1LuaE6Ai4Li/7aUz7/+rj/vZOu3wL3Eo6gA+/9TP4YQrT4LzZa2VJG/Na2rv/85LyqI
e2qAKl3/+uVWYe4P3RBegX4Adg5BdNeq3f3xtx0tqre4LuQhyPzrnpC9bW249a6JHQiNDJqg/Hvv
Tpk/tWZ1hqniqc88I5poDoxW8W0IFA+smy2/Of9XIfNPbytcD/915YE2/HRVtbFa64SkefwYE9KG
knmT19GdI7uLLrOF5r3paNtU8oU83ZVLzU9kYPPHDdx8ET0kkJ7RR1S22CeypibDzLOvlRhINs/z
r548uoM5bxeHrj2RSba07yzGAmOSrhC1Mcf8nuxSH3GDvyQpWfLIMVehboGBHg82u49TDZyn9jqO
pkaLyhjQJqHBJJKs6o9V6XrqBeeL2f+mKrJ+/m5W8bXrIMUOcQt8lkCHYpoHZqnt4dTO0FAo8aMn
U1SqCimJ32H/Tu2MaXtFnNU0maePiRoJCmNHNlqAPw6fw7RZAGCdt+Zo7FwTYeW0jpoWzM97STjX
FVP8AqIm4qEEMtNv7gdi/f3+WtnRcnQD08LKuJoYuY9/WnbTQGu0Zz5DA4GzKgzYwAUG2donUdty
myj14GiHbr8TuHYio8z2vTLb37yNnxc/bYuQ5YUn2DRpKPz4LqqchOvJx8PQ6v7cUnwxFishq2n3
/PoxOzUVP31eH1l4iAUKlyoekx9fCeFgzDWrIN8aM3meMyoQuljpMkP9US4SUQCknE22CrK6eWxA
SxIYb40h5paK/FbVpn9YTL0zMAmXXI3przA15fstds06Zq2ZdyMJu+xt5Ox2iXLFiBn3/fpD/N2P
huYVzbBL28X9SWxdM+y1CJhqD6msxNYqoYH1NTDqSjKomSuaprDHv60jRl2g2Bi79ENXwW92rJ83
SKpXFwkuPSBaH59Xf2lBSGmFaA/Yeb7bQOI2fA28GKbSjdK/ezXrc6uHherTQQy5XRKPgoP8xx/O
bsTA/dZqkfwCFy/aRm9XJe8iLUKwROKieWIGhduPIwK0yE21NF+auSmuvIp5mGMmf7SB0BB8uuU4
UapRCwCUghVPTlxMLZDb6ubXP9PP5yjvmDhUZkje2qX69I57d/YJWOLRgtufHRpJGDmEhGI3mowc
UX/hpzLL3/RZ/2ZGxquxIvD0m2zbn5+kkquDajoLjEiOFqhrbIfZ9UyMYePMx7QakCAldcUQeDyT
KDouKB3uTjIbSkpjRwfF3GakjhP/zgxvKGDpsQDEOWoEse8YALU2U9kU9MvWdocv1sKI4iQjqAWz
Rov2537w190sc5E4rYpFxxozIGdkc1YN9ARn8Z1DUsgUZLj9VHbWEgkDHWzLdTciFrzdp/46/4oV
CaOrqJdy+25WSAtOckDww2aETPXrOjz2soGXm8nUEPGbbQBgalup9hi3ftev+Nttw4O8SKfTgr/o
rBvYXxqdpDmTUuywbSTwlm8L8BFUGewbjDgGSKot4VUOc+EstP5AaUbD3+WHrlUXbNWIw7T2enXu
k6b5515fgbM7y3TWIjOSYK6GwXo9qYEdKM7YZKr+vEIhfp3m/Ai/XpTrovtx/wvYX5n3YNIwLZq2
P36QPnFQLYOLPNQ+h/E4q3pLPCCPhJNOF0kfUm0QLPbqBLG/tX1A+79+eefnm15gURjaVIfYc8Tn
AjEMZpr1c90czBLhaWP18y15elCbSsRjdhc6z3WLWzuz0+JspKjYFg4n5Gwg/aKHyKi1IDN0NP1q
mywsU84uRJg+mkliy99M0tgL3XyBdYWJepXsoQYQ8PXRe+e7NMZ67rargM5Fl5YzIjqY1SqLATKO
9rTN7vpOOc9m6W6xMl/2EwkLrre4e73aRKok/OB/q5vdML87Mi8PdYAnpfBR6P76W/qbmwWYJ6YU
ghYPp7K3fot/WW4T8laCSAjh7ND1nTR1WH1RUQtElG3GY4i1G4dgAb7HLEzSs7kxxNkzerv27KRc
XNZIhbYP7Q2n9V257m+d9+jk4CQZRrzWiOCJt0e+58NFO/z63f+878Fl4EbBc2/SKv48VhwHo5UV
WoUDiKeDiCn81q2i0AySTwKOMq5+s+v9dHn2WVPcT5ljMl3hYF/f0l++rxRMuO7JpzmgBmuxOQ9Y
gVex+0m+KE8/74iOcmJ/wfyAz2JclbPT0AURoTyQ57u+2Ln4PyLcDb/bPD4flKc3B2jF5nk7DYF+
fHOeDvLcKOqCirBD1tLzHqBqIpxDYVqu38qvv/6/ebn1EcfcYwuKiZ+OnaJ1iYZk2KHcddX61aU2
uFA5krVzAkieXu5/Le/r/8No9bXMYQX9Z3zJxXtfk+9VvP/Vvvmv/+pP86YfACKxMPlDIiHQzVqn
Qn+aN33nH1g5sWpzi6G6dldb57/oJSL4h+OC46J9xhvg8sC/+jdPWIAaZu3hdhEO/wftyz//64eB
g/z0z3/1fn06BBwq+4Dp+1q38Dcxz/m0IiEAtv4QoraU7pEMhBsvxvQW1JAtAb3Hw93UFB8d4tff
LE0GHfzNfzl+mCEFQHhcwVWNcpeh6I+vnKSEDHpLOe68OOy/xxxUTLQdp4+UOwmyNc2F+0rmU3LB
mCJ+c5ZrEif9soWmjmw/aItD0Sw0zDiu5rBUQKM0FwBDSPXsMu1wLCRwxiNT6uCWMouaZjSndG+7
sbVBF0xEqDf550YyePtEwrZCNganvFxjRYmav1H0SreMwb6C0qu3IxPbPLTFZlhjSf2uvtdVVa18
gJ1nWObFkAKfd+Y+v0cP4gEUmif7WpziThNRXPvS6H3OWOJQ7SB/TMKA14v1LA+z7VV32sWn1uaX
uZ3Lq6Llq5jDRSwbQM16JqJxTV9VaxBrtUayQgFwngZ/zWmVo0huwHXB+VtjXEWmY9oi2ZrtaoEV
sNbAV1TByXMGQvnec6cZzD8NqqRsDkJZqAuaztnGa3IsqHVCZAtIbWvCC7ADm6rhRhly+Ihnay1o
mhCmZ5IP4behVSjY4VIYERcF84mBJrkpicUaWx0L6b1sOrLia0cXBHJa5KujAtXqEJgBswHbVBco
H2t6aiTl2obrXc9Z5dyYTMLSnbVm6nZMEokrhG+SyXncjO1c387wFMcNtT9pLHgqBuAWFUG9YFLq
Q+OM8+W05vhCZa03+Zrty2RpuSDmu33q6oDo366VBuFSayKwNa9aLmLlwUMUishgJo1hcwvPGMV7
6hQV6DY9kmo91V214WIWDkwTR+fI8Jf2QpOayzPwfkDVEcGhwN0sLQYQN2Wgb/hzqkPfWYvvruG7
5i4heGw3uUN4m3pKMioBeOZuxt5jYEnmBCFgE9CSAIbIdEgmsyGPzbTsg4P8m+k9qsJn+CA+AMMc
4+zWm+o4ipHt4wSB2gibx2/1WUwKE1FyjQuXZEyHt662WEhFZ35JzCb9Hg9++5VvJruXJFjdIOog
U6TTJWJwSBDpF2C+K+F6JGzeylcGCxc2FG/WyKssViqOdlyE9DDIdnlT0LrPvSX35k2MMj7meM1B
QKS20Dsrm619Lkv9YDWLfV+LoOi2SlgD8yJyRuAVwvz/2lU+xNCcMIC7KRbhmwxIaQATVQY7J+gb
mMdEfGyDMPGe4djRJxpHMe8Y8czvJJrIJ4RnCPKtuvfeuyzvVsQrGCSIg5678UrEzptOdOK7ITPx
kA5t9Ty5eXznzbb/pR5LC6U3MXhwBpVtPibEuI6Icqai3YFEqB4atGY7IkxXCielCqYPhvlyK+2x
svcM3BBpe31piC2jZ/owKeTwXWoy74OJO9LvTRbBbQLki/aXaSLzmaF9r6YORXFilhdLUcwCEHrM
LlIAFUSbUyrjRrdakgpTBMVzrg1IeCZcVxxXtd98NU2GR1sPDvRx6bhQUSXlvmYntHys0Bmfh4A0
eIZtHuS3RlWmt9YA33jT40IH01MLdZc1gf3MT+pGDbWxF3lBSxoa9oWHZLTTrdM6ZLHbbnW3juh3
S8uwKGq9uftiS/Z0NjNTvzL/8t7YzPlF0VGRKid9AUPCCSpIFx1qzCJK5nZoI5CvMxAWUw0waGbe
qdHiak88jfcxyENjA2iQbWGKY5f4YGOZrtXgqecSO8rCxJ1YFmA3odUeTTREr1hTCaxNRtdtdyTn
1c5WaTO/ykNrvDXcoH0K9EyVIOHjBLtY1c4XVS3tN1wm/Zq3NLKlZ2ZodIijiVrZtCWjpygJep2c
idiwSDix7eIaBKyZ3jbANtLdKpM8b1bAzUGWNhFv2hglAJxR8HTBXEFtDWnYeIePOscbnUBJAiNZ
x3tZyzaLlPSdvYMiFZ8OLo4mignTcjYsnH7aEkY54xsB3VnAmDJDEihwCUWedlEnBWKNRZ77YLzs
JSkqwRAs5wQKtyhZgviKldS/+ZMh6AP2/jPKruocFWJxseQmG7EpvfLopZoTtKhH/VIFgk0vCTJ1
jd4mIHSCVI2npS68nl5Q2nXcxR3/WwPj/GEurJWca3pVpFqzaHnk/P5Dj1N613s2zKmMyDO6kaG6
DkAV4v9u6WklTfVSN0l/nhRBk21yn2MHY2dSRMTlEDZXm5B10JThLYCzzjt/x8Z3PaoU0AHdLB2t
ATp/JIS9XDvxKBUWnrhJNwVxNuQdt3S8jjEYZJKSxyB+x19F13FEmq0vYQABOA28KX0x7RlQckWk
Nh6weQ7GTSv4bFg19Bd7sb1Htt/2du4tMkNNLPUN5/OlZ8G3wo5pla8VJg64SnKB9pOYa0Q2EV6Z
ubFG0SHMpSPIY4hX+02N7nDr+MZ0Hc+xdWv60v1ua2VsAhQcTy4P0tfQM2JnM5hehimnPFhOprFW
NENMU46IlW9LNtH8cDvpIwUPDQLU+NFAuzgdQUQNWT0jWWnlZTdN/qs7punHUsRVuhFpB3FNlEXA
F5enCCXp40BgP0PdPnVEI8XBFy1a753TJbuDo5cC1orbSqztyn4psTG2BilGAND8GxNyWreBHezM
Z9hOUTAadu9sJZ6X7WyXkocAK8Ysjfy9s8L4GobDy1T16Rae+LxNc9GgYZLAxLgYdMuGEs+fLnTq
eIQm2KnadJoosk0VMyxHcGOgiOCbIN5c97uxNVZZhxV87azBvqjpHbkRc9WEeDtsqMcOVRqsVvHa
eXH3VMy280dQwFk74vZrkl1oSSJYhMUlIXJGf/hAq5h3UTf6hN5A8w7uTdtL4v04gU+NgoI0aiwm
Y87TaY8EMSnESiwagq/EzgzyIo0C9M3NBY5e50UNHSuqEnXNRQiy84ZsbHHsS4IBo2AJOC454MVH
X5DbyT5dJl+yHgfJxhid+cbLMkmSj66mXZrppMLthtrnspgrfZ51mfFHnPVjEGUu082o6ANzg1h0
eLO7NdWghLj/lqC18fAE6fwd7Qu7QAgeVkUCGftDHbSOc0wm4KgcVAuaBkxVHMYGOu0zHduwzlgC
aCtArK9sVEgt92ZdonEqlccsCIJn15M/V3dng2f536oYbc/MMDQIi3Lbd9TA9kCun0vj50XN9ENd
gzlEhHFSEOkum2gydb+x1vTMTVjHC21EYXzVImlfCYKryUDcKMfAZsSsGZN2UO2dzNBYfIneGZeW
F2sT64YszYTtwU23lQ34xXD1tsrm+piELiNanQfOHV4GYwd/OdhbsifYHgotR+4U3xJZxPzBH4G/
B331NVws8cJKtD8U1OMdwjpmK33jh7f+2JN7kM7K4G8s/XuYVlmzM4cwfTC0IDZrVHx/PBTPs6PY
rkoccPUhkLl+iZ1APsp+oAucLe6st6OXQKoRuh0/Qm6DX2mL1R4ARplWm8aOMXxVVDcfdiAnVAAG
bDinhbmIjc9yrpS0dYQEAKdXYrEKmbKrOt2KUauPjCJ82y5d9aAWNhWccXEL7bHSPi2ZOkm5VA40
ao9gi+n0EMepz4nfXImPZNtTB3DSEhNGK9t1tJ1yjNVdeV1xm68QaOVwCN2+7HeJ8LKHtuiM+0Yv
yW7xCUlcKn8hRKXr/Z2ykNg0YW5Dw+pGZWKd8ozzoozJHZl1BqrRT73wsYmnBaRHDKg44qAsu23S
TyXwLtGVZpQsHkAswG3ckAxH89X6TvMkhqrat9givd0ICfBiJiJ12g3ERstN4sryRY9BKOlrjun3
wk/6NOr8mFsRiBWuiIJ53hAlymqezdEuH5U0g29WlTRHtI9zezZmPKM1lXEDF6uHguw0ibmnjHVv
cPdqEWHOL0PSN01xESYT18OQ3Jqebxmc+3ZSMDqjwBHYdJym6e76QOXTZqCd50Z9tnDBRoOXbKTT
m7eWn3UC2Xg/THvdO+ajX/d2pIzye72UM6hOsGrJylEjqmGqDPj8rpeIczq87nVDMrGKUnC+wXlW
BeY5Xk0WHLi54mzI3f6W0EpgwU7hKH5HAiGiaW6B4tFzJkYjcaGWN/k3zCImFlA/ExdUye6dl9cX
IgA6oPBiVpa1XM9p8ZQumBQGiq9dY6tDLZ3ykDXGsLUE1DFleTeSB+AmM6DKaG+A3LK2zhsGB9u+
mSQwQH9gFqEXCoslQ38+lmiyJmXuC5swNsIm6zvlDNUt7JdmOwhujXaFZiPmZbRTXjaITncGsbME
Fs5cLubcI1QNbVfdlEdiNREmcr8kAEfd0v02n826wiPqgMLcAp5/qeNpBMhsefeTFwS7sM313q3n
G3Djs9risveOTCzCM/AeDhGArcVc1TVAmYdxl13Qe1dR02fBsjP7sr5OgyY8X6YeZXcTh/FmYfP+
Hki8d0huPlqMzbfJNA1MYevwtaEhfO6nlv3F6rzkW8AByty2pTgrG/6IM5rE6mQ4cnf8jYVxuwAC
96HBtDM33lS2j1U/mEcL/DuA8lCLR7tKjQsGz2M0hUZ79L10emL8W7zFI3mduK208TGNfi3f7IIy
iAtANln7Og5MxOB5oQJ2UmveDpmTmGfZ2JbfyB/sL7VIuVlOacgBls+EHEWi1YXalxO3ySIPwrtQ
OAGCuKAj8dVVEzWO2do0N8Eso+sU3BQYT3JmtgHzmMhu4ZREgbJVseWOJM/b07Yz8NZe0fcu03Ye
s9iE5mGwKCbTWtyjW1Em4IYAM7hBXesUzLVJEYnsWnhvg6/E9xbzDl5aC/XcNpBBeBbSeA3xziqZ
wFBJuUTjYPK+Bzj7kO2jVZVKqmsNssPfmGbKxZRMZO8raCdYg6QgZ3e0BUBIjbZ97wzmVO2SwGRL
jANYj8zL8SAy5kE6l1W+dg9ZFlOc5yV8vMibLPNy7Nv2WDJvh1cbpORTNMY8wLpckJP+77Y+6d99
bZhoZ3Qv/nn43ly/V9/lf/3QEP3nj/9Ik+9fjdkt/ccf/mF3gtXdjd97ff9dEpfw737g+if/p//y
//yPkHfCY12xJdE2/M890vP0vS9SGHc/9kj/73/5Z5808IHcsfGiLD2Fq62+kD/7pIEN/9mk94eu
H4caA7d/M57df1gBPgdGI3bAFGlVwP6rS2qJf4RggWC9raIGQNDO/0uXFKXl524liiQY0rTTeY9r
u/THbqVZEZ4VGxoYqXAWMP2j2dSRCAXoRjmu+SymG3svpKpTjMieceSulQX3JczcidhKrgQ1e383
PSgTX03ku4O7H0qjugrWeBixBsU0RBxEtWgU4ky0p1G7RsqkY1Nf8IaqLU+COpLpgJldu0SMX3oN
EBJ8rETUuOMaVxOeomvKU4wNXCQ6dPmabuNwQ6PWOoXeuKcAnPkUhkP8F0d7cwrJGRN3JHQ2R9wH
O8idjsUU5/fT6HZHRr3gLcRcf0HfiJt1jMX4jQ+HOA7IBLylxB4fffJg2N7AL7BDVyJm4kA6z8bg
AkqiBgCIvet4U7Lv7c5v9hmwtQbjeZxdZ4NYC7y0W/u1Po6Rcwt2QBHF6Khx+QRF7B9zLtMm4+K8
rndkzBNMFXqK9lOW1sZbQ6guF+BSZ5cNvIr3rhqzS2mR48eNsPGJqGRUtGwRhw7I2pFjeychI8EC
E2VToprxtbQKRctrHJrvpMDYHylVnoExs4XmumT6aob3TNa1G0rqTxlSXLjtXJAXa6lbYzGmu9zm
Urpu/Yjxc3D2O90p44vsHG1sY0B3zcHpJC5/y43brUWiNg1MCUCCsmcqHxu7nLABDeaAqWHx2mYj
y0B8kCcTlhi0gP8vPur8/Wh03FFif+GWgIHL3qRtT+Bc7hfLFI2xEV6IDN2VaAmmsHrZ3bbaaG/T
qe+P9tB092kemNfdzDieJLC8UltSxQIYGFX7bsphvga7Y48b3cF7aFof92yPRMBj0r05uXhlFkzE
eDIjOAxEV8FLE3qfJsX84utYX9EkD4+I7uXz3DbZixMysI7shUsmTV9A5/GwPIhmnm/rhFmjM+Ah
L1YqSk6PcFeCY9o4XCOvxhWnNfJ3HXxknttYEBF3IseMDk2wRK6qhYW0ZZgv6KFWf28T9zFO/KE5
WhUe7dr26oNrptVzLxxatYH9xDQfN7jHjY82fwR2ic4ZKz+sMogtShWE5Ln2WZbySRV+gG0GZ+Oi
i2ENxEOmn1oi0jfeOM7nKC5tZNrMnjvTo3Tz1jG+QHBLL8+C2Mq0Y7k7UW90nc83rHX70FpE6G3T
hqRaAJDDHQ0pi1R4VzwsiVqeDYi5x9IHq7FXeedPsHjb+rlMoR075KE/F80wfoxpnz+jwDnzVABl
vuDvxtWUqY0sBu9WW1X32lmVvKsrR7yrkL7apkOA8QCtxCRvnTx54oFHN4tC9hSKe8YMO2XrBbaf
Z72rJScbqTWk82RZXXJDUxeZp5qqP9Dm+jdBb3tveUoMYlqRKLSdPDnd41yNj7rNxFlGff/Nl3Go
wf2ZVhsNVHY3uc8NGTN93n5Y3KGf14XwCDFx+Uh9pdptoMzyaelM/05X862PLpqRSTpUuF9cofic
Rocjklnaq20nKf15Z67dLY3h+JpMifGcsre4j+cs+V6lxYw1epr1SxHWQKUkW/PR9goq/pwslY+i
b6hYZWh3tCwLy3skEUfA2xxxAoBpT+77KqnfvR7pkjWNdUuF1+JfyrhBbNqQVJteEEboEuKIsHvJ
lj1NToJ4aYSSsRvPOxxpfcQka8LvoLt94ljmEJEE0J8vptvBky97sjRqMS7HkgQSDF06HW8DYTO2
bwoektajL0Czz5L3CZQnru4ztd2UjfIhz7tshxerO+Oy7F3YXhnfJ6XjvFJMFOforOM38HYPZlvN
l3kyAlBrTZ3fhb1XVEccxNwZ5UKuW2wn41lBE4z8Y4OMdSG0fekVwXBVdmtgsvCoDwp3Dq8RgCKd
zBdj5IsokZIrTybqaGXD8BCbWQkULnHfLChYu2lKfIqR1LyzUSicI5TzLumuE8pXjBXhb2Pa7uh2
hzdVrfVxamb3nKxQDE6KgQilt6kyEAdy8Ix9QJfE3Sgv7K54FKwnL5XNXdLlyYVFGXUO76V6nzHD
vxulPR46kj/ps9p2/00M+FHmJrMeJ+w8u8Wp/V3QpcFl0vft1yRO1Dv1xEJrGuEBqH0DxFW0TKo/
ejrLVxpXSVNR1B+xbOD7rLcNOBhkyE+dbWiKD6Knh3huLnNV2Jg61m+UDMI08pULDn3R+ixNp+KO
7AKDvDozQLWUzQXnbdCG3XWYsr1EnXArEaVqUu8Gk4c5QhQb36eDHj/sya3GGyRYacG6cwrK+8qv
r2JSzAAAZvquhx7HyU4mzl3dwDTaSDplkahy39kUkqOunkbM8d7kFddEACZ7P62a85Qqu1yZgNY3
v1IxOlwaHxBobDu7CF0Nsgzamfnk+WX2zJkNiJ7xy1CisIJ6U7uGe1Filj6ExGs8hWnvbYTfjzWt
zByMfWGN1DgZYcdn2STrRxpLAAM6sgMumE+YzkVaa/ulaU2PxBoXdRPThDZyZd2cT1J1F0PjW/cz
ca3nToj5IZYmI4EgQbTcLOp2qSVfSMimC0JvGF4Io28+UoyAL6Yij7AkDuNMLkG5zSns7ikBnUu/
t8n7RsLivdDkT2FsK5vrkJs4bnyW9613laVpdl3GXfHSUCVfcWHDph139Uj7ECH7ZUhH4jVcMmQi
mQcpqWwPGsrg1jIcljMEjm3Yt86jkZPSjAqWwObwFN5c+9J/wtpBpDMxddkhXXOe68RU2DHZ9omv
6NuLcE2ETgcQHyiLyIm25jI998Bynek1RdoaOo+kL+wRjGKQ1ebwj3CXT2/a0sibydDyAA76xWug
oT1F6UhaNTylgODQcY2wFqRZx+jjdkyXNz0Xo525Zl4LW77Xawq2Uiz/cU3GRjb56KxZ2SqcHoRP
ena/EoknpydS258Cdqx8cs0Dw1F6j02ZlA9Ml8yXbiaTO6MRdMyUQRGG1iS7t07x3aOxRnk3Y4s2
u8Z69CWUg/6j9QP0UhAJjSFSgJh6jh+SfI+LbCEoUQL1G3ByvtzwMy+06keU4pJi9zXrSIVM3ZD6
VVscn0gXLUF62ljc5rrmSQ2ZnMHDN4xbiNOPpZn4twm+jsfMzIHZN3Zjn4009rYix1nLZtiASHIr
83EocvuYI7HZ5gws9uQRQnGE3/KonLOYr3y/0FqAJOReyco0LytTOTQiafYA0aSdW6fVWSUAgdDg
SG4lvoit4Ylrn6SIa5J646jrTXUXd012WSyl2BdGZiBRF5yxkYqt1N34nfK3EwTH/ViF+bWY5/4y
6SoFwxg0aHWsimS46hcui1FPOfPsTi4zzmVoUrJziQ7zYEWawzMUGw/x1+wkzx17HSeYdu9bX1n5
1qa8t7HE1SXAKSMI6evh4nsiGza8pnOW3ib+sNpVEq3RO+mZdAT8eV8gHnlPgCn1pVf6DMsclNbE
hTXuHZsdtlPGtukrD7C5Z9hRc4U26P3wzNQP/jInVy0MNXbUobG24dIG53Bt04/Qm6oBckrid9uC
++YZGZ0JZKJl7QA6/iDNY4v+dI/GX8LWKlu7ZtfUwtiO0gUVlpwCFhdzDVscEnIXHQTG2Q4htwuR
dU1mNAxHPtSnuMZhTW5s1wzHxSfNkWgT3W67NeNxDPxNRzbQAP5mjX/UzmTeBIzJXmWBb3KX/hkV
WZMZhzAaruDWTTHsR+F/s3cmy3FjaZZ+lbbeIwzTvQAWvSifBzrpHERR3MAkUsTFPF5MT98fmNGV
EYrszE6z2pRZ7ypLITnd6bjD+c/5zme1pNWPaOrUObfOYaws6icpcM8P4dJJGX7WU/YeJCmmuHxV
acGs2/JkZLB7NlUxYYun2vErtbputO8wx52DaaAeMrGj+Ev5WYqZfxZkurhxP9rGxSNHuAyJIjS7
RRbyfFj+GdFEddc5LleO7LN+k3b5mU1vKeWkZeGBZwb10MFbTBnszFmD1R8rSn9odF6cRwrEv7Is
iQdZsh3ESRici6UUdITZCqI5m78Oc+QZq0DBFmT5Tbo1/AWShyxJFIz+f4nk/6UVwCI2i4P9/y6P
HOL8+5v6nv2Pa/P9/Wer/qSS/O0v/+4kC34zTTzWCzvDJVm5+Pl+d5KJ33CPIZ6YJhFyko/8ye8a
ieP8hvmbCzI8AR9Osvy7RuKYvyFXSoyZUCIQS/ij/6MUXf/m1PpnTjL71yy7S4oCxcMUaDgEhOxf
Dec26dZqYGi9p3WwgEjWTjUrBQ2zlTHVb27nNLCZVPBM+yjJfWOgrNwNu403JOHRlrX9blJogfLA
LK20uzsWyny/ZHpesyb1KBGQlU2CJq3fWArB31E7sKYtJbrFtD8++IEydqVGx6SbhVkrg6ppP6rW
e6gMEQ94NCr3LSQl7mJLkmrXG/luIj4ICTA7I3BZGz3I7ljP0ZHSb3c14TjexVVwZ+q4PoCa1S8y
qoP31JCaS6Cawn1jhHqH/On46yzJxvdlJ3rVItSnuU3sjQAItZ/bUh3gf08QawFjtmON29bOLsEU
+3ccBoftBEb1gKPIIv6sJcK+ax44+8/XQaZqGyQjU7jckdM+zIoEZB0a55d+LsufnJnlpTMN51T7
+onASvCVXl4f9EPtWsDN+phPtQxx5cckDlYMoBn7hKplT5pyvEb0HbJslHb60urJpPx07E5Far81
xFsuYRrHN7GSLbhkv33Mqkodnan11gbnPgwUqRcvfErjK/de/0yhrXsTIQf9qMa+ihgfC3RuZg2X
fPL7lxKiy4VfOO8TOiHg2oI5kOneDiJsiw25KiJQrFDQlfyP0U0LqlcUclTWc5mo0ypjeu68DTmb
yGrOfJoBHYKWfOFdPiijeHRzO9llMz1kytfQB7k4rGhgrQ+B6MtNpVPr4iiwEWC1cSM5AW89wviR
RJ1Y9b1A1YjgDZyFET4TWx82IrbyJ8gPeL5a7mfdrJxv41SlB2379Gu6Xn4XLyobqVuqkiXtnYBf
h3zjhe12oC8LZ5FstrlQP+Eg0uoQ42O/taw+OerFZZyF5k3VmfnNUM7Bu6jc6MuI45H6Lyd/nkY7
o7YolE9stjU+wDGob/ze0GuMGfZ9WzucQozAcDeSVDIkt0ZX763b3gVuwzFaR9WO/L99OztTvktQ
yW7VmGlaomy+tRhhsi8Z9ul6M0LJ2Bk5n1mQQCYzGE69zkKVZxIY1QMMN+88c3rE777Mn8bkvcZB
LK222VeT5z1TTE0dcy649BrRWTRTshlEqvZIesUXCzXjVvHuurUweuYy4WAx41NJdNthsbk6s+VC
NHEcJk9gUKMVaAlz3zoDc53QpEFvShjD5KJ48+cUWFogjPpgiMbdNSMH5rFJr7Mu31prPKEPojKa
jInMjmxxOVzy3qkOfs0ILzDlk6oJXFuFfawKbFxrW0lj84e1+vdl8I8GWueX2Nyy6qEmsk6j7iBE
/+qgDb3EG8qW5SBumPRCVC4Zz1VVwbRX+UV1M2YlKagcbnpbvGRjhmJc1k1z65KpBW7LrOjccSP9
wOlBV5MqsnPQOxG5BxsIZhk5xUtZZ82u9QYSyii8br7tOig6K+YYSFefz3P6+Ww7HFVoOOO5oDdz
WRcGMWkwjb0DNFtzMnn9528dJ/kvqrgFCAKfretADpNsPr+E9Sajc02MFuaewPljAHPRy1Pn0fDH
V/TXZGWVqV4Lwnxc0bSHJMDveOcz5+Tb0FQF/JJINNaWBo6lCncOx31ii4GIcdb/TB0dPal8nI4c
nQ8u1l+67WtGT7qBsEkNmGrqvSjak41MtCaR/lbXI6bV2cqvo/abI3i5Gghvpk+B1aqTXUNCQTAD
SUGXoHMsenStNZGJbsvnaNM8kyZoW328pxk8v2pvCF5hYhevU2/2u0FmxQ+b/vBbzs/1bcbQegf3
MN+X3eC9lEYTHgnVY1TI4/6B/+ntmlnHLwnzgROTVO6PwIe2cy7FfoBJSwR/cG6YwE9H+DedsUIZ
DHdRZ0ePU2YkqABz1K75sSnNwqiyS93A2jNVljvoAPMWVKPmJsgauW0o6XvubGGh5QXVM8oenrKs
cD9A/EWbuEvTsx5w1I1Qdc6VoMxwrVtbPIMdtO/waxiPTjvYC4WLm9jsm+XPmqvTszRK7iBeWVwJ
STZXPxX9CcQHRlDLVTdhbTYHu3ePOfDFrlcLwYeSktqHUIdLwxrv7WEYyGrl6W0/LLdshbFwr1wa
hnFSAAme6uaRNBRjE3su96q07B+QJUPsBi61jGH2RXXJgH1wFgOn0XbOX3OzGi6zY3c3Mx6NvQl/
9QzJXt7kPsoMMI74xhNTi1zHNWFHkS1O6Cj31ZqajWpBJIV3rTFU99IbvHo/WtHERFPCU3SdYts0
gwbiMqdX3GnlhUo9ri9t0ZP0carTCMvrXi2rSFaHHFe8oyGzdVMWd5OtHjP8o/WQ5XsjYlTQSmOf
AE9k5O3la5Io13ZZsyL0xV24rGNOZKn7fDaMD39Z4fplrcuQkcuBWK/bxx3FApkgcL8sjPpzkWSl
cDd6WTmbZQ31G8U6k8X2zEKgcAJxEwhup2XlHZc1uLHd8VQMJWtuZdcTEN4eQ80wsaJbjAF6ry7P
M/moVzFIkwC75+HCbGDMfW4MybJHeMtuYWUWTZDpsofUURobB7i/BZDZzy2IIkCsD4ExdcMmtWrv
aTJLcddWGVxlmveC97hRTkcXspVCATfRFox+CYUv+6TG6LlJPnfQoor8H0OVCLYKvtPUrdhxda7w
ubCGdnl9KMN02IeQmuMN5GO29Jn6wVWE+QlHGpy3nUUlHforKIh7pu2cGqblAGFwkpiXI4X/ebhI
qcteF9oT0O05d5gcH8NA1WsCoZjJwwzbQWjo8ZxnVrXJAmM8hvjpIfrk+b7i6LOB67LgALXdrbSv
3A3pK3ddjKVGCcrS9CLsNjkyZekuSZTbX1Up3duuxZJWTFaYr5pWtTsblvJPyjXs65gN4q3PdH+N
2yn+YugEcRV7M/UPpvaOHYo32YvGGDe56cZ3kjkJ7rFYObfScPShMRiUcKaj1xO3AFNzdiiBOaNS
pwrb322nexzE1eA1P8amfzFlVW1Ic0+LtdIUOxqWrL0/9urJi3jjCbeGY2NUWJFVIvslm8Boo2qp
46Mb3LiCo3eOnhzdxzwp5ZWonFhj0OT7kcflEyAVbvZMIrMjcdCkw9OlKKUDhJOw8VYQGQJQbBeJ
wWAr+yE4cLA0f5Bu0G9OWWCv7uZ0aZfkQduhVAlzJSWywSqy+BgxRIl9mvCJr7NRxidPVul5aHzj
FNT9cMiTcTyh+5DxdOOG6ks8HMAxDfMbCdTrHHXjE722+XosDZwqNH+e1Gy1Ix+aL+/VZKeviYOj
HmFOYHFq8u5HJProtdJduzU9N9sGZRru+U9+mDFMfH4ise2oBzzbVcCXH3mSwtDajO8puqlXhZPh
RCgFp0A8WtK9xryNkE72tcDp72O8ZtY6/zTtJezVlfBcWROpJqxMahT8uKMC2LHNl7JN3VM/tfoi
nBgPuuVpWlZTfP6JN0MoYtzBQBXmFGGekbQaTPEskCfaiT/yIfgxkWbbs4FlXJDCsjh6jfB52gcO
5QX83weVOxMlaIKDdZiaz8kYQ8Ap82dmZfaLW1v60Ous+joIkXxFmW3An9cONBeQbH03vxaB+cwU
AiRMkgh5FG55sSVDvMBDKvtMaowj+CXsLAwdMlT8rdnjr13roJTmGQ21OqLHsO+GqTgFYB8Pc1cl
W6sR07fY4HtK6sc+j5SHbiolwze7ickIU/IwrL1yOdbPBV66YdTzelTuO1mHcB+4tbGT1mQvKOX4
XE12NJ11YZQP0ujtJ6pNkEcYqnQ/MflzXHTS1r8p6oLVpo+c5LGomHGs5qHlTeVpvvMSt9pDEGLe
BB6t50kUMt6QsZH8q338Hd3QZQxbNYhd5KcTH7jESBDiOGg/OWO3p+6KN4r9LzGyrct1BKA0OlfR
EOIYggwEfTiPXJwcyniMdDqOBHT3MZL9Ciuzx6g0VzExnSmgVLLAC1U55c6xtPeq6tja2z34bBpf
0gV6NvHUNpMpuYaqBCdh2R6TrP0GyfUye+bHol9seyu0vne94d0Fdcj2WD3hA3ZhZtCt8WBHzZTv
B7BY7wl2aRoT/Oe8A39kaPb22aZRZ8BMRXKnpjdEOePe1BLo5piZz1001gykJ5biuukblqS+o8DG
ru4rL4T7wVbC9xuuafeEPDE/yUpXSxENHm3LEzd4GCk1KHnP16wobSz9JFuMEDCY40b2vR7iDqd9
1/hAW73AeBRs1VfHKoYPN/0RtjM42mqEqB/NSt4ZhH4PTZxyLDKKS+5jlTVruWnaLPQgZyd7Geua
VYS0hMDcvMnF+4SQn+yCsuiAWE8ZJtbAszZVH97Q4DzfciA8d3Z/K0z94qev5fwwqWhtu521qgs7
+UhEdJumebHzm8q890RYf+P7xeYlp+5ugCx/ZopbvZh9P0SrOEOFWBvss0ALPP0N8tnwReaB8y00
U/EVdCYBBbN1j5CgkxM7gUKODfGWY7hmtp/l28JoOVQk0bFrEga5XrzEybS6j5NKPlDHMr0KRabM
oDjgiESK8S2R7torUpEdfL+h/Jco7PiiWfKorS4th35aWx2YkcCQiad661pL/MIIxkebGfVeGOW8
XwI/uxE848EtBRdZxUl2ysJpC1N0PHCGNBmClr6Ebwb77SqyojpiZh93UabptLYtBZuGk19PEI08
iq4PtNkFNE5kCgNGjFkTl5ne8TMwyIhy2mGrLnlBvMUa341RtC7i/CEqWERXbWnQSrVsuL5U9R7b
35fMmKpT6rZ6n4YVB7KFk6K9hDs/0eCnoCna7ayr8pSwZvRY+bNqK2KGT2uMNwMe9TblCUwLkwV7
Zt7NjJ8nix+lXHdBzt/oO3oEprBwnqcibulim7035lLOQaWsECGy64bp5cSjEueHwmbg3BXMizE0
JNgySlazYaiHdZSKzaTT8GxbYXihZWBVBOqHQJhJUvMYlfwNFZ4bOnFXNqZ3aIeE8XLfXTMqN7eZ
mKcTCh8JqyZ44F6+xhE/8NlSPrwib5BfVGrTeDX03gadYKYbRCiuSTFegoaG7zOVBx4fQUjvXVNa
77OmXcmz2+JD4bFZ4SiIjz74/HVthFCUnLArT0WRpO82tN1vRexSqVbjbnhwjT64FBy0r9xVujOG
e300Gbox2pOt85wYLjbaKK6+5dLJiW9khDEX+7PwqgRsmOkfTCfO9m7f1KCXgey1GBjI9a3NMfGy
le0GUNu9xNrzhDlfOq5rV/B5alXARN3GOdqHCkwa0yOC00l6Lm1xGtvD5PN5aqycLfSnhMnvg11Q
JE7ZQPIsMfIf6zTLbry49WE4GuIYDskV18Og/0We1f5HV2HhfsZ1zYBS1V+gu0NS2GGITW1vQGjd
CnfxMUa9jFe1KPxlgsv918nG6CmSBWkCoNZDuVGqMu4zCt1/SG+umm3mCrVlME2GLFr0SjQdADw6
MDXEN8XgY1V8Kpym1PjhASjwX5cSg7Eo3WrVckM0/sYf+K/OdP83siwuqek/6ByLJ/J3r+Niuvxf
//M/2vZ7/kcN/m9/4W8SfCB/g8cMOQWdncLMT6H9d5NiQKkuLlvUFWZE1Cv+XYK3cTZCfMbZSGzS
oYj27xK87f5m0f8IMoodD2Ufvs+/IcHLXzD20MlMaC/CQoAPQCchSf3ZplguSwZWHedAgzgzXHM0
6MKm6cdJ9mapP0f4c3b1sTQrEkiOTwwPjAmd3l1C4Ex1Xs/8UZhes5nLjpwXBzncwrmgWHA0dAi7
ZqKwyg+afmtblvuT2CtfUKPw4pMrMg0sVy+l6gHas+TEnyDQXN24sO+D1qICxZ5Ydm2Sv6MdxMeW
KlyQZe4jjVktvQhi2puV1WxK1P9L0nq71ofuSnHJVkjw5pTxeZXWG9bqeS2nnhK7rmKfa5baEnJa
G5ealq0jkLzKOriEWOdA/bXR3p3VKxb1+DzZGS0YoIXX3CIDHGzOO110GE/69q3IUypiqthHbmCz
1GM4HZOq7O7nIBhOXFrUe1DLfp1NVnsqrO474jdLmmc2u0RXpBIDXtOP5U+CiBYd7yMrrRY7ImcY
MRLjVtbseMn8I6jV0YicTZeHX8faOZM7unHBmOMGOWHfggzByJGAufHGxjrswtF5z7AjtLjBQJ1N
B4C81O0MDvc0IqQla8VWpHG4ISBB7t1KvmZKjNvO815kYt4kmJeg8mzwWTfrWIODAr/u0x5u9Gdr
QC2xa+uU57BLJg7ao8F6hZ/4mjZVg9Y+tvnW5T57GCr3B1E3cnaNNO9nXGN3k2YWmzWufs1bO8f8
hb3zzQ5lyC1y5F/QjrHnLOy+NY029hnK912eYxhyRjl9NAFjAO3GTr0q23E+p1U+3DQqvTOtKv5w
m6Ek2A/AyoqMaEUCiVl2nHXvVarpSfKNB6J5J+QCErOE6zGOGI1zZxOBOlBSck0JAm0GOT/4qrxP
PRNhZvCucx4PR0F1xDmuO0mfXUqID2h1vYnF9JaJZNz5RkZri+4vrSePBgRW+EJ2mz54nhZbr6qT
M66VntGCv3OSatgW1MKuS7eYzh3BOstwxUMXta1143mkitemKqx6U+BUZDxMplzvupyw19rIhoh+
ywB63SrBfIERs3J57hJJmeByCMm5Ncxhbu7TeBGtDSOxHxp4idxPOHP0G+JO4PwhipkUfPY1Qmtl
jk20bfFORRsI2bFce/j+vQ12XIStKLEIhTIpUYT4ie9EN4Yb591BY7Pp1spO25yjCCjlrwYGrTjm
efZJbKe5L7AEmaW/tnu/4CTMFWM6kIVrpjONbRla7ihIzUVF0/iPuV2L8shx0yg/qjSeA143CXgC
6BQOCEEZiVxRelO4nGcDP9pOAfnRNYF3gQDIfMvm7lzjXulsM1a7MDf89p3qmiVsBcSt31jlVHIa
wAP7anLD+1oMPDFBl4TXJmr8CSCxRTyQwhVVHkJ7IJ1kM+Mr1jIZyd0I7Cxi46UZH5aXGquGhgCq
b6MvaWLyhHQ+j0I8I3clRf7YMhr6OWDncDcceYGUpklspVhOkhynCE5Uf5t3eIJvVVrw23dRXkju
j3a3tcO0ydam9GdnAxaYQE+uyQIeZd102VvdcFTcBV5aM4rIfc6dbm/N3wtO82sQc+ohgFK7XfKT
iB6UpHVW3vNGK+XhFQrHRmBeBRRTzieYE/ZrKmN1KQK3+z4UwAlWGYVaFzpeNfqLPyfHfJTzdwqv
KCOkTgXH6lPSeU+qG1987Kmbtqinb74Y6h2EwezeSSyWvTiChlEU3aMLynXX963/LbJrIlpUf82v
ljm/D1KHm8bUxXNoNJBOEdtaFOu86buz5N9tVrIz6ThgCcVDetPRPIAiAUrk59BPqDEyGhgJZ75R
301NRr2SwgC0j4aqY+zrpc2wtQuqtCgSU899547ejvM+bXa5lzkPYVb3IS2bHo2NupXn1i6ghEwN
5MgHkcUBHku3xqNqZinKrGepd6RaizJVMqsKxLwbP6Hbdv1rxHQKv5M1epQDwYeUq/pzcpxOh3QY
f4wqWao2+S6TGI1ksLYjuoKssMViNbb9teum+M41CtLCzjhefAeSRqrxEimZ3PuSO02L2+WLMZve
jUFH9rd2FFyLDRNhrp+CAIhvNt3jxcqzK+SJ8kfhCHHQ6TwcaSTBkoGWkH+XYWzdQ7BaFL4uuBu7
vK/JXib+j8j29dcMWajeNMigkvuXDtN12Dn+h5/NNUVkmpGS6gcNiaz0sqfWqL11C3+OJKcjldp6
pZlkH7EvGZVxUDdv076XD6S15Nd8MPCY97Ht7QJ3ktmNVcAvMDCubg26a5/KqK6IyKVD8dP2/PKj
94zhZahtjfHGVQGsghzQJ4R27JLxONd31KU4lyhryTsAXPw00tX5TVFR7HlIrdKV2wgHcLLF2Om/
eAy9fBpMA8ZBFY6pk7RS952hSn+Pq9d/InmR3RRxRyau6ULvS9ZY4nXW7CDxxKrKDGqKXmRvmPc2
Mn8BySMbL+Xk9Bvf9uQBnJyzhRJonVVkd8eeGs1+FbkwXgQeSYM1Aicol/omr7kOT65NJ+XcfmEM
b9yGRZNjWIu4bJB7yObmkhsY+SjfBI/PKllnOMrNoAArP08ZbHguU1jrNRUvjtOK+ybps5e8jfjS
lfiaesrE+hCDVxh4yQmvsTMf/RDuyNFg+tccGKKx/9VMOYr7XtjGdCdkqOx7w5yQaEf8Ov2OUpeC
/jjHw/VUKd46l84lgp8bKXbg2Ccet49AQUQ3MS6yiWquob+37DCOTrTjCvNmSJI534JIqPw1YaqH
oBwrbzUnxqQfCNiJ6jmELDMyrCBalVQrO3DMLVfyHtuQCiDNy/6Sepa/J0IdPIVjLu8TTi4RGXDW
fSAS8YGbs8Mw3if1asf2gf0sv3PmLD/4XgtK2VXknae+zDbIjPNNSxJ3mYI4xjl2Wn4LVVZXaB/E
bN9GXxLoHKeS44Nj3rbTEG/QZh9MHvh108bhFrNVtmqzqn/xLV2f8ySOvtDg0+GWHWiwMysZPbki
UtGW003Bb7gcj/NEJ9gNcRE/3TuumwQHiczNr7XqhLMOE+V2V9vOFvOY51wyQzlf3KEb630WG3jE
SiyA4yrvJIWhVZLkR8MHaDhZPWbxcgICuMVfqh9HJxlgsk1+elL2HL2zzbFYhlzayH4OyokOGPWR
mbl/fK+sPDhPeBCus1tea88a922sLaTexQ1RzOKmbCjWK7Q41zNKfWF3XCzjFEGlCM+DIebvbBjJ
Y+TZ2TuyW7+v09qqd4NjpEcShaBAucrU71FUcARD2zlG+LEPGeH4eFeNCgoeknpCUJ6R8o7KcJNq
TIeNYD+MHNsvQnXBHpeoHSDGjvMdKkyzrrupfKva6a1D1mR4Z8X4lVGZRL0jyAum2spyQqJ/uJz9
g/n7n+/df73x/BLMckZdmGXZjUe3zOoOpkXbnApmqE///sv4rhNIBiqgYsUvTOZ+zosSk+5wpH5x
AGQSwSGup9r1/sXbWWSCv1Oxlrez/H4tom4AJvEF/fI6VmDYHYxdfZx1ob8nyw6PU4MbQTT5mYJ+
mMY/s35WS4cfJIV/8er28mn9+vIATzw3AECNvfuXl4+HKDWqxumOLobwHZOc7tH2c7lzl8NBj0R+
79dOvUtLd/oGXpGiWU4TcEGeZk4X7ucxw4o2DGs41UjO/fN4RT4sj0QYxupkkuzGFD1DI1oZQ5zd
tU3DUlV6hEwrsmrNSgT/ggf41zfETdiknIgPFhah+EWWmR0wShn+5OMct/To4WmNKlBOMcqalj29
hyzjvnP851+Wv76oY0rTpVyAkyl9SL98J5swjNw+DSD8x9F843gOZ+num9lEp9ibalBy/2kW/AcP
wHKl//OvjBfDzMAb5F9yXfvPV/4IbGuR+Xl3HGbyFKKx30eY/Lk5dv/iXf31SXOWBCagOkyDWD6W
P/8DWZGAkVWVdVyQS86x57lWFbJxFpbQh3/+jn4JWy4PAUFPl1skx0TApN4vvzSGzW4iZpEdO9eS
Z6U5UoR6VNEN6oejN8BqbIqQQV0y81NDe5cO2nGJ1Ig1G5F615+nv8oC0tw1OpwP4+f5sPk8K/7z
H/Uvn4llETIF7ce3S8Ay/fUnxd7bNSUSKjwG0ztWvu6uYzlyWfq3Xwc2nxCgsdFBnIUU+MfPXtaq
raNIq2MRchnA52sXMQnoLDt9vs5/tdx3id+asi0/uj9nkj+lq7f/ljlmkOd/+I38VRQs3lXz/R86
dD//5u8RZvc3QsgIcIFgCWe74Ovwu0FX8ieMkRnV/2dS+XeDrhX8Zknpeyz8nJKWdPPvEWbL/g18
c0CEORBsO2Ss/w1p8Nd+NNRKn1RzsHAjWQVpdPjlG9RmRm9hNKDcOiIyprTvP82eUVQbUQbyzvWU
D8MDg8iuMMdy55pdss067sx/+Nj+wWpl297CFf77guVR84gTOWAiLNBQHf/zJ/3DOmIKVHFjolqk
tNr2OfUnvQllEB57lKYnncbBzQh+bCE352EJyLnUBx9PxtZKRnHg/xXv6HYt92Wq8mXmZVKcyvxq
lUHhQQULxdXspvBIobm94aalQSfTbLpKapFSZGvY96ptCH7VdnH0FdEUozYwKo5RFm6NJh02jvCm
pb+uWCtTDy/4nD1710kKGBJ8Nmepl3RXYPcpt6YmnbipjdaxCeX4vTQKcoWJe0uXCCKpTJBPZvr2
vpvCzBjnZyFVB3VGU8ho1mccmFTJTOMPx+nw9KeNeFrmCiisTn/q0qG9xlmK6JeoFK8AQeUfHZPs
I7tWc8eBlMp1XFMbieV1B3O8u0bSAb5Q2NPWTBzqy6vDGBvglsDYfJncAIdC4k7ELxJLvlhIMBxb
TfuLGgIDxyiGOLh/IdE4x76hNtvY8Z+QBIJssikH1RxaLNI3EdOIY+9jNmumbFdM0cR9r9bnqTPi
Ww2zYlsNdbX1dG2na00N8W7yBrENO3faRkJ2T6I2saLEpbPBFMgFvRjEC0SacNvg3No6jUkwpHVm
3lp9nVNSDzmu4UtEVc2THjAbo8X0O+Ap4cFGhSfgbcfbuqSvxpmb/r3OE38raYi/d3MfIlAoDX0Z
KhDa9GLh2ZE2vYDDxVWMIQvjTE4QrQPNc9eb3p3nJEsZY0pj3WzGezsvuPiJBuEPYuI+dSaSpa2s
Nq6aFsza0jYzp+s2ybetbK/oevgw8Mphf8PSTHQoPjhcbDZV19S3lEZ1LzGiEmyWrgRhGTFXLAzj
h4ejcev3xXSbE3raBEyCFtdAsyPwkm4rbj/L/yXfo4bj9gBG6etsG/ZS+91Pl8jlIJrhnbs3R8e6
6rwf78zKmNd11Y+bAYj1Cv/AYlVuSBzqeV9FXXefZYIU3ZLsZIyXbOsZiDv2cnzNco6v6RQXd3j7
o61jx2Jb6EQeVW1TYKqQVeAQ0oMOIIVsaVU9Z4WDNWSxuRTILdsiyD+cgYuVNQT5E0BXEEITJa78
G+Vaq1oesILMN6Ma3SM+cGICRYReX0wB0RpYKESLgoAGVdNfjyNBeYpg4kMDpJM6r8kc93RUme0q
ZZbNdUL03FGhPtwyxZUboxoxoBT5lB8SnTmnSXmg0pCa7+LWcB5I8hDkofivmuc9mq+4+Bxg9wsp
ZOP20rpEvroLWGS29AVg+M/XmSKsE5l4c3vLid+mslEQvyGRBhkYASuYQ5gsg0nkyKlfIlb9g6Mz
eWr6vroUg9sd56IXO4OD1F3Lj72uiQUwyHad73blxyeZdOLQDVq/kcCrH1iZfWBsZfNq17QOWl5C
Y2KEOQ3CN0Mb+ECRTI9wKdYjX35cRZ7W015AkBo2KkpQ39sK8EuoQMKQBPSr26I3wbnrJkouGu8P
s2Pqt5KoBxpQ+iDNOKHClcORAiSoNp1s7eseu57lDBJ5OXx2XCO8czF4zWtbBKW9qtQSlA1iBvnf
csvX94Zd4gKyzbZ5butqJswfRncSpPUJTAf5AUdNtC0y0oGlWZyGKVffKqugu9bHcbLKVU82cHSC
dEdmBBmNZMno3CjiZCdsyKG7darg55TKNMK6XdDiq7vi5GeteHHjoDvMyRLkoLGEehLg43t4UDAn
Az+oPuKS0QH2mab7QF1YWJJz95JbgT5UsrwrlPG1Hof2UCyV24RBweBgMsAdkVmEuSYJ5nTGhPQt
81IZrKSKyhc3x90WJOQmAhPzZzjE/hr6b3FUzBwQLSCjtdgiw+xqEfK19nk4ANeTydQHN1UeWulP
aYhWP1hJ7j5GFQTCHUC+6nvLo/A9DO3iucyUcamZDKtVWLJBY4ji1fIA2FuVLMZ+ow7d56jvX9I8
MM7EyMfwbLpoeVIOs1yLjoi/GTtYZuXy/Y+4wz0U1Cgx7iqKdj3Gk/zAISUe2Apb/8h0PEvuu7Yt
j51nxY+6qTkSWKCUAcvXtrjt86D+iPIWqUfFnvyK/ue8TYM/HaFiCIZFvTwzgvN/BrlHSDC0zeRg
cAC/CRN3VCujHupHYo/yUoxLRC7NvH1v1S7ocaOWD2ko62/UO9YPLqv145TX9SEpjB4Oc2SLXZUq
X66w2o8XZw6dgyviaOu1nF0GFzdP1w/ec0tOzb9rYcr/b+rOY1dyZb3SryL0oEfNC0aQQYNGT9K7
ndu7mhC7qnbRezIY5NPry3OvBEkNDTQQ0I0DnEn5TDLiN2t9Kzvp/MkKdQD7GaGz6+bx1s7rCBJQ
aLc2jt8u/ZxUNspV16QLHPQiHoiHq0f1w7OTtrrPFjTP2yGtbpyAIkBzIawOTQg440dROTXHrRU/
JpOaPoquEa+ONTnPrEfLm7Jc7aRj6vuosOJX4u2SI1UNAE3mj11PrTVhzKwAfxYmnfYti82z8N2A
3WtgPaqZcA7RjkR3TUv97d/guUg4rJlpc6RfOyOqbMOIFx2yV+XmOuf0XdtlwW+4WhLNVC4ua3PI
BIbXKY6PeNgNphxr2mAtTN5jOrY7qG8luYSE0gGHcNYsLeR60dyfZdbiIzHBEY39cj8OwK67Nuyb
tWOXFrVYsDcmK1i4IInr+3UeMWM5g1rGEU2q0SgPPou76UTcGgp3u63JjRNZ8kLZ4L0gyUGCAkah
mvYh9JaHvMVUiCiSR2GpSSnLOqfDAt7uVDan+45NwbxmwLjxSLM6T3E/b5MajiKR0F3/0UQerOxM
zUeRyWHHhiXmOnJAfbSgTGrhF/uoXuJ7vcwwdVyeUTfpgotnAXxIY2CZuLka9zuxj6arPpjNf0UK
94+Tn6T/0enJYY+piRB18T3/pL7E1w/p1WwqM+t3K5nbB/K/MsSwGOU3xAYHV7BhHuKov5RwfR7u
EeOhds3DYp9Fyj0wHPJAkKQBUXiebq811Kd1oBjfibFstiayxYws3Jb1qa4XdeeFpX5IVGJ1Kw2s
+0wOff6ixyhZMXO090r3xTHrCZ3XSeL0W7bS87eWZeGv43rK3oOB0RoJYUikQ7bmDro7xwNlIpy6
JNkwkGZryNZGk6Q0Y/laKz85oomE2Jo2U7+OohJwncEJvTBU3LGqqi6VP9pXRDQt/LgxfzPYkOVJ
x9raZBO4u0MYRW1xAOdbXQJWEQ2kSghhNooeTwvroB0tfo597Dy4kySctyME/ZnTJlE8uCNrgsSw
smZ6zwA80qc8JmIDwDou9wKbTHmL0ariy6QUKQxjATd2ioZ+r73BOsEo+oLNEN4zlIQ9OC+y+B4r
P77PORW5/SH5rTrj0j2MYGk2uWtXd36BrL63tP3W2Gn4wAXXnmss3mcgrMMONQcSNHNzhJk6+sP6
rdjmzFruDTwzCmifnW09+SQZp431ZnkLZ8hMbrPBvl6xpMU2vvUL1T4tk4eL3AzSuWLQJ+s5XMyX
yoroceYU30uUyUyJwbCAGS3WY9F/dy6qCy+2242vRMPNGaOAVIvYKDFdo46iIJ2cs8M3tM3m3N9q
z65fG+m7W4+Lhii1NtuWaeTfzUmRvImxu7bSG3Z9Xvd7bEdonXuam0un4vzs5R2SME8W46Gmx9iE
cSKPtqvmR5ctLkFkFfnqxasny29AgfeDDnB4iSRnM5njhEyqia1EwM1EsnYNXQo32LDcF21bYmLo
xvua6ovlVBRfEvaJBy+IybkRP4niWA3D4MISzHH9m/ngWG5CL4XRbk4wqQkupBgl7oxWLI3jA0JN
ErYkAILkCKzolMweAazxOV+wO8Z+LM5VkMI4JqUJunWjEOwLbVEylr+DqY3FqtfTS8PLtHNJHll7
AQxem7kfbixAHfFMRRuRfXMOhtF9dEUZnLTdgKcUOGd8K0j3EW/7eZx9U62cugMCO1TskscCEz+7
sK1lAEvXyhyiwiNFuUsxoQ34UaYNLJS97d+WOpiuKoVaQoTpKSoFS0OZmXPHWHkDV6Kmz6rBPwi/
FLsMqATrJ9V16xL4Put7c3BxnLY2NcTi6mCtJPLk2MuKY7SUnH/g7N5E1NTWmnWPtSWC12KV1YYf
tmrcPfEn4r2D2bYO27g4NWaBhmCJmLWFcrcK9MNh0Zn8gXzceb+pzp6ogDMgJ6l+y6uoPjpVg8AC
9NdTvrQ5Z6UK4O1WXXLphiy5S8oWRx9F2y8hBC20aGD6wuv7DbxCrSx3uBiEEn0ZIXq0Uc4b7j5n
Zs+Sw7xPrZeWjOuznDWA8QnmL8Jb/2jkGN6BCgufgwgLQYWBk6U/Bay+JZr2SKo2qAgvN0EFEQf1
xsP9ljCs3BBZ85Rpk1MnVN2X8KCDwycg750W/9g78mDyxTqhO0Q/iy77OoRDfyIi6EnBmVYBOFfp
dtdavrc2SqTc3i4OVpnB+8yT6b6abHHIE/MchIR+WiWJDx32BXG7luDXR6LWa0rD9y4OP8oy3CDM
/uoYbKCKgZEeB1XydJMeHMIBiwbXTHVx80nyHHf1MQzyc6CS8hQbdzl7XYIgRAUFGAiCo+cc+UuW
FIfIrtLjNBTx3tHjs+1UINrmSq8l3MfNorGB8HDU3hHOkHdgJ5D/cjATXwA9IuWFN+sBmuKMlLZ1
SAA3btRQ2Ps4LKNdnfvR2RSq3FphTN4xe/AIbUXmkzwuI5SF/mbpA33sihzrhH8UI4nbCIEWp2y3
jUjVa9P4w8V2fecVBzXuAtb/4VYh8Fr2OckY3iqHGTuuA1BXu6VPmzcL6fsmcGhRFo90HQh3zTmp
bf3c+OVDjvEjm4HWB/qWgZyd8P58V9Bj7siNIMER7mO15YA/2Wy92k6g0qfWP2b4P9etY/KNRJRy
BxZYbzxf2r8c/n3EIYz5gATauB+jFbRH8iGCB/ZFCsiCBsnkw/eOEQVrACc7Tw8wkoFPsI/+cCB+
P0HAQ5IvTTg/lgyp5SqwvG43kGWCXp7Iy2my+ehzGPu+nsLtZFlxvGo6dSkrF3tu400XyGjBRTv1
XZxi5V3Et8s+YgVr/BSGz+Q1IS9xHua0OJZD+pN0i+8ZvofDkrKmEJetKdDWxu2hF12949q01pMq
cM9Jy96CkJ+uY64FXbaVHri52KSrg/D7zeTqDXrbHCQpK9ag5oXyyy237bc3yatVKVZ3/nJQljgr
wDoraq1dq/XnKCdQ3AbM77HlOnjuhD1fnSj5HB254Hez3pw0VPfYboYvS2Gz5ceJXqFs8Wkgjk5L
N0aJYj3j+LirnZZlKIlsPs6XSytvpDolySjmQ/LsVr05DoGFVuLBCp3FG5EQ4SbzAkjKWCupoddd
k+MKH75Hu5crzdWM6B1RWo63E7uQ9wej9dFL0mOZm3UylS+tl1JeQiFMW83SnAscp1OD9MrZF9X8
wXrb5e2x8m06AbJaFW4xPNNk97vCTe+yCONnKIaHiRjjLZik5AEz7WtWk/boG6QDorCpFwUTI19I
oKc9iPc2BVqXyoJRnnCvGF9IyCuwOOZdFm1U5W1lTzoMa2XyoYU+uTlSEPvcYLbgdayex6xcQcI6
RWEfHtJ+vHpLaLpNP44hbj8s6HFbm4+wGk7Z0uf49wXAhMYcvLYw+6FJZbUt2IQf06Efd1buiaMl
EnnIe6I7CEaPf8S5gCjoO1+0/C8OuqTpAT7bKNrfPnOulyml/ROUvseEyRBqNn1BLENDTaQFukVI
WK4kVbWaxvu4ZNwyjnXz5uASOOTZPOJpsAKEFE1zy1fW3aZt5uYi8RttaRuinfYX73lJJtLI7AX9
xeJC+c7APIBXyNhgWDiPqtBcLL+E0Dxlhi/KjsHlRYBepD+Hq7Zx0letjHvlOdvKcb6Qf9Jfsshd
UFLaTL2OSyaDLb+2/+h71zpKOkUQyDZ5kPZNq79EuJbC6TmMMuRpdbLHyYC1J2zyN6ti8t2CYYaL
zt8rtdNbXnaE2cdCMMc9T52sASUmrksV3jx5+DjQA2jMwjfvjG2BoVoaiIHtNH2qmv0/2fXJ0QMW
dVdA8d/EOrEYESN3aUHZ8p0dJuMEFz9ubiRznGz+RmX8POQbepNUOH15KX77jLqg1M0SUnJmHrM+
bsUmv83DQ9ufmKSaXY7R4D1fVH7pg7o6wTs0zbYH7oJuD5wC6EwAzPspT/IfXTYN+yF31K6m0qSg
ykcwotzI6ULYxs0KJC3OBbIU7uCoogvU3nwmEsB6iyRekqyh9dj2lhAvrKYIYpFBnvfoz8rsYnpK
MnhB4qAnAeLbJ0pyBYQHCZ2ZPf/qO156jhDKEBbeO1sbgNyFXl6+pYRso0Dw2j990lA6Rm5/mToa
pspyUOxUKsbLg4ethXm4b/HgBmvhtQKB0MjNq5sS4xA2o47iz0EG3eHZ6p0LbGz5zFoyPsF4ki8c
/NX9iFl+r+MWh6fdte1eZiWra2Nj41uhKDEINNuGqw+K0uy2yIlVi0xhXWPq/Qo8zguA/VP+KkVw
N4aK+En4Rw9ZC6dfGPc7Yon503ZEnWxk4ES/oyItIRxWn2geQb7l3aMc+xdYyOg1bwOvcZkO8OIa
HNx+fzbG5nFVDL7Q9mi01Uv1BT7ZPwSNS4x6HNlbXZPAFTMeJJ0vXx7sUZs1ewQobbMfMDa7uT4i
22VAh2R0VdYQUtKsueKGJgKjNf5+SIZXPSdoe2T3noq2BfJWVvtckre04NR4wkTb/nDjgCwXO/Kn
PdJpt12PLlyGBgwYAQovKHzCIztuyh0ScL1gPJs0Qwfrmew0S/9PSvm/cjJoTzkjKE4CZG7E6gXh
C1oPLpN+gaI2DqK6eEuEqX558FDTPSZ+YIiBKZpdPchfFfZeVOdIxExJbYw72DlD5Le+yGCJt0RD
/AgHERy8BsHzDc+7nnVBEQaCzWJFVGRHo6U4cOvSGssTjqLqNUP0d5WCx6/yrfg0msA60NhNwCOK
x+EWl21YTO38drgICnWIXnrvLEwltxqGyjHvK+sKIytkiOG+JA343SovWa90GDETy9Nk12eM8AFw
OMRRYli5t5bWvghQs6sgUtkJoB1NcZ6HTIY8jGSVeRISwiDgRh944CROiL6eZzPccHnVs81LtLLV
tOu0H27NABW2yK4z0DgSVht3ZSQK1NWSkxW3VuNiH7yqG3aSCoezkNGoux1CzZk8oV47h0TDJ0wB
OhDo8wSxT3gcyAKE3escWt5vPKpMLWvEWxQWKM5C1R9rHsPNHDRIbMEhNLuGY/FuSHrUtcuynObB
C+6CcCjWeZMRduI9ej0RW6MbfnkZiHwTXwKm3XtXQcrtZucxpC46pwkpRC0KrbJ7m8fsAxwLg9ae
PJm2Bv6QP5K2m2wWFizPHRQr+MHgih277s7AtIaNjr3kTcnMO6AKpaQxPfR5XInxIvxNmzQuRDCy
u8ohxHbwaNg13ZHfk50y3rWvEhRJtC78hrIbFQAuOsUbEFfqIka0yCuAw/Y2IJko1i5iUgEwwuM8
XblqSUHjsBIEv2iBIPbnW7wwTPe1rVybkSN8WactQ77GoJRvdpsgrvbHRh0DAyRCMGvg/RllfeE3
zU5VML8OASOqwpK7mvMN9M+NHWNpY/1aiICC75mR0DQt+hg3FakkIWqFD5V21gt9v3OBJ6feDFS3
tWHGnoBxT/p7zgVgxPHoFj+QqulfiT/Q1zE0COEtMG9Vy7lHF5ozvXXHNzX06b22DK/xDMmhZsc0
JddomTK40ANeTiYJTvhSCK8/Jrj3Oa46W39Otq9ex0Qk1b7wmVNVsaoBOBjXrakGZXEfq8Cqbq4m
FKpIIEE1+EEKdNclOOF1LEi2ZR1FGVeNMt3RUbsHfyzTZeXVDWG/vizJE8kn/QEt9hfGZGs9zODZ
R5xmJPjV2cZu5a+Cgo+F28LACjYiIxH4rsFZyyHlpKj5bzM2VX83e3VCSWmrD7xrvEv8sN3fWY7X
/3QKzHDrXkb1rhm1+p1RkO8WDSQluJlN2bKa69gRoKU0O+HOmwbCKwr1OHo3hgmJ8zworc+3Nyae
c7Aw5rN/SuZ1RmbrbdKF2rp39DefzriryO1Ae5+lBxT5T5jmWUMWkUA66aLDzqKsuAPCZ56ZrCW7
Fv37sujQXiOGLgfM4h7+ixkIIzF1nkk2vojUT0IqBr11C7s99VZRvqIEJuibqezBByZzT3pY3q/9
CJYIUQ/O2mk9qkqXmDkn9rn4TLpjo7hvJx7geAm+oN3Fu6CNsMFpt91i+ByPtazlPdmIX2HPRA/S
gCxW46Q/3WYY1z0g/m3uLg9joouNbMpwhbp1XCFEndfeUC5wqz6adJP3hCU4sr6yEQTnMrbiNW7a
jZ5zPK/EM7xVmmgVg99xO2bjRLaAwHdUdCenUnQd/tId6AKTHbrP6GlsbM760fthoiGZt9nN8G6H
eIxha7hbwwjsyc0jrB9ZpdwXlk2ouJFsP07VlJIDbZnPaBDfxcLQISdF5h6HQvlWpdwdNeZ0OKdh
isE4dPZaeUW57nDlEPDLxbCsM0BS55SxJF0HiTovyWgPT75k4bOVZRrrdYlB4azCmZIgBskGeIU7
WeX+Olocc2PriUOqRr0ns4IGjRwJNojH2YUCxMPib283tU/jgQME/WmDIIDE69Z+M2PTrRC1z0xT
dHFbzIoNbHa9JdTvhc6MKmVwuz0gAecuI7NkV8KHJx1G/mD/Fp0pRLJLQTW5LlsaGhJcvLMCXUGc
VQaQnN3fXZEl6t3HIlrG9kQ8ojMfevi5B1zLgOTBEe3ysbefkknqPUsGxpxDMzXMbuam3Q/VFD0n
2uDi4rXkd2UpSAymiwY7FA98qgASPZwQdyIaCQWy7Mqs6gWd0johMvtSLcb/M89VWezZvtADsnUz
p6kjnTlwF54eZqkv8eKO987YPFgx7m6meXetGbyjW/gwcIkRrc9xFTOMa2218BM6Pe6yRuTrcKn/
YB3BCTp5rFT82hl/F0gHdoNVRBBXCv48EGhyLygUgL2ZQ1HOhLqiqRZgX6zJX8WqSt/4fqGuttke
4ovk6mKvDkNG0LYZcmGy/sN2swSMDYGcK5BWqlu5jOkY7rC/szeu61hohp3RgwLmsVLsBMlYi/HW
AaTZz2F2Ziim3I9N6xOhlNAYdE599ivV/wWB5rJhZ079385J+jS0AfivMuudeyfmhIac9cCuYZdO
PL+lml9FofLfi1WmLxgE/N9s4MKLGslnx+KNSruLQLAGpItXnIUCdzRRVx8WC9l7onsQWlaV4KkA
uWnnTvNjCm8McBPpHMRe6jEKpmb4xQyUzkO2zn0sbUTGOHVxnULaZPFvjnVSgVPvjWuf4zLl1c4G
FkzWjXA9WBCqTfcjTKg31l6t7TPTZ24bnansV8SwkjbBnby9M4kM+JCCdVOP7TuDoc80WX5OJiy4
xr3u1ZFJcUxbBcOW6zT9EPSf78Nss9YZbXs+TMigV/QaPd0Uwu88oGfZxGGqb+jp6jGYS1JUcS3f
D2XpbyW8zAMReAR3Mekjd6GPa3dXoS4Hxr7KoolOdLDIuXTWfzU4OWOJ3eJ3eHSpILq0Fkwx4t4c
Agvl85JY2H1bIx9r19YXHzj1aeA8ekLkYa0XJv0binbzAGTcPchhiD+gzTivbT4Q5Io3iPOgsBFz
4Jze9+NtPk6wn7hmEp0tJ3cZsPAa+vXU5Zs6VTcvVsxNkELTLsGD50QlTSgcLSEv9gi+YKigh6+q
xZPEhgZYCr3Wq7ZI7P9kEBE3Qx3hWugz5AxdDkQKhOOLz2x/ndoi3Hucplv2u+XFKuSD0tWyu0Fg
V1It/nXu2pp+35ifunBarPTBFDy6LL87WiTwsnYqyieWtOEzwGTzwALb+ymDpDpbs8derbL1Kev8
eVnHcTGunToJnt2ZLePsDB89c2js0ERy3UHAyXcoabo9Vyl6l3Qe70dZPgnl5RdDzXXIwt7ZuFPw
Bio12fTQ0SklA5O9gr+vHiZtkNLbo5u9mXZhR2AFC+Km9Bag6Cx3HQ/Eusoj7ayI2jr2Sb5Pyik5
qTJlHBkFwSlT6tpEOYQipwwOVT1X0DQSvYaEV/JGmOkkGoQzhKMx3+x8v1xHwWx/4ApB9eE4zrvl
OU9BF72Gppkekg5PiR/RxeVdH2/K6RZ9ZrLHhD1hihrqQGw6708Yzuc5a5i8Fqa65jVhYlWXA1v0
p0d8tcwNaKIgVJfE8tE8OXcNlO4Dc79fQd+8uPZ8jkkYoRJTJ8JqWdrYQTweMqKDP0CkYaItynCP
c718BSHCwTWwkz5WWXUStTeemQmgCXGV2aRCtm9FzgcFtHBY0Sa3wapjUQ2P1+tvRzohmi2Bcru4
jbODtFJkHdB/1qXdNrspB5bE9TVLwE0xe1lIusUjx7TG/urmZsvNUe/YSdrnUervphPMevpYHYgx
YLRXsIq8cm4pLCjOfEJP4LKdjs0LcEVzDapoOoSkvz0hsSy2SxoxkgpF9dRSXDxNwyy3cVI2n3NB
FC2EbKPPpiSfLQnJZyN8MnrTEH9X0H+464MMDjhvPrYk1kvhe5UW86ZJa6YGSW1t8kqS/16p5JhN
+BnLxJePIvXSK8gCBuVLQmRxODnDA7OB5FcBQgtnRFO5a4dBJHIHBMtAEdwPfDeG82wBUCeMOo/g
XLr1nJsC3VbKPgHt/682Ct0ThUr8iyEhNUR2G0WRHPqY0oSXNAKjOgXDx20U9G5HqLLgX9vD5xJ5
8o3pRvqJPm25Z7bhbOMwsrZLF2bfieWKpxlc0pE0zeIlyqJky1qA9r4ilA9InP+sbGHvk7FVoMO8
5EljhovXjTsWpyHJ8j/AQfQzJAvNYmaO7tuwVWSjAeU6AGN1t1YWRSfScJ1d23PX0DxX9kNRzBMK
99a7Y2UFdqsOxpxHHjAlGwPQUSMNuFXP+XNeWz+zvgt2Xsf9ORbRKYmBDyeO6u7j1ogvVWnGijnv
DInTA6HafmohDMI5SN6kPPY52H7GM/ppWVgXE7Q8djBm/Ga3dAwymgwPLaZu8UdmQXRGodOQDwzM
hr42GpMHj+JgxzIuOpU17+HUwZmA3kP82uQzLWAbJZ/AOUZPWRjWZOhRewGOeuZ2peZR9NJcv86h
K32fXVqSn/u8MK/elCyH+WZGd61iYGdNWQvJaMzfw6yZGUZbUfIBN5SZW1hkE2MH5tvI19kLAQrP
dz60AayMN9NEk3r7IGF71w+lA8JSscfLyNlkuzM/Mw0bDkqRHjgtt9l7Y4/9H8Q1M3ipWD0vrViO
eh6LNd8baecyDU9NjqVWs6Jf86piHnTLifFJ7zNXmD2LVALG5jyWbLBLc9XpAJpODCjjcJaNYRTs
UJNRc+LO21esbp574I10zL3Cm0bEyLoPxKRoKmdwa5anuClwPeYJnwHh3eQlF159rMncu3bZ2N27
UY/3SfD3jxeEgqCz3YCPXHxz4Fh3GpLQsMVzGWD3JuljWP0vtGJZlsmCoBk9KUB5Qf2t2jraGhUV
n8Uwx6xQkAy/egX7D4X66oF47OwH3gt9hZ9FzCQq1FORa6vgRMqqx/8Wufz/R3QMgbkAwfa/GlD+
LyX86assx3/6n19l87//6fzVJ2Xa/VtYxj9+/d/18D6q9xspA623cF2FbvRf9fBEet0eXmTvyOLR
zKCU/xdgtfqbIB0QKTxwajgWN2H+PxTxjvyb9D0Grq5wMb147n+JluF6/946Y6HRR43OEOM/uCkq
OcZiBLGMUq/jEbGiiReBUSpXR6qvjZt79famcCEYxeLVXo2k3W0Z+bfn2bAuwbrZ7pCYqqtX0aXb
M9vSglvnUNwUN9YQIblqrFiws2PvswGjxioucsjIqIeZ1EakqkWfzO8Uuf3eB+G47Vs7OdRl194z
nMrf4y4Cle2zsChvNLFpLPJzGDOJrRY8nc6NOlZWSXcCNsp2ApHBF0QO7+ynzF020V/Qsv7GLwvY
zLKNhWmmGZmS/T2hJJhuzLP6L/yZj3/psowxuVXJjY8W+0xZbsxe+TLc+GnD3KbzuW016AwkBZdG
GmsXBXW0n4GvudkChyPwALJZFbHodS7zCeUGIoT6xm6jP9HIGeC5tZluNhTUy6eV4/KFrukcxI0A
l/vJjOQfB9e5j/uIA+/vzLjx70GgJTMnCBOrBNHKqsZqeVaZ3/x080VD6WisTQDjY539Rai7serq
rMrffTU373GK3tN2G/nhA8wjXVAlFTGczrxf4HUOtN1p94v0wujkjOjC9wykcxtDK3EvEzqhesW8
1XqxrNI3d4vrgxJfxiL8A64Yh7lZuInTwurORJU2X1aT5hTKrg7XVjkM29QuSI4ilJs5W8NqbT06
3bDtacAOFQDTLWmdYrOQuLBBw2hvsEFR2bHekE+eHEsaWb6Fjewcwp9SF8hTEOK2fu2dKWD2oGUL
p9XrkSMVdlnSgeZBfF96vnMMyzZ5UBLwmmjI7uXrxp/Jx9bVM/rjZH6I4K0ACWIc4PJbyoeOv+LX
iEYBBC/50KAqWIixTR4MtLGp3kUEKkgEgGV3TFxr3pWJiP7MjcffqS9DVUCWo79DRswsmej1Vj75
Xh99hfaYkyEcWfzPCAn1NlWEioZzCKaOLNFLxMZyYyN3fqxx1TI6DFEU7MaFjkiS7vyUukX8h+gk
7I5R3WxneYvRVjXZzKui6wZATtMCcw/B9kihG1j2b8iq89dCfffq8MeqTW0J5w9p5QGvNENLplBL
2bModwLb4v0hhmTVaO44aNEVobAFPC8gEIWs643RKPhChS5tJy0/cB+SFCU9MnGqeRpm491I1mRz
b4mFVc9O6ufTikUEVcSg+orIPdEGN9XAaH9PMyGtFt0348hyiVmRxpVPv2dH6iSwBfcgVsPwqTDm
l7Sh6c6iVr9cgrMONnueJxMr6NEjV9yCdPaBDwXmqAga82aImv3CfcTy26NVaOZogPpK04IJBk6A
n4cSYntf8m9dCDe9wcH4nkxUoD7NFrhTau5SIla8cGy2E6TiA/B8AM6SGGKpEV53Em7rxgzW8Aab
IvmZLtlEUDtDJ6+N5usCLPQhrXrrNMyqfGDjRYpx3FkQh1wxuz8sNgAwLn2H1W652PUF2oONKaJm
Jx1ltHGJzTADKglpp+GPvMqbLeQ470KzQMjQyAo5pYi8MDFRPwI3ZlpS3SijSIAhxw8R2OPG5+xJ
kYtrwrhFiq1dKnXE9VGfSidtEJqgbEo3gy+jS5b55jB7aNeSrrTRXzZBdFG9QD/ZWTbjN+KQexTj
xWB/qcYNXz1nZGnW9+FTvRSPc4W1PzYG26gbVAQNI8FZGTU2L57S4blsCpwCrpv+qmXinkZwbTAv
R3vvuDCridRLt4roPBwqdX4gHUURu5dMW5YR04ZXvdsSeoR1AXXfph1c6+ShCPos4h6SQMpmYa8A
1q9zRn1Xi3PvrsQLeh/2kDcSFekNu5L+SXHOP7SxRgWKF9Gwf8vbPTWp++CNbv4ieiv5Fj7QudWc
5no7BjI8L3SiBzu00wN6GDKD3dg6NWGiDgg2qxpQYm/Qb0xldherW0oNzoDlZ2yh2MryMn0qIbsd
iWh8ZPSGrIfT0iXuLQvlJ/d2eIagwAhDqdl7XGwQ+siOoaiQ21XSz/RzRSU4mDc0HcmfLMvjJ9qI
6EU2hnoemHv4E4caBMq+Y/Ufy+5rQk/0Dpyv2xh7QTyd4vNw3WHxiXYW1q7yfBfjO7Lwx9I4/qXo
Fg/R2TJddGe5kJfo4WAwieiEa7teLXY8HUOZprs4WZzjYGnGg4oksZ1vZcWT8qEeESVL7MLSJN03
LWeaXKWvly8ED4KhaL7YEqdQrdaZY8wlwdlDzmeEGNUO3MsSlPpT9nGGsNQe14tXqr0Oy/p2xgdJ
A/EQUAfsrIpoA6e5LoHHFGAJW/nt6PqWX8zxm/czGGw7WJZVOwb9r2ihrxdLJXd6aq3TEizjdxlw
JCOU0c9YZlg2+q6CXgDS90R/nn9R/DOZrEIZ38d5YsOiRsW8o5Nz1jeN0XEcXZfboPHHsz8JcdYl
FP3Qssc9gr50z7yak87i1xxTEQOibyPzkAWJt2cnmZ16L2j5NIf2NZoqlItcJ+zWZjRIpu6fJtUR
LhBE/kufhUib9QTnFa3iJgBIekZGdSXughgvbTHLX0gxW/mZ519C7tWf/y0F+n/qZ/13Cbz/j0Tu
OirAUP6fV+iHr27+qnCRf9/wrvPx9//5H+Lvv+YfVblPWIxv276vBCDM4Eb1/4dL1f0bjkwPjj9/
BCy7m3H9X6py+29BKD0P+7HvI638Nz5V6f/No5gPQyGxod9+5L/gU1U+5f2/s4fiqA5Rbij+FDug
c/gPfvZcSIhUOTvHTFvBPeX7hJBrqcod9owMr9UwfiqsBccKrVK+AmkrKTNcJCZ5S+4R6UzHrOmQ
drn8HghIs/CtHgMCvqfKvy6L7b6mpI7cTQy0j3PpZD9JKXPY/8XmWPH/A68rzXEAqIeqSQzu75xy
j7lpOw5X7AnyBVgbnKkUtBT7jEbedYFXvMhCTJsgtOWpSvDi9a2Tb0YQdcRceCV7XRTOHuzhN5Ba
/anj1XizmyS7AxayS2eGHAEGFhwabcjNB4IuyyjHPJ8WWeWBJAPAEce6CEjyjqmLUGjVMWs2p9qn
PXJYisRi47RjvgUJXT6TfuOvNNP46wiegJR0eG+Jajj8Pfvium5zS0OxThB83Z1C8nB1pXb/mboz
25EbybbsFzFBGs049KPP4VPM4wsRighxnmd+fS+qsuoqIrMkFHC7gQLqSSUl3Umn2bFz9l4bvVYc
33aN3pzyxp84fVgZYnJZAwapDdw3ZXeTZEFzgcyTnkxC1ytu1dlrq4QFdoAvMrTus1HhMZm0rNsD
HqFTJMr4MknMaqdYM5dNVZBj1TbTq5uyXZjIVTY5cIYVZPQRELhNAkzVqH0lMaZ6cfEd/EShVhkW
yhAATUyDqRn8h6bz+6cx8Oo7MMfehzHBZV1IB3EWrl6Dmdqocw66oDGXkl5jBvozxaoMFxIWTLFw
Jnt4IX+gR5HuyfAqcwD+hk46HFxIVOuqoAm+kqTGh6u8dd0VjKpRLvmNaA4E2KQkzaidcD10lOrG
ONDA7Ax6nnqO+LKq8+xoplJbe4Mqb5OR5yLLVF/WIcOvgfbDFEAEYhBvnmKGUoiVs+ZxiCzYbY7b
PtpdFD7kMH9WdandCCsqDlHXi+9o5dSCBGoxLKK2RIgT+eNwLUT0HgTOCw0h71RUE3MoVLwHkXDy
a3uEVIsmyg1jhkK1MZKzQp26ro1ugtwxUIDV454uuX2ZFniOtRjAUUZiQG/73bHDHP1a1SSWjkL2
u3nfOlYE4FxgZlgLf/B2OVQqn+rStK5718kv+6YfN6NlDXswWuo5MCsL2+bUaU92qMIHv0jiiyzu
+5fUtfTX3kMvFzDxX+W14xx6s6xXoUuQgKWuw8Eob8xuSJdum3SvtEPLBzWg5Kry1nwuSBcCjdKZ
pLmZnm0AQEQ2JKn5ghV/tTj7tXItki+lfzADBNoMb4pLNYS4qZ2iePSw2tNsTPV2J0pkIEs9LeJN
5CXYBElOXXopzVO03oZPzZWal8JE6N+AlOPz6oAOAQIa/YOVhva+xUWxsuEHnTy7ATzXROIyRKZw
KjIOVIivqn3d2RX8MDsi3RgIv3WKA5/JFJWm8YGNyfhwYEV/tJYqT4KuWEWJXE4Gmm7mvx0CReiB
NefGJU3m/p5AhQzuseXoyTJTLfWiOxruinxQOIIAPtWhNBljr1qcpyeBgWedJ6a+aSH1ZavcbnS1
KmTmOMssIpi1Me0uZLSlOefGMThTVizFz7bk/LXwBmtExaoqZpjj5Gveqkt6KvwqtFBgk5AUHBGN
oJKWAZ0ORsuIb7Que6/TyRqYtvniRVZqUIusqIPngQhmuWBBpPtsZ5HdIWUVrf08ZhLwdqCZzr2h
YzmET9Q/leSBcFDHC0oSFv3iC63XVbZtqOwNIPKh9s3PB5Fz1irspzZQqbN2OYhd6UXrnMx8nBft
3htZGFHMgFpEd7Vh3jC2W0foA6gA4WrPFpFIYhHnyAQIIKqH4QTqNSV1KxRFhf9NK899Akt4PQyN
Oax9YTC6IjwkqrZjhgQSnYXKbwkIJo6TI2ZO4edV9Te9mtxo0baEV6EfUKK5LQJdO9jVlG7wfTUV
xviA8W5U0srVfYRUCGXi9pncIEstwVPS/e/bXqJEreeshlazGMMQiIhqLDEiImxxPSNGjY39GCXW
hWE0lNY1U7PvFRkIj2hY6i1S3zGBUq562qtDmdyEKOEfkTrUp8SV3wlzr15V6N5IFIiUwkwm7QUJ
Rdam1VOX00s7vJDYhaBBtp31IhFfO7gMgdTrxDJAALcTa+sbnX3jxc7kXPmxp2VEbqRGSTe36jec
AfgC5BA22zhxG5JpMc30y4TF9x6ny3DAn+I/6DBhyVJPZL0qiBXqmdtX/YfhsKuYLseKJdwjnKdY
Lk90jGo8n9IAVtqkrbrQNLh+zNYt56lA0neHNI1QiNQWiAHx2w3LPJDwTCfP67YefND7Fjfiiawq
wEQxdPVwnYEpfELvyme2IefsaVXLjE5ViIQWyHS9JzikfITfkMqLkKl1sfRI0VVLOqcJunQdvSln
1vaZMF8kBxonRXtBcETyXmodjkn8L9MZNytvTOMZyWOUJe2BNdR41Y1mfESZj68rmzMdf2S5Q40w
OQjzn/ZxLAzts8u/v64703MXAZTora2U9lwm7FBidPT7NEPIbzDq3JL44j7406Dd64WbXEsTMB0q
OQbgQWOmJzPJAE4Qj95/sOg2lwinDaBtUdA8dJ0cm9UUmvmLFucFpyEDjGJpFuatCvFJoTOPtW8Z
QC/kjJZOk3RwcX4uhedQKtBAS145fE/FVuu6iFZlM7oo5cKcSKZIpPpTk1btbZ7p2YcdSCd9NJDc
w4gfe/uGhKLA39g9KIqqi9ARNXEeX5GRi3K4YbAFocJX/cFj/LHA6xdc901ADgYjZwyD0N5oYCTf
eFaE3U6DUzz0dcMu0DXs79KYbuIq0IpFTCO2WvilwQsSQ7u/1uw5D1yUGhbAKEYhC8XTPna04pj+
eLbt72gIui3ybFGN67i1SN/0AtVczs4xfp62qMOliAPvCdAHdg2X+BRagNxVCLXFQ1sP1nXThy4o
15DnHsGev2LYOJ0mTqwhI1lZ3xBtX9z0jkdeUKPrggGYge6198OU7HlMbtiVzXIp2eH4ZajRhpPX
GhsjN1pMuV0crqNJRxQJ4QgLSVRF5MIoD/qqk4lXFJH5g1a6qNgQ8elnqxq4I0TTlDCTBu5QIYtw
Zwy+8xqHhOmBbeFj+ag+HvD+9NzfYERvJm3/zaGe3VlJ6z4gigfNSqYzi18jzvFkRqdkVN6w0lQy
wViPaBeYsoi3qUUYDGIVfbS3OeTGo4ez+DAQ+eguJ2E3BEaEQf3Sg4lg1gva73tSuOmHx7l/T6PQ
/zY1YhyXfj25RzGYHIJN/WKcMI4t/v+eB9+G//PfyTcC5saI5d8fGo+vcR28vvcfH8Wng+M//t2f
B8cZVj73b2zLhGIOoutfB0dBMqnBKEc6yjHdH0fKf+KNjD9sHWwVB0M6kvDz+Bh/jnOcP4T147TH
mIfjgPWfEY6+BPFZLqgkG/2zDk1JOGhWZu7QT1whlfdeUJlYAK0eZ34KIayniein1QvyVzqTtk6B
iTo2qtqth0aCZAL9gaRF/ZjX3ZPZR88o8Hhzpjk3tGt3TdlckXdO4IJlzIcBLcTjUstlpZKnxpkl
Om78hEZg5XbjHnIgrfJ29l1j0xJ9dPnT0/gbbtJnpNyPL+eY8Nx15DBgouSXL4e2KcA9AJB4SKMV
yDUOL9+RnVzplr38z64k5+O/hXYVijxTOxdY/s+30dcqw+7IylvVBgMMJt6QGY5jk68MOCK/vpT5
9axPEiGtOZoQljn3IsQXKBVN2T7V6Git8Mm/2R6EWtxAjw3CeupRAxRu7i8Tq4tRAoPesTtQCbol
UYZCD2Jz7wGBtMVWhvYzf+suy9KTpsS0Uqp68rX+kFv2qwhWUhXWSln5t2pIR6RATPSGrDyO0qdB
pkIg66ZO27itL4ijhuTRIVeReNlXgTe+Wt30XJbhi1natNdjXf3mdhvzk/sZh8WXR2GvK5orULno
oXy+37AIgm7E0I5my9kGyG+NdIB5GqBCZtDm5k9FatF5xPUZEBA01yiyS9+BkH78+mH8uNDnD2Ib
sCdNWkNSOA5RBJ8e/BgMg5/6BFAkDR05/CJ01TX7yfFr+q5G8pa08UGi4QModKja6S7HOo5H0t4y
/kiAlYhrs61u50QpDr9b2vavU+S/pKOxmRJ185sPO4Mof/6wtmVR8jvQOOc+FovL5w+bYeXUYg5m
a12fyBjhVG3r/Z3s9NtSs06M9+7qNr+IXGuHAHMboq/ldI/eRJLdy8y2mgh7BGlpY91YToA1A4vE
1aKS/9hv2Ab8j/xvXtu/PF0+p4sj1CEVQrrK/NHt+nlR8ksbLpmtQdVJbgsnAsGapj2BgcNlr1qq
4Zp036inpWJRLMfV9NKVE0QURNLUg7++afM9+XLPfv4szhe4p24VRpLYibfy4MwMgNNi18D5Y9I8
Edv6t5f7sSZ9vR7NRB3hK9N8oX/5QdnmfEYgbnYF4AyrI+SbhdOg109pA4zy1iDmfYPiMF91uYaO
L7XDKyuA3qEHL/ZINE8UEajr92lCGzt7mmXFPqkNSGLvJkT7B8JcoShQaRCsGF67nOlXDTphzZyO
DBnAcFiMO2EO4XtCyw1rxVhjsT2ApmO2kGF9lrI8JqXmbzx644vCRd/VOFgN4dBPC5XCXhMwqDgq
T1e/fhCfF3OqqLmPKhAwsFeBe2Hf+/ymmXqCv4UHwXR8PUkfFfN5iBwooadfX0j89TVBYIGOggKT
C0Hc+3wlNRGrnXm802ZkcyiNPzJlIDN2yNuYZpSmWweP0dDfynK6aNrxxhzFs+ek88TGe6k8mgWq
fgdXvcj0eFcl6AKa6jTkyfbXn1P+9af5+XN+UWToALB9UZQx3CZrJmuBsLBpzkTpk8cGTQhBx6Gm
6EL6BQEOxCE7VQPKdKeAvgWaFz7HRMSGrDXO7KW5Y4LRnaq6SvFK9/GOBB5v65eW3E/MSx84Y+dY
5JpzlxM5LIsW+XVDR0oTOK2A8UdL3J5M50F4k1Ut4cD10N+0EooAAJ+WYVn+ODTRqxcUqKWLfnzB
uf4gmOSsJiqH7ymzZaatfrXx2tI/0K2dNhD2H359z/76I6LaUXIGRKKGYQf5/GjjxqXcMDN35SuP
XGVQAE23DE176xVi8+tLfQGyzj/YHzWHbSpBvrz6GiszRDqUIjN3V7jjzH3bTo9IYs1DUXGWD3oA
UGBAYBSNp9r/7ttQYHKznknhbLB9g0VnGg2Lh6KqK8Mdf/PhPot4fnw2Gh+8tSiFeJu+ln1J1Bmp
ggOwitJkP3K0VNphKu9/cwe+VircAXr+LGI21zDEPP74uSqqROy3nZUQaUOTFDzCsBuxV608RcR7
GEA/gu/V+0XxmpTqPurHa4XrFX0FEWwya3FzpAVz5jCjkz5coRwIjonWoHv2bPmbguLvPqnlSDZF
fhaIf74sLg2j1ARyjbdyrJxVJUT8g9EcUCYMaXQFIM3sja57B4cs01/fJCr5z/uL7VDFODTLFLsy
k8TP94iM1GbK/ZwsmsJ+8HqbJYbRoJtDwBI39OCWYVr+5pLG313TgsFrSZcdFjrx52u66QiDIlaM
OUpvS7QQwfdhMewLCXRZhJT2afsWxN09Lr3XKLRexSSCpad9a6rQXwZanp+dIfseIZ8xcnsZRne/
viXyLwuwg53WcSlw8XQ7vEWfP9+glQYE9EZDJduumGBvPeVtvIjXhTYqIvJ4Sg6SH1E/CBIFg307
WS91XkGIs7znqpzAZVvyRvTd9ygINimgCp/MGryT4VVvxVvwx2xVOUf9In+z2G/pMfqbjkE9js54
OxWy39PvKBfpUK/GoQXdreqPMdXv2lE+Y39YMY3fdAQeSN/r152JRfXXd8Ced/lPVcCM3dZNeByK
d4dO0uc7kIVhw2kjsFd0w+9Eqq6ZZe/sDHN9UQwJ+bA0RmsVnAoQrEvD409ynFUARus1aTo3TdXf
SFSgS10j5zuMJeLWig3eZmhGp8km83WVuoh7DLM6+viZ5igBuKS9v6mwBM2J5HR1ZL9i7k4YCg5P
y3duO5NhlQhPBklMcUL+LdOyLqLr3euIcqd2eg9mzVorynPVhquOD2roKbOs4ThE0TFOUHwNpXrt
mmalmaaPD63fNo11YpKyLTmDrAccsAv6kRMYIkRf2BdAdoAcxOnLYCYdVqMRD5tA1kswlRpdRGMv
VPGGFf4yT4CiMglsPn7zKP7yJEzKZV5NjnazKvPLytBamZfZDAlAiyxL+B/2rst3JSlLmDt+XOl/
GyP9X6SLFbQ8+OX++wbKVfvOSvJRVePP/ZM//9k/+icO8lVXKuLhOO3NQ3QWgz8H7+oPdvJ5zaRn
xxY7/z//7J+goZUzBhoYuuXCbRL/6p8YzOQFUEXXNOnXIdz9j+SwX/cNiyXKoQljQxefX9cvq7cq
XIB2RVuuEdA9e6BOabnicPRbe5n0mFzjcs71dO1jkZlvP92pvzklfS1lvl76S/UnIoPhs14TTkaE
28IPoJ0EYEaK2PvWl8ZvQw7mb/JpRWIXN0yHDhbNAinElzUZ1kvEYYtk3Y7UK9QyXoPG3kah6oh4
M9bFk05y1ZYnXa6TpGXCZHc2vncGaJ3VPiHSgegx+Q9RGl+NjX0iOmwJ/VXR1fUey1mPEJc0XzEw
HwxMI+tf3ys6bn/5+FR8Drh5KjHg8/LLayyqtLatrgTmFTespKYZETvdaBXhUHCWtWYi0K4YCe+N
zeHKbaPwVnrqUgylTvkGEFVvy6d4skj9cfRnTWZHUFpbkcfffLtTzEbDCzpf0WLo+bsi7RHfzTok
v3e2eKw5TTljeeGXQr/TMh2JEV4HxsHJaoS6Y0/XI7TbiPziTgU3UmHuG/tvNatl3AdrZuYrPIbN
0g/ja4S5N0UycvR4H2eRL8O4l4G0oC0Do3HFAMM+5ZXLIcxg8EwaS3vBgS/jnGoluJ34MgPBrLIy
zK1IhH9nxfp1piXYrV2ubJZdcmRSPb7CpqAn7UYDTb2mOogoGXBtZrq9YLOqVtJoQ3KobPqDSV/u
dAAsG+bpw0ppnruXaI6PjhNPCwlaEYOZJxEy1dm+qXPnxURngOopzC9RdcAbdAu/nek5L0PswcLq
A/GtUBNmp7bR951x6EXQn3t9ImhKd+p6A4Iy3yhLTPuM5CcMrhPd/8zYEKdYvIdh9B76wL2Yr7vo
Yst+I605DQqXcD4Ge8zPz8zl9yWCRb+j+WjzaFQ9VjsDLcGygAez61MvWiVpXZ4Mhy2oze/shOf9
6x+kYAH69Do5ihM+rzC9X5twlK9NPGLcjLJoRnImkyTzidObcnzNZQM6MIOCsZ0DDe6YrQ5H2I/a
S+ApBm+Fg4/QC8v86Njm/SCY1HdedgCJ7HwMMBNuzVhPtgw/CYZ0Z1OymcePiHDakw0/8/uPr/C/
vV39W5XYf+tUQFiMlH562n8xe1y1WfT67fOG9uOf/MvfQdedjUuYlHDgEFjY/9zQzD9YoZgE0Piy
584+S/o/lWTiD2XQp3c5LbClzT+XP+cBwmUXREPGP6RUpDsi/hMlGUbELz9M9lOL3VS4jLv53zx5
+PnM5vs+CXmZyLZt29W7yojb1yy0CiZmpndlJlp96EtYUYkm8wOcoYCeT+ZfVAMp7q4OarAFffjg
ZKN6dys9WxL2o21sQ5cr2vvDQYuzgOaNRhGvlLcHls38dphe0dxe5bBYzVaMC2tIDwys53hQB2BI
DmYWy/vZBHe/7KbwQeTy3ZN4YjuV7uManz1cV/qSpk5xWBbsvaNwwnUY2cZ9oiBuQRYKkr05yexU
xON0mQGRfIMyoM9ODOvbGIpgx/X6S7ZzbSOkhumrsKT/gMKcCG4NL6wcqWgr14tfVNomWLG4KqAR
H3oaMeXvnW52FxLD76NEM3+hZTOt38LHUmbpNVaH/DUeA5hkxphe9JUzXLYajWvQroO5APFqDLOy
or0KkLXvoJJlh9zvW9iJtRqWVibwZ6KUuR+BmfnVMNyGkemf60D2uOa6fIvj4krIrLtHZuZ/lElY
PYVWLyHwoRLIEQyi4ylxZ1cYA1Ly8W453Arm1+MDypISim5osHSU6qLlXh8IWQ2Z8jrZQ48fdhvq
urkgv4roFJ+4sLKMXskrCM+oqAJ6siETkQWk1+6W1T4920Xw4Ul6YFMYUw21VvlkhaOHCmws3sAZ
fR+j0ZlWtjs8BqKAFKnojGAeDQvDuO7wk6xDJ4qvIrt3nySQrqMxFvJgptUsvp2SdxnrWKnjmTxS
Q2Y4j5mpnbOpmLdoeslvhWrLLcrB9AJQ+LiIg6rfp7r0EKdk5Y6VHEckCUQX+C/EqRztD686GOLJ
jLgy4zH3ttbSfJ9AF1hNFP5YVCLk/pM/kquO/TxD3GMQsu1beXx2g4l5mTaN9wLezCWKhQpRe14+
4pMdz8kIYdjXO/0IHQF7Pe7rJfqhfsVIG5s1Bhr3lOLDzEEJFvVOD8i0Q4bULBLN+k63DY1Razfr
UpTuxmpKeH25GCCJ52gHXfseQ2y5cmPVbOiUYzlkO75zY3DgWE6TVyvQ6C3VoRkuFXnnUFJ8Yx1V
yLjKaRw3E77k5TC2+VIb4ehaba6TnhpSRhIKckqtfETp1drbJNLTixS9WzZU2xTI6cJGMnjyHE+C
DoCy2lgQvoZiO/ndoqBRAcQPp+SI41Pk31Qwbg1JeKyvBgcFoB5fF1hsNwUi9W2MLkySUbixjMra
ArDLaK7oznMcQpCm6ZJ1OIjL/sbKimdppd+yyV+rqT7Wmf0WdZl1NXFw3xVaJTeQLT0Wn/m/mFaO
CcS5T5bFdNPX8sbB57BIk6pZUWSOt0AOiDvrY2D+9FWAE6fvpsrPVTgNa6uBu2G0lnaTW0X7GMxG
IN2Ip20VW/olFLwGMlRmHHQyKfY5EW/rtinsj4Y22sbKUSdWrcnLRBm99khZujVpjK3lIAWLhzss
664rl7mircnvGMSAARmNWK9iePTx0V+YdsQQKabCoRDP9wN8yqWNjGfb5dF4gW5+8BdEv1gX9eRP
WzSc05XjT2rj23jkvBlbA7kZj2jF04ZXBKl1ylyseLOmyC0h8Ho2KsyxpWptFfZ0mi/fCvpyJX87
H0kc1Q1M6c2wnzHwjwRtTMsuj4tj4/bdXi8HoHlJ7+yC1M2+9SprDlRqSH7dWL/hJadPFs7xEZSD
WGMH0Zv3VpjbAjgRrNA4G1oKFxk459pn4QOw5JibqIuYzXmW/w7u/t7sSyCpgM21BGgeN4JQ0txe
sWGopy7Trtu6P48h39zDd9eFGfOJEbUm/ePoqfJT+CyJEy2jEUdCnjMW8KrERTaGw2VtVrS/a7fl
/cd6g67UCCGzKNw0iGdjMBD4nbChZSRzRRzV2gikKrAi1Iw4jKMph4/vOrfZ1A0HlbN3wwGRzS1E
M6Jz2v49hsWw63N4AqinTkEWXkemJWHQa8NmciAThDWi4YZu+xbvXLE1FSu4QpJDu5sGR5tS7bp+
cx109n1kFYC5MMDAy4sLEEHo3tDkeCmqkc7ycDhP0lvqCJ1rgnG2jV5jbNO98SWkgr/RraQ78F/H
8tshsfWfwRguhyS8I7zuLFKfZkrdL0H5k7/SwNVWiQcPeagRqqLx2g95LC8wFZRLj2/+qFLXfK7J
X1yFpRNfsEvsUFEVtz4mvu1Ytp6CRtchmUuDrHgaJts/lEgzL4kSLQ65ZjcfqSthzSvYiWU2csiI
02xTc2BHAYpPqLags6VDu7b09gm94RmX0wHOwnQ2Up9jTCDYZvE2eWTPwhgBboVDMGJRHQx9j68U
cJtZH80BCj6l8EIEKHZkZG6BwG0rmjnEBkUmmXl4OVfG1FxUjBAH1E9HIVGW87c+jHoka5mYAO5i
Uovq1sRxcyycD3sw++/EznlnWB8OPlQlDgqKWrbtejpzhK33zSt80eoDeZGzKgYyJ42YWQv2MPTB
KzvqpruUQOi7GPG/huiUFIJln4Tl9dihRxoLIL3aSLquQvWlFqEYdUjkVoRYwiO1ssywnIqx3+oi
w/bokMDe9hXwPFiqtxp4ZVxb45RuLRw0wcoM6pndzSZdOpcgLdpigc/lYQyBNBY5JYqvFx9JMQx3
BXnAWITgswBBY/cGJ+teAyF6GOzuKs86iM9ZcEbVtbFap1g0ZvtE7uU9Ysx6YWaxeU1fJd8wWBw3
bHvuKfNSTq2jnthPkULckVNW+Cp+gwC6NXN/B8P40ABoROlM2kIPW3w1yRT966w1W2O+4rZH6zxS
+cbQy12u2qsRiHCsB29saA89+US1ksjkexgjPgZi35DEo0aMYdU4Gey7VGGgGhRuJkC403gqaqkv
vRolhgmf8swUb5MocluQ+AH5dQPZgmLCtGwXJf5lQpiLVUQj9o7l1zmOP2w1zeywoYTPLgyDqlMG
Zz2Pw4M21NoKv5S5K6dav6aKG2/zKKFVicv+ynAYF6TRu/QpYNNBtoeWB70kuOoEAwn5eoDitZ55
NKoWGDkL0wXYAWHGMI1hZ2KfXeaV9hqNVrEbyyQ5oqif3YeltW4wfS7K2hpW+RSoY917xhXld7l3
7E7s8Kv6e8hkh1QbymeMqfYD+gIHS2IYmAs40Dg4m8a5qUqnuHQ9w9j2Uf7qJIBHFHBDprsp+H2y
20sNHXBdNk+lVb2W5P2syK2RUIOxxTVxtCeAQXtUYeo8ZUQdr8My0O4zWa1Saz7BqzFsl5hDtY9B
A7xPRYnIfRx9wncyXS3ctKr3VhknCITKHUcLJlt9Y3FTU//o+VpxZTtsUj5xtmaTtY8oOcqjCp3q
OQ9zYK6qJK+3skqNhccMkArFNcHSJUbACGBhMKbesvcJ5bKwcS4nJdW2IAvinvDl8lr3BfjroPRu
zKowz9BmiwtqsP4GGl/2SA463WSgG2QIqPFGaCkB9mGTvOepYW9LsE7f3aLwtkNfSJhUVNCFHckj
2s+JoDItS19DEQZH1U2RWhi9IwhJGMNb8DK0VTSrDB9qPWHLwFq6Eq3nn4EiwxM3U/1s2DSc2s43
GS/V9QyqN+ilZP5LJieDeBhbrHqtT99l2bpnDUjTw2gY2qJtemthobx5dsk3vInLKLnNGYXse8cp
2fKMsOPWC4t2QhJC44CNWtfz5poF13UkQX6ogIKtrh/agNaMRrwX5NnOW1p9mZ1l3dSHGd29Rgz8
ARoOMT6WPmuTJeOccmt6G/pgzrMxVCZksdS8IUunhr5plAe/jizqT0vB9VC4UBXb25T67kfReIKg
rmi4CEaMD5Yfhmd80OFOEci6pK1Y7nPcUuwa0t0gM3KMpQivYq3P1lh5QU6GLowuzSBOWbjRWUzV
ZaoHYtEMiqm73eCQnGCpLgqMTGTzmEcF/+k7X7Rce7BbDljmaboRLO0t+mT8rrzprUGfvXCIF11i
XvFXBsExC64yC4XwBabIgA9e4J+7OKZyNNyTKMZ4hZS/I8JbhY+kxI0ARZLnHBg4EQyRfSpaci/U
FJEFiGKKIAni2Dnko9DNPsq+2CqHeOK8cUcMO4RzFmMZPQSB0MyFPSCzDnjnVklnNQu8l8RQtZVx
lJRgy1KI7N6ngPc4y3UPvq4s5ur6bTT63kZ6G0S+WyMuY0ITuuuILCrb71lcRkpyXd+AVBjPozeV
m8bHCmOOw2Uk62/8PPHFoIs7t3mH+Gus6lXZlDZnbktuq4km7CLWMyzkJj/UxMOpXUXWZZsEz1Og
n33WzzXGLn2uDcJNXmrauis0seac5+0cpsqEiITVdVeA29MDIDFd7U5r8lYwMqsa1GsHYqbsUucS
yA8BDJNdIpvwT51t6ox6Kp3YVzz2PbYHlvYgjoRYGblXkwLhikcc78tBOktZJtGiI4HDX+YF5GgK
Xyjhx9hxeqQzXX+klwfS3dGG7pYsmOw5JSPDWph48t+Ic540gIwAIRdAjYGu6110nVaGdjNIlTbp
RQWVB/FNoDeUmao75+QunaMmMl7YAaszAi6OueCiMIfEYJ+mEKnw0tDcp5YEpgdhtHINIXni64Qj
59OUbJwLKFXG1krdZmsXvnVTZUM8c2LbCzXm6sYEE7ptO1G9WRXKZoIK2/A5z93mbUjxldRFwcvY
sXhya9yDx5iUtNfO2bkCkGVnSbhkeY3cWVTyibN0/9C1YXrblL08Q35Hl2xkwGTRpl+aPNNrsAd8
mMlpHnzRfxRJJNachMJ9oHfGJdiGcN8OnruU5hy6juGGjPBMMy7ZbY11SlgvRw5CIsdRO2oRuI44
QZVjU1gQEVZqi4RwMNRAWJko0yNeWwT39q2dDNraTUVPwZ2nJx1OqKjwJ+u+YsXq/HBHRFa8dysT
ZFST3w1W/FoV/WkaQ8jiffgexzK6sEtCDrrKXMIRwdtnDo81hx+Hdxiqygh6enyB1qHtQwbA1/9P
+p7/RWM6k+Yh2qJ/P6a7DeM4TH/uaP75T/4c0Tl/uAKjq0TBMGNpZp3HPzqajvPHrHAWOr1L1Gz8
+Z/9TOGgiuYPXIJdDTUP9v6noWn/wbCVo76JyOsfY73/wBprfJ7QoSOUeHMVkg4OZgi61JdJOpRT
PeszIXayw785zQh0Pw9PEuTK3h6AWAboBQiorPM1mX/DfdjH/j4zODuXehOsDOB5i1R0DjVtzQmP
E/9NlraAHLWiOaU2uW0/3dm/GevN/dX/mbP99fPOg6yftY/Q/5qQcIedG4JdHCUtvwLbLUIhj6pR
RyAEEeCEcM/7jZyMWfZvLv1lokjHMy2okMZd6NfhYkKtdY5Z2DZTOeRrEmjy1eQm1B8GBG+A6JdD
Vw1sVm66cmGzLiHfV7txytRMnUkXuVvSvK2CS1rNjKEK7p5lDpeJ6fknD9ncEuItYUlVpu9q+CUF
jJsqCe/jSFdsNiWJ6ouCc+xTTO7ttMJ7Wl7lQcoahqEJKYLuH+Padlh0hnCdFCLdp66enxR+t1MF
8uc5aHuqa63Ij5A8xRqmZbmpimatZ29jR64ZY5et1sBFg/FAe6439HvZ58OF3aFKSMzEwdLnh5vI
bt+iyq2RSOSihdmroMBlBEMysCH8yi8xbgWKZF0R3SvLu2zH/rrETH1R96s+0Z5knbmHJolS/Gfu
Yz0JbasIcalGSaxRYIljNPmnNMUJUtDKIdYjgjPahkA+i2TROfZrk7I/c8TIkIZFe+o0smm68XLQ
A7WpwWKuW9SopNWZzb4AnIl8jloLsP45B627GSp9V/n5XSKHvTeNdCSrYtVxfhIae2ZU7i1wybjk
iJVjrjusCvILN+EEzJYmilyLHuAq+xZYulHP13wxbDRh0VyoytJfSD7x15aP2WhGQYw0h8LrvnXN
PW/N/2XvTJYbx9Is/SptvUcYgItx0YsmCE6SSEqixg1Mcrkwzxfj0/cHj4wMdw+viM591qKssiwj
KA649x/O+Q5m7+4qmFzWvo7OVDIaL2Ov9LdjPkr0+AbEQ6vboDGpGH0qF60YBx9Tn8uon+8kKsvo
5HYISXshsmv6Nha3iYbj1wr2TmGpWxlHwd4AQeM5hFQQaIuLAK2SiQMWhkk/ivlCQwQuIvQVUim8
Psr3s2jg1kRxhkyEX/NoCmWD86BcdY5LM5x2Ezl6kcpYUMZbtc/fDbu4SOJwGlc3tzV3vBs5F1V1
160FNx4MD0HQg2GurLTfWUIOXloL2yts8DGZ7kCqIbVtcElV7V2S3vg2V7kRbC3zkXxJZuliclaY
zOl5si5ZUjQcDzI/O9qahs92iHKgS9EKVb1SQrgT1jBCgIaquioraV9NZZXeY3JX1pNt058YYAJB
UqbOqHj5FKFU7pKj5YzIeGF5gDIF4SQTFRGNom+VAUqKTtVmWJBEdOazjHsY1KZ7cJh3sYOYvZ7G
ixyhNlexJ2V07HGG0aLPa4b9/tg+zll9shcon612dxHA4gcd39cGtaFfkBeYxjotRdiAECVTOi8u
rdL4+uhu6ij/AsnCl6wI1tgSeyrcNvIYqB7dyYq2GqCqOKmhu7sHfBWn0Q4PSVDozKVrRSepY7I3
YWARJlSKsn3X0IDwuRfq/dhOm5a99p3SguuGkYl11e3HLz077ZVaNNjW8Em5b1EW8595W3s4GqA9
8HiSPdZ1AuFqlW2YYWGgiBYiYC2KHfmXxV5PcUpWqMvXTZ6at05A3lPWg5ZZRJ47YiyjhYnVLMl5
DzlrW4/Tb7ia1KG7NK7DYQGlZiXIstsOkcZoM7MZSwNXWNIPRnXv1l1zVwd5dx46IoLikly9YEj4
LyZkbvUzLa/MGvUakNCpmqZDo4vJB/B6mYpEHlLM6vwEjcdumiPM+IQrZVOI3VNHSIE+tzlCJe0g
ozArkkaWotBGoJCkCBSQb8f7cCmBE6VRtwqNmW+rzGXcsjWfcyooO5g57xLDy2cn2RWDk6x125p3
zYDAmejzT0JMdipMja1pIZFSaJh2rRu/CCbzvhEHtzbIBU+LAmUDHmdYpT15EYOSaPu8SoojPdrd
31+gFBU/X6BsUXVTo9JDkGP/JPHVCMrToLtru9Itb0uI3rs8gUYXR+bV37+Q9uOq9NtV/cMr/VRa
4KSAC6+HYteHHaa+wAWr0PYr2qISZK71bukMLUbTIDJ3OXkrG4jU3/8J4kcZwe9/AuonAycQJjO2
wz9WC2QvDEnRzswN+twmss/QFWQ1pBw4mc3wvMFDAd4hvZdzJXdpgUk7WE6SCH4+ewwSHUE3I41o
S7Z0SXOL3sRdszNbZK+Qw46mPS8JWWq8Tvos3MWBLHb6OLY+fi8OwUI9NLXq7GhlPpnAIchD4uHl
TQ7nmKMlxPH69+/3V9/t92/3JxVPYmTgxlJT2xENHNzh8hfeRGu1Ztw5e3//Uj/Kq/71ydqqoan8
L4M18I+frDYwxpLpCJa+sz+lDSR6Mo1Xgbxr3ZjV89+/2F9seHyDIIv+fLVF6v9d1afE9O5jmeg7
M+7Pc2eKJ5FH3T4Zwg8tpsOsrVSeO/IqQUHp804qI0rdtCKHGdPtjZuAdOObXLc8hplVj5uk7eSB
CT3cItL0MJLyFRLzpWJyTsy1PpXFWU0iIK8ppIRs1Pi3MUnDF68QNU5RUi/liUGd8vfv80fHwrcP
lYpfs9C8OA5vd/k5f/c203ywVIV7ZGfVJusVK1AJsNJTSjdLOce9skQo1Fn6D1/lrx7UH172p5pa
hyzeqCWTW8UweTSaJTJK42ZuoATEjaocimk8Bmwlz9lS5dgD+Om/f+O//BM4lDCUgo9x2Bf9+M4z
VRvbKo+1nYhhIbdcibHZEg5jBaBGTJrlyjqxlqPeFNYrp369+fs/4Bc/Z/f71//pyVlYBrAAQarL
rHsVbTweZRGIQ15b/LCV8B/kTUun8FMTwztVTb5jTcem99O7JcBMaWTpqDtTtMm1NoD7i8HV+n//
nn5xGvzwKj+9p1YgusjM0oCwTOM/8AaZTxDqw0T6H76+X73S8lZU3THpVv9yGFRuV8yzpe7mANv3
4GhPmeXuuWf+4R398mfy/Qv9dA7Qf3QSbaDBbcJqOR4AEBBcuwXjDUZi6sR9GkriTsKlPK6XQlmv
ZPUP/qdftMzYWW0kno6quy69+4+/1SAah9qOyRAnErPazWxhLpVuaPs4HsWuEuNDWblLVhs75xhG
qge9pvbsOsNylCtvik2CDkGrnJhUF8VVGuZPViNYkMX6IxKE8h8aZvHXH5uBMsN0sbcvf7H5089A
0fo0yOeGPw2jGsIjoG+RGm/BEKLvUeab0bVGH/XBrmujEUkmPCOaUGUDOJ/y3SzAxkDAWzd9Aduq
CHz4P5gx6GkIcZtQWNafVTWEe7Ve0JBshHH6grJik7bqJ4eZlRJLv5qJNINlXTON/IqFQltNQ53j
u+2N67Ztfy9x/iu9u0zV1//zv98+8rhYxy12ki/y+6mTjYyOYdJ3p8RfxHfbkpLiT4bbv/+Jf5vx
YSOb/KQ5iS1s+vxW/q29s0xBxpKm/zF1+mNWpZm/Ofis0Q/bOjwfS3B9/Et8pxmLYs+FtoLDa3H9
O/+J+O7HMxrFH38YwzJuBxPrmPjZ+qnbKMbNbBh8stBLpMTk85DsC5lWAwChkCB6+O6T+cWo6cdT
7Y/X4wVN5PV8Hj89OFko2hQ624Agr01WWCo/e3Cy/HJRFf/9K1GL/nAjfHstrq8FTU2tapvqTzcC
uCZdQFAbfKSMTOByk8g7zg1tz2C/ukmDsL/pQGVsM10WaKUa9wM6eX9umY8DDjG6fFUrMHzUiX6d
xha2NEbcsHkyiAXjcnHAqFtWqB06VW/fp2E2A3La7MBix+FAhMvnbLTRC5RflYA+z3JS7ZI7DcB2
YVMgXxESpJ7jDAIl8pA5wBNrG1+lFZVMHIak9yAXdJ/diH88tOKAvANGNWWQzWe3xs3AuGoKtzWc
MABEkiWMNStXNaDQflcbpCoiQ3P5Uzo7CJ44woCI6EwdOT3DzEb/6BDytVJCxd5WTChKlk8JqRGd
O9C2tgZY2ZWw++Yzp0U72CiA7JDfA2HTbFtsUucn67KkllUoTkRwAD01X8W6WZzHMaOY06VvkNyL
erx6VnLiwjlCbxNjLraFaV/jbiKOxEVgWFeUmcJVmuslFt1T2dGSlIhgjCl+Fq0VyyHjKjVTX1NY
WaBdeIYWzcJrNFKGczE5RmCxCAWwKSySZJO1rhdFRH2y3paQkl0fpfJEPKJ+SyLNqtWVuwlVHF1c
i6Z8jLYMiw1k1+5er5kIpJXg5RvY/6pGb5HELkOxhP8DTR+e9XLXZtL1+gwycBm1LEoMXly3ctT6
Drv5DuJoVzY8OkX4FurpDRpV4o6t8H0I+KlrLYIKo1C2jAhuy7QBic0nmgqaH0RK96Sah5466h9m
F1xrqb2v2fN7mZZv1YpBSYxl0dNbcRsIUnRZE38kVr5Bel17eSe3Qk0+Vd1K/TRonk3+Qx84R/wG
n6kbX+cyPIRVqnlpv9wVUX0fon6jmyFlt7+KgnQrKcGJy4DWiyXLc7BXgDMNULtcJ8KggE/IAzjV
0jzGSvlc9AnsDEFHJ4bsSnXHr1ZXJet0bKxNmvPlocsdV1DQi1UviVvuRJyyyyoE33kNdguRoT6x
5RTB+A4b8GkMdYs86gEAkEjBrwXE6YnwekqgO87CYAGptIGn21g30wCgrxVehUFabq1Gf0bpwhsI
HMzxvFw2xO8B0g04GCgacdF4yBhWRgVdLld5aUKVCRsvZb9uWuKH+WJvCWtwEfuwyVKyDE1bzoOa
1vp8kQpdddDal0HlnRZ2ft0XfA+GWr2joy9/r8H+e7n+w+WqcflwwXEp/c+LoJt4Lpu3HzZBf/5j
v1+xrvjNQNmIypvlzp+bIHdJISDT1YCE6ggWFhSVf+yCAKgKugX+h6hB7NncDX+I27XfcIFapktl
p/HPUnj/J7ugpXD9sy1BOk8jj97KYmVMBcD7/bGwHdHlFqmW97uiJ3jNTItqO5h1vm0S7Sia1t3H
Qf9C+TeuTGLF9cAKFpCz+IfLEKvJL/4OHRmnaYMXQGj5Uz8q3FApWWYzM4b4vEOwsDFEuikJBuiu
o+jKqHe1dQ7y+NjFDOqmJR5UD4ObJBolfmhx6Wr72JIrzwwWgZJaXIlkrLzYkeYqkM56sOyrSiNe
fuiRLpryduoQ4gZMhWC6qGu1e4AUfT2ZBLsGhZ/k7XlMIWukwUEXFZ4ia4OACiE7ocJJla8SM710
scBwKgCok5UKhr5b2DDEmqxU9gn+yAutSRqaDNCSz21bXZAZANuZdkkozrSe0DIgy674YFsh5HNk
AaElP0fdADBYlaPFA51rGxPJ5aTjBi0hppOK5jwp6XyHrey+ttpDG447XdiwYqHrpKRJ2/X9OJov
jszQvo7IsQ0MUUaIYn80SmcnUGmA9jo2znywRvNridzEUV+ZDT/YIS+PCY0wnTsr0LYMCHxtVNaD
rtcrHYIs9hndm2DDIl99L7P+I66FtaNA0Yi0tT51dw72ralHaKNFvqvTrl6TxXglteFGcboWBQbY
mUEDQjtZ9+gt9416h3AZRIIAd2AM9/UYnjFFbAQBanxagOCIW/djay2t4YBs8SFHy7NSFVCA7X1d
jJ8oJfZjq77MLZKsSoVyN1TP9DIbHPVXek1adT7i6Q1K5GLuAz8vUt03UC6MFYUrBjIy0Ca1P8Kl
fA6q+aq3xF1jc06PdvegCThFGoKn/NiqPcI1MHFGF67LccYhLE3hM0n20iBbu6N8TYQElSixXo1Y
bvlp1pH1EGM1WAVq8VHWZNZPUQ6kFAO9rip+nsgvqmSiGKiMWxheSwLWbG3wzB6MRq5djPzJbpr5
lKRD+tTPOfFAxm0w9v3WmQb2QSyY9iBtIBml5P65a6sudvikni04tikkUQwdlfnQGggkkB1QW1VE
Yi+3jTLM+ypMngytGHYd6hqCrpCNg7AD0w4+ctOb4mRMt41T3dgqwb4s8lalMZXXBsj2rkOU01nR
WZIB4IeJ3NEDGCuJ5mgdF2a6c6JzH2rXqBjYD+3bgjG3iVGG4+Acx5RGBEc8VTO0JUbBwQyJbijI
2lO05qZ2tYYnJ8282BI+ecYY3eN3M3M2dXpmIokVUbtlJ4jixdhk6vyoOvmuZzjWSESbDCKeGBgu
sUlbfho2+ho934uyM1a9Bjw96K1jSaZhpKPb1+eHuNfNNWr+l5iWyEtj07dwO06TALA5noD0bXV9
9IrZsa9YffpQor7Qtp61IFkeJ/1ENAU+D2meYjfcj6n7WqT1Pu7MjzKlfK9xL6qEuxt6mW/SrIAb
og4LISbZlPboIKxK7sKIRL45UE8h1bZfaOcG156KiLJxKAVCUr2dKr6hKRzWViCIomr6jTEtWXSW
eTab4JaKmDFVUV3iRYKLas2LzYhpT1u9l2AMjMl6zFmUW/w/wOqTh9eaVKVjSVJb82CjFgsK+dJN
ebWLtC7yKtt5nIfp3h7IAhzdm9GWGG6CVZ83F1VxT7OoX2RmvuqS/NoyuFan7oXUtKd0svOtrHgf
mM8npfTRoPszCTJ3k6HcuQ4fD0xP0gPxOnZG7HWYjchMLnUCcZtkZzvDHpDlTtfFdm6qT5Hm26JL
3tDxE405BfuiijClBDz5RU3UulY7X/EwP47muATFoCaCF4wVvSJ7DqM//F4yRbRi58zum84OD5Eo
2ZKuVJkBs8XUE+VBLwWp8xNJVU1zxG74VCPfZ11Y+0beEc6ct28JUFz8QIT5yOGld4NzoTgXZXCW
xPjjjAMKo409bdsmvdFLOMKh8bUOFZOsxTBba3F7DaVjpwTBTdqTxI15bGUgdV9NTQ4xSEGkFTUh
Jqox8PFnXfHo7aXWoeszlHNTEStI/UlTkSg3GMALlHTxBzYlBGHZnSopAxlO3tJ8bZlIwTdjX2qn
fmPZSHzEvpyNw9AOPnm4ViS9lCDlXUm9qU7BwTJfOpE+BHnLshe7ydSt7AE/WskhpJbBRkbBtmqs
dVW+Rm1xJJr6qW+0/Zi5a5kZVxAyd0NfQTkr0ICApsG0t1fjMViliYTael8HRFFIYzfFRxKKnqYc
DPSQ7Vx+6U6mPXeZPOlDv0tnkM+2u41lkK5ZWuxmJZrJS2kuViDfmrQLiNiiobKaJ+KI1iaZPdZA
tIWr74asYzt4Pc5inWOUIy+ouVVmcQM/e9NjpFkx9l9Uq/bZHKOvFZGGBOWWtnqKxk80A0d0gpuE
1Vejik8ZlLUvWDJ3GVmuVOPo2D9jvfiIQuMkLHkUVrOL0/BCg+2rEHdXZuM+O8m4TrpPSYgY8arn
hRnUms3RrEcewvKZR+SxnsyDnb3i3HrBlfMaKsmasLnrTu1OOAmIrTQ5XoLoBqjS06z1t9C+D/Yw
Hjt4UlOVn2ozf83DxQmtGO+uXR9pa3flON3YID5pw4WXuMTUCxI9te6tm7vnKHH9zJxZSyVf5qZ4
J5/oKlJuHOJpCnbd0CrYx0fVTWu1WB1YTycI+Amjyw+CQyEa1gbHcjezCck9Q3a+HPPtIG7mxNkP
xHPDsP/aO70vMhxvRsD9Wcot2uusZ6AZpepNuSB9M7e+Do30tiksD/3rXUcqd4TgMs7lS3RTYKNu
HxI6Y1Erm6pNjhW7XI0J9Ur08aMd4ytTZt0vAOcNydkmlncxW40DcVbth+GOV1Gc7kDiWl6jXxuo
9PBEZmyJkfO2oE9GYkpt65Gw2Hc2x4EvCapkHU3ue620Hg531JFJ/jDiPr0dZlfz0BejRlBVCpuy
ZDTaY5JimJDS1qaS+UJhmGc0vi9hMn3Rg+6p7bMtLX5OPkbz2KSs/YcEr2Djm/RqFuKQkHgoa770
UkcOhBoIw58w87u6Koj3bLeTZvp2D9IRQedgut4QjdcuOogoKMmB/MyinKD4W1m7hyF3z4GMT0l7
QH++tsiXGe/GOdqU7Qbn+qkOynat6A26hiji/oh90jbuOq6i9VR2CAK3M1ZuW38KB/Uu7lTOA2cb
h5c0Xlppc9fFxnlOnU3VdNejmt/22jkX/IDaxUn6qqgLeRi4V9kRyJe8D8AR6Uyv46oJ0diOh9Ft
NQ9P06dbPEY8m1MZHhYWSdKUu8ClkajqTSxRGE3hKnMuFgAVx5BvMWodZCLd2gxUAoWpHzrFfkql
KFdT/VhjZQMQu+/0K9dR4OdwZBmUpHihDnVu3Wv5pTfRwk/G4HVtWrswjy2STfL8IVRtxaPrjw8u
bXCH7IrSsp3Z0hfpTeVY+RfFjNBfhHO5DwLRUEM2rnwmdrN8rCXCipmUbeYmcvoscAWc3UR1EGiI
/qMfytQ3UlfdmmZC7zBbAROYzvEYH47Q3Uz1i1Vk0a0jyMhW6xDvFYd9jvS0Sh9L23V8BiTu3dwL
PklFRq851fAui6sAlZRiAnevwvKQAOvovEhN8bqhMC4wJ+2RwYc7uzHUr7yk88XO5vldyVm2ENgs
t4GaaPclCwSEJaE8OdHUHNQCp5Cq2M09/R71MYXZuOrBB9/WeSoujGxHglBr7pYkGvaq1uJH6o1w
3ymTvrGbkDtuVsZ1MGkOUAZFT1d5n7nbrqzqm6JMQp+7pvJG0533ilu1Cxg+OGRN1x7czu4R1ii0
XmPj8rkjO7qRBsFihT7dlCidqGcmlaw4YDuPMKCnLxXoi6tEWsEmtObwZIxz+YI6ySW5tagfaHR4
fpw2zN+dBFAGccjmABg7Sk5GL82LCXr6zhXqdNsObnXUBvQSvZGMp6Z0o6vJeOxJOWidnrj4WY53
QakZD4phYKEsYrB0JNwOGxSyHGXzmN02vd0dh3hm8MeF+Yqly97lZedcaQk5xQk5lOcuG+QZNVd7
yjot2efEiNFDuh1TpBgbMhGlG21COhdS1+NCqCwUHTOS6kDXvNJI8q0bgS/Ilwa7SEHL461b4B7Z
oHmaiMwn0YVElHE8vSZmph+rsRM7A6f2lTLPE2dKwbA2i8/l+DpGHYquyPQgq08nXZ+4Sat8QsnN
L3OCLttO+bZkq7nu6vmLydCUjrftIPYH/SVQrAenmE94Tl4s8oBRdO8j0uQNIuk49uOdYo1XdZxg
PCbrk4m1p6jYAAwGlebE/avaz4NS7/spUb1OM5hGc5npyZvRpP5UkkIdphvCe/2Cyo2LgSxglums
c49OaKhbGOJPEPcvegEMXXWOmdEBzZi9aLGnld22T4+62jxqmnR93LDP8wyeegpjKsrcuvRG/xCg
s64mi2gnTqI4SpnUKnsmxScnDvt9RbYZsA092+UFoNd01k+T05FcbmSI+gqfSIObOh7aTUlWStrG
5H7rpJU0ckP+mL6u/LZ76ohVkmV7haSNaaCzCbPisyrah+/mQ7/YMYhvW4Q/hy4OWw1LqCrUGAFM
gKybn4YuFnbuRJrWAB77iTY/vprHbjxhpwERqGXTQbWK+jiW4XzL+RTdDWj4LlrSJqcG8xOMbavo
0bIjxrO/PSrp8tRMy/NjLk9StDxT6fJ01ctzpn174pZnj3Te9H4Q6GNWJY9mtzyjzvK0Tstzmy1P
cPDtYR5ZgxwIi1QOYcCzPi1PvbM8/3BUQh/ZfX0DKotk7W4gc5s4QGefBOm0LrQmOOvA/zbVcrZo
yykzL+dNGHDyqDIYgR8M4kK0IueS1lKfh1Ek79WkbO/Vss3xO1vNoZobeOgz3Zi7nHT6AscLltPP
Ws5B4sqcLwqwkK/6cko2k4z3EUhQtyJpIf12mHbLuarEoe7n3w5bIhfRDadO9FpU1BmVOhFckKSu
H6G0eOxFRMMwDBzfajRYV/U0RLeGW2pfAlcZfcJ0PFElXPLfLoGyw60wLDdDu9wRwXJblMu9wUB+
+lSXu6RZbhXmOeWjttw0yrdLh2+z3IcWN1G93EnOcju1yz0V2Fm0H8fyulzusGi5zbDTPwDohTTv
zO38wZDwyrFdFwWkrrVYAOGVOVMnlyieTH+aTJuhVg4m4mVwR6Awk0BeV4UMoFJ+m35n9SQ05BRw
OmsNjAHF0W4zEsIijIp6pUfHqueXJ7J6U9G07SyF7ALPaOzgzcjNrtyhWphpbkqpbVpTtZt1LL+9
IouZHNCyQ2zBGLB34cdURKgWyaDGOZlYbw4+nas84ZDYWqjksN9rBpVCLpUCCx7ejHehVrek1+Ng
rVhj1xsc/9QldAtex3KLgVdukWIkbaZqZjX6fV3fRXSbu0ExXhryDlad2tNJzNSVMz/fKWMrRqaN
7yrBJUnqSyYjklRJ3FgvvjSgOYX0HRr2rzQxTwpyjRtBOI/fVsYD5kAqIEUnASrvU07YCExcHWZ3
zmAp1w6rcZ+Lvl0HahpfbITwK0vi2okA/sZacnHIkL9KajfdFTZldperh1Bo0i96OMEba4Q5ylgu
XfeIWUhyZFaixZ/4RBAm1jOGVSZmLAKna7S+6mrI+a8P/DA8aBTPZqeVB8zZYkMsheFBetC39UQ0
tEYe3Ar7M0nPJVbDYkAlrNbmhmEqYxW1ecs69Za6ENO+NRLarA0PVTk+loTc3w+I9U+6k0Vbg72W
swqBf1xHsCpIsQzLrSSTCk0i3kiBAXtDDCIJDkbfbnqdZ610mGsGLbxAJZxscCUw+YveJnkyjZ/j
uXg1NTSVuVk128x25BbbNMTCOev4WcUAF/J89BoNRb2sMHctViwPJwzW+MQ0Fud5TmlRqbTzZ7PG
EBgS0UNTTMsfOUH5WAZE27nTkmey9AOt21/458x9KMyMaxcDxQOiaIAh0gxQ2bsqBLApvikD+0Mj
zfKCcHXmV8CBQvjWB13MJwqjS0T4gDdqsb3owI1jVZKrUlp8dpkbfSDfNAmXb7na6zYH+1ygYJzi
92nSn4fsRTWTG5C//CJ0UrAL+zxrJQrftPi02vmOPE6LUrgj4yOTmVgpQI59mg54JY3er0XC4aip
NB6EiHJZlUZzv2RBPYBya+letS9jqQrfrJMHu8l2WsPBRdrNQGeMIYANb3SNTP5qsgf0GYLni1UX
jBOFcoCB9LHHqY3c2i7rXSz7co+9LtqFQzg/E3lKkxkK4BdjCnVrbG0SwhPZz69BnOZrkD2RZ3eZ
4hkmQy/iF6o3to1iHyqWehUNbrLPJMnsAalAZ0C/xZkMhvE94PwBIFLbO0JO5Wu/1Fb1UmWJpd5a
QClrY6nBdEXa5PKUChvGpTrjxDUenKVka5bireMT/3bx/neN9f+xxiLMgB3S/7zG+r9NV7x9id6y
/3Vu3j6+ttH3kpFlofX7v+BfCy37NyxKOisogagYHDlbpd81I64GegmUnGv+xd7k/kZNDAsN1hwY
J1tHx/XHSsv6DZ0HyzH+dURCgP76T1Za39LAf9hpqUuCg2mBcUWwZbLX+nGnVYc50Aw96vdNjAuV
HUWbnuzW7ORaBJ2cVuPYZckOPyubHbtqIolYomBfUdqRvlccI/EhxTb7OSpM64ajmmDqHqIc4X2o
BF8gFuPgCJ1xanwlb8LDXFrupjAb0CbNoEIhojPMqaaNqXpBS7KkZmkxSQScGSHnB24Sx0dkZj+2
Q2hsNGkjyneq3mfOpKM8cIz3ap5SENa1wbpaAfWQrQs9dGZvHtzh1tVA8e3GssFkq4/qpO/qER4s
IVtMDonP6p2z0Gv06kZV5cRqmVp4UyDWIVdmZCBEuiHSCi0ZKtOrlZozWMA//YxitZz9OnRcuTYM
xbgrGClnWzfIw+faIGhr6zjB9EVYijxXCcjxdsyLznOSCu+FwBb6FiXtuGcFChchr6z4BaIVsKyA
2B5vKFX1dhysJZhM/xY4VcBOMAyLZJ5C58gm1+ciLX161obQkati1gPJpqSMdzjmkJCImcZ6ZUxJ
bvpVa4sbnUDzm2FEUyLyDE/6bMTzUcR5R7nYlAKhvzHV4Qa5rnCfelnU+6nGrOZnLuYEj45Kr7fT
qClltspCRFf7uqW0OTnL55JCWRYA4pPMxtrSRrAccN+iuwisqnrWW0HpN/XLhxXtO8nqTRYVA9dQ
AmVyWVQ6qZNPJ20cC/hIhDJop9B2GIQpNm4Ywm7qtRYs6MdOHe9krH4SIjj5RZpCw2h1UuEVZCZK
RYfY1JqOd6klP4Er8ujadrRiws0wYTZgHKU0nSs4QibiR9BWHNedfd+74x49kFZ59gIeVCiIfCMJ
7tvEQdOQ9U96JZDkWMV1w+8DWI35QbW5L/qGGN6wADWj5luz5S4ekZj4YpbFTaiL4mDxs7nLiWjY
U8ukHsoLPjr8P1sGsdyFZXWAeXMdhaQ7QZVGUhE4N+xtEPQabN7gaMDIj/AW6qoRfVBIZFvHKPKn
WJrFsReYlPH4Jl7olmgd3Ah6Alm/p9SpbMaOXXnHMAQmUTFSmKbm7M8Ek4KWjNTgIczG+1TiyZpk
Gu6njkF7bdt0ERawh9gFIw26RGFmSUSnloj7mkjqTViEvcemFUxRkGHKKNi+wtHQVj3m3liT3U2d
WTN5eNRTfjKZ3SWLqnNPPdMTxISTGvy91xCBdQoiBmfmPMnGM2OxBngB3kXf9jXgq6m/Q6eJl9pW
7onh+9p1OPgHTRJqrqV+JqVE5dHaJyl5ykJH6ZYwZm0FYKV4NjS34jASF6Pn9z8htDTz4CPTMAN1
hXtmNKB+bRJwMawGrirL7iAtUEupLt6tJh0/bXhEXc7Oox4UvvlK5J6SpzP2bioEKjGCtgOTogx+
HQma0t6QCtNeJ5Fir4o2z7xcLwkMtG0YNZM5Pyv83YzOg9mPMqPeIt4ZbpwoXXhHynCfkmNnySCB
Epbbnqtm/UYfGtt3YD35KR0HQ+649TU7Y15h5fNxlmlnYIEi9xLjOaIWfHDd2kpQ0XnGwkSZWJdh
1g8AssWJZEYoguHouiR8WynrDjcyzS+ybj6rWgjW96QIj+zJNpGGpEdqLJrwn+VnE/cUa+1WJ6VU
pO9lVRQbajWGiyHuwbMh1ZApNvsnfglLNUoGG7OO2nkayDv+IBV8iP9B6YCC8ielA32/aqH4w0Sh
G2DmF+3ud4L/knCzKInUaO/obU86mDbk7Ljjcjq1oCMehlIanHElRrBBgHtfFahwL0WtTJgqM+2j
CxE5X0/loGl+Khn6KzqeAXLs+PY9Ejm5pgZ1wPgCe8qpfR23O54vwNl7s8ud4TQaWYO9JZ2Hx9YS
6d1kq4WgW3Ct3ryqCJ68mecuPUOy44gCvQNELkGg4Eldtu+K0OEUmpH1lLZTSb2aMhiybTAhK7TA
EAaYyg43IAHb/TCwIes436+Q342bLCIqcSaPc2eOtntAyDUwm+kgFGZk84RuIB/RbldrCx/UqsGx
yt/YYwuQ1CEgu8xkY4/cW9IpHfbRcwWZAwfRzrFIi89Z8g6M5xGysmobHTSGzDzM/No2CGt32ZbD
qgXD4tj2dGhb3dhnYUmly3xVuUtTC7UGrcIpn1pxboFc3bNU9JEdpnDk8JNoxczquk+08pS7uUmw
PHnCprTMp0KpBA2dU2NFq6tNJGEUheqE9lkldkfAB49MZ1kQvRbJdNW78o0eesuUCQYAACxWIO99
39y5iuZcl1pEYqcyo7xLkvaOeTBqwZIPjnrDK7pFIFYOdOf4COM3rf5/5J3ZbtzI2mVf5X8BGiSD
ZJBAoy8ykzkpNcuyrBtCtmzO8xBBPn0vqk7hlN1nvGw0UKiC4bIlZTIjvmHvtV1mGxhYqeunM+30
g61G+IOwhzarYPiOZvYowfWeuFZy4Fhe8dxJcoDg7Yj2tMiRMdrc9FPYxJhng7KrXrIZtLtpN99Q
2bKc7Bz0hUtQHS2ezdsWV+NjGrvfZe3ohzrhkyfUON70A0qcveEnvbH1UZgyJ2I0iFt8QmD3TuJt
81I4HlsJP5cBon1nglq0NJPNoey6+kuwaIv0kNJs3sCz5F8HglOXR9oImzTIRhId5AVx+9UScXLj
N4O4SZPK+6Yy+sG8mUYRxhhWv00JA71t6U2o5hBnACDE2yMTSdZRmXmPQhjDd1HYARbtoHy0Qa8l
IYKX5YC+YKL/Ht1rXOvd9UhSLxP+FN6MW/rxg+kMzjVqWiqClkXpMLIb9xzM1Z7HQrjNsbE5qSAM
QHIocZ3o2Doqsy3OqWKEzruJ6n7TF0b+oKpWKRamDdsas8tTc5sX5YCmhIKjDznsWJrkWje7mBOr
oYNbxna7RlzeII8MeDntjGufJjyE0tg+MG5FjWRazo+x9sYjpRdbp1mQEiGalmh62CDkEdJxHpuZ
NPSz9lNfh2hAq2emWPl1PufipnbKCSlRELyMtI1PKXnD+7aL4ofFgJm7EWZXPfJt5E/WsvDutilX
00Ji89nzFcLM1nHrrcvw55LkxQR8LmiRUbCbCu3O/jo3FcMsNC3IVec8+1rAvHqZI/VzakbDRL89
TUfLrPY2SC5OLDdzD3k+61cMwB26GBIGaGYrv3zrzWR6tJrCeYm0xNBsl1MEerUHZ0qK6LQcJ78U
r0sOyJlLiVDWIc0eUisK3pq+1U+Wo6tLht6MXVJlAwSnCseYmJlE4zomwGeo9flIvPPifR89JwOf
OA7shQnr1iHpuCP3Kp262jp6mF9NvzMYIjUI4KooE8GGUJz8ynCy9toZpdqZuMTfzbJbUj5zvf8F
o3JHimNgG+KqJjmSTsM24xd7RNqAvwnWIl6JrvM2xBDYX/2uKx9dBVhOsagiv7KNUVmjCtj1TlQF
W5dJjkDBRrIoh14/7syZQAFE1wTBblyt7FcGZTNbUkcl3+asxmxcRsV03WQLIjk7AptX5LJfrnxq
bBMcdnw1a44XJFeDfEeRYl2i1BvPSWZ3+YFE9eV5ADnXhNaAQdeNNXQrEhbuUCv532ptDYwpaKH0
+kjSPOWEG3RBzIeQyCPAmT6AKVLu4sq7LFODV4a0dvofXcLHG4aYOCby/+K7geny02Cmxu2caQ57
aSYOp/hSGD9RjJBl25d2AGalN92bJUCww5Uhput2qUa4O0J8iw3UHHse+fYHNuX8ZLUEWGxrZncv
lU7jgMwcyaKLfuOnna75P2VctGE5pHDk2lTqMMKhO8HpzNtnC2PsimHRZViw/ag3XKIqDHJ/hlkE
ForFQrIMVz0omtuMCM4HXp/qRjFZgyHTd19LEGqhz3ARSyTFCxuztG2+lkNNsnPpD9BQIwO1kRUr
feocQx1EyQmwy1zXgtQoa57HrNH1LS7+9HZkAnxsDcGiWjl4arsKg9yW5C0yhqCzYoNIUgfhcdUN
wXNRpWzN3Fp+tvDofKOPYbNKiJpDZjJ6eIiAUdrddLOerW06BPpu7tSLbZqPkzG0TyWT1TQcdVXD
MzLN+o7suuQ4Lbb7hnAfhdI4F8MNE3V9atmcho22+5exFf1PHaPE2jHG8R9rU5ePi5PFz7MquIny
SSIH7IiG3y7ST0BjWVW+pxA2ruMafMB+bIzqlMQZE2/y1T934MfP0GtJvIYgbGZ4vHBGgvf11Q1E
iu5W+hovMT6BBy8tUaRKpz9Jb/K/QlPWjx3llt4hWoxOtEpevLe0KBAQeWW3x41Q7paRp3NrY/WU
ty17Fj5ADD62ACnng9kq8QaltTuNrVnfADnVGxXIudw4nbNK7pyGCizpO9R9QWvoO6MD6JEWrvou
RTy8k0xOLvWY+SXj8XFaK1bOiTfa2QnZfTWQ/uh67Q5sJzA87SpJWZTNz7HKCpQMixEQvRI0yMsE
USy4dye4tZuWDzZpppjddwYwuFO2jMOTw1rPQoaha0ozNsbsHcmV2liW0177hqMPRYv9YvRH/dLU
RKfdlmyOeYa79dxsUnMWjMo5j9pBD+UdbleqgIlOOD3o1pmpLyQ8pCKgKprRXtWhYB3Iw1wEy6Zp
hxiBySKueh+WUui3ekFLX0Li2oGZ7a76rGhNhPcACc6qmIz4xN6iS8KIJOXXJqBsM8cMFUYbtD/c
XPknpGXVF9fNk+egmkaATbapDso0rBPDQEQmnh5Pc8UknvH9+DO3gLihP3KIcUnLqmCdxJ6XBJSo
36NBNA5cSSsBeKaPM2nGSlvS5scMUzZlLN3vjox7xERB4z4hASnCyqaJjAPvLFPiiOeiEGEFk+tx
0rN5UzCd2dnEGm+CqIeoSVJw/dB7QfS9XliXpG7XPhamnrmz+35EFDcY9IuDSB8gY8k9rOXiixMY
000BROSpbmR1onVcrRZGbd6mUvm7oGqi674w3fPEB54Eakr/zijmI/gB5shkj/+sUc7dunbnPvHY
UwlnzhmBmThpKxpe4mFyrhhbL1dyAZmYuGI8sUuu2LCI6mDn7aaX7iM1eXevpGblHsfOJRlFfUST
5n01eee+kfgO2mEyEVCloAujxcovzVild72ct4ypmMf3Zcka2WbO0Ed2/NN3ks+RNtYFMuzsrhAH
ajuiuugzw1m43WVohq/BhJ2mzXvF8jvowqRuc4KkIL8Fi/8l4MC6rpJGndw+/Q7jPVqnFTlU2mwl
bLrUA/Z4thOiB/ByF1eRnwHrqJJ0G1u6QG6rqusF0NmGIO2Ob7Loj2gBh+OQZTj8B7Zf/Dz9XqYO
lqTgENRcnn8Zjv6DHe6HLv7vK1wyvNjcssN1PASulmV5v+nVDY7fSnGQnIBKAu6q1irNh+9506gK
jYrLIzRvpSdJTAZfsUdrJ0+qxFTy774R8ZtFju8EarrjrrNV/iM+6PV/6Se7MWqRWEp9mrHNZFM/
fEsCoZZ7VrBBf+v7leXd5WYuRVgspXqY5pr+jxX0YIXzxOc7caZnUIkuc7KZnEJyEQPmZ+gSyvbN
cxfp7JzecL+0g13cIVjilfdE8eK34AXEx0CuVJP1TVa6gkRI1/iF8Qdgi2EQj/akjO9dQgB5Pvrx
Z2mKcYVLxenLkLK744hzrgMzZSjgT+YXH+4kGORE30OuAdfJJDYI5wWFpEPixk7MCDeZcca3qu7q
7YBV7UEC1gWYqcX1WMRch3gF90IXL7aozfvBjtHVWch11qGlXMeXzcckc9IDJ6Rh5HYSMnJ1H5qP
sWf8MQKVrm3+bD4Go7bTynfpe/6ddvPuAci09YXFfttuWpxNjL/Wgl0P7giVN0ZnmY6F/hwkgue0
+KjuWdVQ6QcfVb/+6ACITpy/u1XH2WlO/m320SdYQy2OkeZGG/o2sA/io51gmuS9gZ4Dj8pW+2RE
9ufYncdTo7sYMA6T0HyZEc1lQS03xtqzTB/ti792MuXa03hrd+OvfQ7+5SEJ/YX7OavnYJNZio5o
7Y38tUvChAjJvyndg912zCjXieiW08T4Vnw0WXrtt2AjeN+CtQez125sNhhvt1AC5y2zHNq1Jkjs
5dFz+/yraxfNG6AMkjSreYBEB4CBF8mtC/dmWOgvDwrGjscfaZuXLmq86t1IvDENE3eMfw5irNu7
f/15tT+G/r98YCVWS5Agrs1+wiLv6Nexy1h5GYt+rpOUWuu6MXR8qRW8+L4T+akqTf/U+uCQ0XfV
UUgswK1fIHNONLBVNNdKn70hbpmmLUa8YwIA970qc/VA11NXO4c56UtXTtCO41S0j44ilaSxQcTE
c6pCT+rbsohuVaFWdJqypotFyN3AQkFH37GDib2XNt7JS9r83g5czUjfA2zlWY+kDKNYj+4CiBSX
OIpHJsARZOD4kc+4uDGJhqcxC3B1O+bEiWcCTmBeN3JlozM4JmnrTpvBo0Dl7jCPUyOLO8/LzDtR
W5MT1mz2nixJHk48ISKFjIFiCIaQYvY25/0Nh0t753e93vdUMgNop8bAW+qIYApdXeTnpTWBxo9W
5zEy9JrqXY5r/lLujxSS7nBnBxOWnFhFu1pgGnXcBctEqyfy5QsZfU3YKnzVLibzrSprgi6HPDmk
Jbt/bl1HsrPIBnhj6Dwqf4UtOp7y+Pk6T0Phzab3MgrArLHmjpCqeRWRwX0wZ7uEcKNqI8cpOEJ2
jO6jKUi+lRagqQERbRhFFURLJiNMClIcmqk7nYvMV1vbTK0bRosLTyVFZ5GhO82DxHgNKpjt/HXD
1jL86iFPMx+Xjtu0nxFW8wmIhb+ZgH6B0mgm1v3jyJW2uNN+lu3wdbKt9InAUfu5zcrqGJmLmWzr
qeVo0iq7X/ohBqLkiCuXU2qLX2wIkeWsIOJE3snEyj5XZp9ziiaBjYyAV+acCtMpaGK86DLni3nw
ZIIDBqSkuDRl/RgEqtlPBQMKLEncREvSO/cewqlrxRIWd0ZnIrNGbodwpcpX/2+zLpGsj32SNehx
2UYfeyZzXTl1THWXbdysm6ioL9hKBemc5SExHN9g9rO1Cthf2R+brF64uChsJZ9hqrPpqsDeYCFJ
Fd1nyuldEQKSN19jpnsp9hHPim+WprHMcL3H3p1R6Y7u20bwP6zbtqye1LhpOs2/6QyEd50SEHHq
iiULkexYp9ZuB+rq1qG5HoOFUdMQIK86Zr7Xz2xKxtbddalVX4lRUE+0HzNdvY53gea8QIB2/c2A
ODZAuAAYDiVMxmZIpgCkl+Wkp0DuG6se1++637vsSa90woqoN2r3iKygf/vXB9VvBnT84BaFBYcU
ITjCwn3/6zFlMpnPGYnKUxC7N3Fw2+bdpZnuP77If7UI/89CiJ7qkn/+1/o3f6+bmTDLZPjfv/6y
/+PX5Fiv5IFffhFWQK7m+/FHNz/86NH3/+lUXP/P//Q3/4YuePrXHAReeHwfazD8P99xX/+IWXC/
zbwlf8ch/P0P/m23bX/Ci08QERtstg1ADv7cbfsB0AOXPCHAmSB3P37nT7+m98n0+OpsbX2Mu1B9
/r7cdj+ZtsmWnP4OLAJxRf/NctsWv/KCKDw9c31AgBP4bA/k72FEY5QM7Fild+yCzonJJMk5C32k
FeSnBGnyrvOiOA8epcnJFd746FizD5FQEa5A6l4kPrdZxr5v8Lx817Ak0ZsyJZ1s66pBt4cSaOLn
YN2wQnUxaR0NznAB3VZspQ583E+OkwVHJF5+fjBnv20upgEhEmE8Vi83TmKmH3ycerLPgIajd9li
GjOeWFq3V/4ooUU6kNWIXQ9CywRrBMT8wVw68IRAlee5RgaSNy14gH7qvrfMRSlHRM8Vww8bX8ys
DwZ6cWu5uEkPJVA5qER58vwD7PHyKMcO/4Sd2sfI9Un+cBeBG2Vmjeyg4quMGRpxWcxw2BMRPPl1
4B+UlStk4kWwzeZy2giExfQhpOwWY0BBm3hbe3Ls5nmqfTUiJtaN3LR9/WAFBqBF1aTzmuZMr3Cx
SWxBCl+p6Z7UOCYucVU78aVNByT5kT+xnteqQNQeVHgdd70VrfNeQ0BEY54LdyG2Zo6sYmIfcL9Y
7K5uuxgd073FnoKdndlG3ZEIjS5C7+hby2lkrg+EflIBbU4WWVM4ApVY9mJKipepsFuofGWHYcta
fN9ncGJDQ8YVBeVbQGUb95HXTwc5mMm7WYPa3JZNGRyqbrSe3UhhvYnNOEYv2/8MuAdHA9wo+Db7
UndzkzMfNo6GhkZKewk+zYzulK6gsLdqYL6ny+BadApGZpuSWpObe88sIKAWUYYpy6XL752qfxfl
JI81iqT0kOI+sHZFTfgOKxn/yZUZq4kZOfm8K9PBfywsY76oKCXdjht7haUUj0M+t7tRMB+kyUtg
KYj6DC+egVQfxKGZ+uexm9cuwlqeIiZk+6mt3TMFkCAZEthBZeFcAwSY133/ODsZZa/l9bcQwqM9
iKYY7KrAUcTObMYRUScS6AZlX3yA51pcVqYXS0vRscksykvXkt6ztujpE0/rCPVeMNUDfTerzRyk
2WmOc9VsCJQiJMVCEgad58S8NL8NfFzWJAoQVEPuMQYdBm3YJ2altblZDEU1161tfYnzLU3L+3aG
rsroKAR8uzxTCKXvNF0q7HzZPJZj3B9kMma87tl88ACyfpXBwNbLWMbrZph/1OOIibmZ7RIZXAQF
zwBP4UHGy18o77xHVSPkA1CYy9dmZvaLItJzTutAZ68Rz5CC0IjQM+wxdKd23Jtt1+I5kQpLm0sZ
aOHcLsj6RuwXF8ciMM4mhQonTKmvEQKNL5HZY+jq4+IuDkR77qEennFTBZhZWkSnaiJJ87+/8f7x
XfbLzfafXYr/D3Gsud1MKVaU9D+/Fndv793b/7xV7/9z8xa/df9zfJt+FOlvd+Tf/pY/7kgpPq1J
fSYDB+nA6/9LAK39ibhwJ+BrMiChy0J79ecdaX4Swg0Cn1Q+rlH7L1ek+ckUtsc0xeSg/AAh/Fko
/G0UQ43B+0SJ8Q9GM7/NQxCZcRVzBQcm3wkykN/E9Rl4IBIZiihUrFkz8jo9J9mjNQcB4hz+8jr9
gy9l/XYZ87MTzWNZcAqBE4Fl+O1rxcSf1Q0WRtJW6v0kp4e5bI99LvdV7e6XoP1amu52UF8CsTfk
cksmk7lNxAuzCiDw+koXDVE79vHffFe/1ZB/fFfCXssEvr0P4d9fFQZRk9aBV7ZR2CRzOOBMLjw1
ED8m9xYTloUlmjTKrQcQxQfEw0x8N0e45SJMKu6w5bL7o9z8p+8IW4NfNQ/rd+TbUA6pOHhP/i/U
UZnIxiCHLwr7ZUwO9MWnuHKdBwQ30a1OWJI2rlHcNsU0dhBUlnNaY5ojgBY3Wz45qxLv1egq9z4a
rIJC3o+uHCc9MVIlfWNkNFSpV6m/F+RuT3TVXl1dexgPQexxP2GSJrIONjFAxVD0mICTAHtQiu91
2bWsuivbvTZbEokaVPNOtcsKplLsBMckPXvGA7FtD0tU7mzGwU47sfIkHJfJBlTnTWXa59ij9yR/
tPfsI0PpTdu9oNY5GQDglumbUV2hzaFxVeLccLnbzjEPyCCYvkxj3mw6Ao+2jZYnZyDpfjyBvGEY
Wx8E6WxlTx7FEN/j6E1ldlP47nYxl63vzmGJ+cpNBti6YGmjYgVXPJZTdRZCgpQVQDQIFBrLYd9m
PrlEbCoonnc2jjkDt/zodNcT8SW9+KlZWiLrZl6lANSBfmprJAJfSKI/o7Xbyop1GonEIz4/MlT2
DGO3JBMdOzKz4qLn5eHLBM6uadVD3bloE2kqDSh5A2DhRU076WriAlGqt98SeWtX7aViF5mmVE6r
KdkMzo3DJ3PyQzNDoJQ+5oCMjO6G3f+eafHblEWh43yDtv7a99+RwiC8bNFQBrc9oMxgvks7vBvQ
kUpf7tkJbeOoH2/MwG0esRe/xtD3rhECOjs55rcGLo4He0HssY15tOwhwmhZOvX39doBNg7oe8sM
J8MAWRU/CLRP7u0lrt8CkUq2ju76oYm8Dcvl5CSV8yit0f7s5fYE2Dwev4IqA5stghh7iKQiQfsZ
P5dNXoEeFtEG0R+CMjtHnLSJ0OI8+gyF91Qbcjd0LGQ2lUJSynfh6TeX2PpjRaymgxdziq+TqUkv
NLC3btd7990yyYfBLv8GxPyv2sL/Ly9JDiV8YCuA7Z/fkp8HvOdvecI9+cvV+Pc/+8fd6FufTAdO
JH8jraLJTfdn/yjlJxcAs821+Wvyg7A+OYiebSCotPyBt/Z0f0qj/U/8BouRPzpOiF//TffIeuG3
g9gSMPQsV3JFOn4APuDX8UISzU3HIW0f4swtUUxxM4CdcGsDpa903/o5AkYG8HXTNrm5ZXRc6a2Z
z569F04/7JUr1QV2TQqsixxVcBjtNmk+j0u1qyb0yFLm7i7x2uIkh2b6lqTjcDIzBtl4eGLSG4Ol
EkipfBcX6Vz6+dZnYvkQFRbWlqFdbm3RQFdrWeVkSJ4AqI1+ssEDqkMzV0eGrt2PuJuYt8mVEhCU
abArAsu/MYcxvcS+zUrDJjLXkGO7L22RhM5QpgT7Zf4VVPhgSzxpt20hKxywHQbvGbszdubtbFIg
RM6hnkfzUS5peps3XnvgnZG7UuhcbpxBLWccFfbOhOC5txdZQbJBRpZumDW+FSBugR3ExOyVfstd
Gk9zrmBSTKzs3NG/V0WGdKhtWKz7TvPNLIv2htzWi7N4ryTUXi91mm1ypzguc3GZJrbD7nyfGEif
XWe84xgmGq/pdtqR6Mq69EDsOoJdYAREOxpeUWxjo2xoYzXE4ySPvKeBrZGm3Zoic8eJcw/L+ApZ
KJmjPkFwUeUiSEBLN+5XxBhdTtCZ+GNHu34zhDHjCOyi1wA9Bjtnv7lbeotgVIIaPFITSEjosrnH
3WGY19zeBeadQSDZ9IecEIXAyk9eqSXxRlhAinicPmOA9liEgdJHlbRgVhOGdTGlb5xquzW+92KI
AIO4xAPwpIGpq5T8ogrPvqpQyrC6TcR2AdBCShTQh/fUU11o8lQeg6ReaXduUh3M2q1eJ9f2SCX1
TQh9Zvata+qvAyTBr0GwyIMsq/yhzB0IijOkACaSBevwxLxUaSsvWQHdp7W8BPiavtDmx5fJ1NW+
a4VxDEyVH6CE2/cSfTTilLSssQDnPNFuDhLAisYbv0ry60KTbYHIBngMiCGL9LwOPTPaDvk8SDux
t32gklPdpvMjyhR9KlVv3dlkIjgI2ZrpTbi+IpHdc1C89xme2GV4VWWkLsh/+iPFrnjqTd9INr6q
1a0wsu618CKkxnm29O120obb3hD7SuEQqdJYY+mBCco8N1DhKuSgkfIhkwy5PmD35svgcFB3k+eV
zw5AaKylBm9Fm2uZhH0MZhfhtqiRKjCAEf1UnmVmR6GBf/eW4wL0D4kG6Q2hwwFORae4U8MyXCbS
wu+0NYHZs3F6PjKUtc5OPpAX4rRW/d1k+HprDjAVN7aV2XhwW4AkWpodRgBpXJVRjkZfWaq2+KJV
dmsvorqOpiW/6zsFnSLSJCUUFqgV9MVHKRVb/sFQzb3fqOjWl05zSUqfkIAGThErcIJVKZp6ptRe
kV7sLMLxXs/exUp6fYVAKznQngyXymzUdUIj/0r+BHoeACFAIez5c4N8AfVVI6InqysZedtLfYgU
EyWmD92jWzV6lzoT/NaCGFWJfBwxuipzwPKFukcQqe9nl/kaH7hu2DaIU3YcqaihhyOhZd1R1lNy
yeEiHIOcTcQgjfbO8oLyLnUlOBG2T9COzPqHEk1MtqmuGW8tvvEo59G+nXrbfSb3zyB6tFHZFRsT
gkYGmV0xQ+SRroT4yYTfx4Simme3Nq2dwQrxOSVHi4cCOOcGRdESCmuGjUJFTnmeJ3uzTxQ8iLjf
tk6XYV7o7fjRkWW0TxJ/QDLuq/lU55W4xCURtHPpuQe8I35oYZnfxVYGBwkZ70sFcH/f9vb40AaY
g/lldGoGJV9SBTyyjLtkP1AW3tgeddvkFSuKh1GYY9nlK9rl4DXwyZbGwpoebG2w31nwSeSZN4Rr
1pWH+lzapy6f2tDCVehs3SJPzjk+0DP775Yi3e9ORAcidKGGBJKWfgec4W+9qj835JQdJLcaiLDX
RhDpA99MPhBfA4yVXDJWo/ETSYLTj6o3wTB1Qh+GbiVWydFurdAjblQiwUkAeaERUntjFl68HTrR
XBppDNvFQV7SjeibC58RWURy6dHNWDiVeDgc8dLBbSDXxri26ulYxtBEZRpfawSBR47qkGD0altm
dJRBU3bh0FndFvlD1YRdR3zaxjJdUZxzMfQmvsihZKI1VqyUkhHQ3JAVJ0ZA689ixVXYobrbJF33
ajLCPk5jTbacrwS0usWkd+hI596Njr2EdqvcfRWgDCWtwi3DEaXWUVsNPQe4H0ZSOtio7EEulO9F
OfZ3Zs99hsYhB/6BeLj15/KsG14esNPuU2kilVx041wzrhXwSaJmZ/XVfGUp+zCIZTmyn1oOFZiZ
F0tH7+swuyijt0TL/qhKIGN+ZRzx5G8GJ962bo22y3LqrXYM8QDRajw7WW0+Yh9EJNcZQCASycp5
gy+MnZabmM7Oq7S1L9HSJXhPjJ866ryzZdfdM5+P9iL9ZjyyvV0VQmP9TsbddPTtRp4Hu1neoJ+B
RkqquygHT1YU80JCaxk98gaUvKa2zzgw7/w330b07fRtcmPFkGj4HwWqIG0dGnOp7xBpmReIA+WL
mkzEVtAgSNYzJlhKyoaCY3sDY76AQcvP0hACiaARMH3MHcLDBeLQNPZVGlpk/DgHdpzJqQLU+oCA
mVVmoh2QKwzlTEJsKw9GTVDVD9QXaXVdxIYBprYsmJFzDGyTk9kzCt7ZBNar20Dr7syUt6CrFumP
khMHMgULVsIPiPXphZd+FmWZhRnl7tbPLeupl1Ox1zYtHL+W4lhGSboXGcksyMcYm6Pl2La+nR7N
MrVDBLHNQ6/U7arQrxqm37rrT12t692IhYikSZ1vBkqLbU8k0ZaeUr+rVOufcBDee/RVrygd37xm
IkfPdeL6NjDilTg4wo+TabqtaqEuUnQFxSqMvsWxO7SwM0LsHpiOKrieenMUZ9H6T/aigOiRkYoh
wliTsKt+l/Soc8ggjTHSutU+6cf0KqsqdTtYkXGAumowXi6HA1tGj6lI5RFbO0fvvmiZ5nRdfKiS
RfA2jOVT6tYsJoUf35llQljxMg17A4AYlKHCe4xl3F1ExdW5zewl27nOUBBaNgXxeTbktO/lALNG
y/ablU069DF/3ZVpN4ZQfeW244jagA50iaVM861RRKjeW1QIUSHGdKt8ctmSNNVuuBSiDV2sNDVR
oUqGSWQm+2yQUUx1pQyg0bVzJf1uCq1OExGg0RdEQ5CEeK3d69Gwo6M7OzlgMGWh/AW43dgME3J0
9ae0iOo7SVKotRm9hY1vbBrpi5t2w7FVefNg4hHZaTuF5pISAoZf3Hnmoiv4/JERvatSzw4dpM1n
VKr+UUZQpkYWyj/9Kvevvd4tPk95RXrzUJlha0pInjmO7qCdnT17ABODWoPoMY8Crpq5gt275GKX
mpW+9OZw75r9njrVvOSSvbBfdF+MqN6R8ZjcTLPxtZqwRou4dj+LCoe453eINGuaFnxT/baxTX1u
GKeE5F+ypdYOko0REO/WG0vcVDwYuCXKgeApM3e9J7KSXWzTQ8RPAEG7I4Hz31DIEab+mz5tHXL+
RdRFIPySKRMTB3tvgCcrpstgFQ18iWhR283qXYbb/zNqIf3kW1bwMvtTc2snS3zlz3b7laSnLCQq
lY2d4drxIRnn5omgp2WPQIQFi8wJau8C4w7jn53woU0h/ji8AwxVHEoJ1EbpCxtQg7CcosITAYP8
0GABxCqXox9Pje+xV8c7YSBWNjIEeGXnPY9tb52MoXHxrgbWiz2OEgAoM0W4CPUOIBIf2tx1bwhc
YkPgis7dla2/nLpEylcq9fjgrrQgFNFv9eTejQPrSyqUDUb6fBcE9rxzl2S+n8YKoXq+XFBTSSpw
IAbI2ZGe05UmzLUK7BMc2zGhJvbQpmCrEAdwuZcUheFEQNOXxS4LmC+pj0SyS7zpEmENOiUt1S4T
N9u7r+t+uu0RGaxKNiu6nrG6/XBHM31vomXaNY4hQ+Qe9kO95OipGPZheEQbFtbz5F3BUDOOrp3j
ks2WukUWN6YLjBxT/5h6/dIn5O5Vo5vuna4s9q5uiz3wHPABjSsw0y4p21cXYWvL9k7iNYS9QCRt
H7L3TG+XvOKGTir7TDi8d5eib0EODl/igQ96cNKBVie7dqYTIpOCqd3c/yQ6mlKwVEpDOVCusR2p
F7CjtDDWtj56VNhs1NnTR8ldfJTf9lqJcwtTlGPxxdMxtPbepJfHzajAjom1khcfRb2/1vfWR6Vv
IpjhfKD+V4Y/XIK1J8jX7qBY+4SxmGxn08XYp/oMO2FTBz3KcxqM7qPX8KjMOIzWFkR8dCPj2piU
a4tSfnQrqIP0QXUJl7Wn7C3gq2BF+LXkKiUGopSPlsf/aH8s2VXNcWil3vqdZ51157IGdBogJF3O
g8uWGbepa8m3hiEuhNKMMMFqGu4c3SEA8ece3sXaby3t8th0jrcrjObBsNP02Bi8YILJ/wNbPAej
AZUyZDhtkPWewr9C6XdFsGaCcjwaQNxnI2Y8nzJs4/M+wMQzrS/sZt3t6AtxF/hIZVregxmbKC0j
hi29ZVVBH5lnACaTfGBSQJOJFSLbqo/O0/voQoO1IW1Yth3atUnFTlztWSuycaaDbdZWNl2b2vL/
MHduy2kjQRh+FV/tHSp0QBK1ValK4o2PcbyON3b2hpINZcRBGAmBxdPv1zpgCWQHe6gsujPg1qg1
0zPd/f/d4t4ySHF0cXlDcX6BJM8vbXGIXXGNW40H92dgTX8+RYPhnS0OdCyu9FKc6kDcawqM4GmD
xUyO++J+t8URT1KffCTu+VgcdZLexhmwWOfmSdz4WerRh+LcB+LmwwFonAww0uPOjG/nU/LBcRoZ
GEqQANyYc9ySwIExi9uHpVhdTaYmxc2U4H+gdKXqAEUMCL9RPjutP10yqFG7beIkSLP0mWudBkP/
ZGZ0XMieVLcyBAZutM3WJYSvhi44CshblHM9mtMc42fk9iF5hxPnoZvM48UpvDtAp64eXVKgu33L
wWDyw3Qfz2Of3nJxE5Q7hyeQgTBMQOs1Hoe804FJHsKBm0PdmAhXgI7JzqH90HBOIxeYwF+zhFGZ
bWPOyaqzDDz4X5TQImtK2cmlGLJhatMGqX1bprbOSu1eX0xgW4zh6wrTBcBcUVgaKeQwTY1ywyGb
V92B2hAdEuspgd/9yfm+vDVvp17jdnq1uIj+BgcefGuMLl6/41qvVcciNqk3ydhJ/hBT6azdcUGA
ZQx7q3M0t93O3WgS+XSZtAbJxfCJ7pufOUk/noXJlEyy/jDs3+mtJURLq0NTc731RGG7xO98CQaL
hHfpcKKmWbvJHm6AvG8eQU1s3ERUm7mmBQpbHa0Sqb42tByXgtbDJKSy5GR6bo5Dyo4Gy6cTTjLY
J8Ipn2zHvYqflu4RsAxq8jljGjlY+vRLEi1AtND78V8bOuJJtOiMTubTlntEfezGP2N/EZ7Hs2BI
Cf/5w5lB4TgqTHMg/t5v20tS3P6ARo/SvBKKTvgDdo/Yr7ExukmV+ttC+hXg19uQXvkYa6Feq3yu
fHs58YPZ9WQDD7bVj4rEcL2g7bBj5J5tAuGV2H86qBS59pqMkQfALe7SoEcn7K/b1Aul383BaBI8
5J87rmYJ0xuUfvnN1Q93EyT3km528tg2mQDFxzZMjRYCOmR2Hq/02K6jtR3yiQCBsyu7UWlOvO/J
ttHQay+shPuzOcIoPj29jmCWWYA1SXnLRbqlpATH1nTMCVnvXAsZDOP3K+F+EgczwWBSLjGoZK/E
7G8z79ckPM97w9AErYrVzjSwroK2ZlLRxyW+n32/d/MAiLHk27ZRwloTrpISbLq9y0mlXgluU2vZ
1HoE3JIthv9rHqw9wPNisCBE4GIqKUGXAk8GJaEA4KTX5mJoum1gKftrEbI0sKpVMHSNDUValtVa
BdcgQayT+WiC7Ubjv98cvDgNpDWcIQ11lSYCJoFeIMC5DCqdyIXAslXUtRaZKtt13GwmcM7bLzVA
Q3eVJ4GpwcXD66XFW3qtrQZXAyPAMZesc3rtnUnIcPHWlvvD2pR6No1mEwADrhPtgmv1YGvCpURP
1C+Va/8mg61LlTtpSKS0KnRHYyYIBWDtgNjWgDmJtcgNY7YZ7ZFVyGcCmD4lBRiuRtkjcgCgYupW
hKNxHMXhgiqRXtl+tEd6wP1WNo0tjQMhj9iCOyxX1Sq4fC1dJ6323m0NBrha1SVgcA6ih6dlCQw4
vSobg0vTM/JyFk3bM+Xs3VmR5hC5gcqwrysv7i2OYlMjvuHS8w1TV94WbRxFTmHEqLKn378p4BjK
24Fhay1QbmCBc3sPu6qsBHEnYXKxce7pFDCAvKsaQhuXyTJddoK6ZUBbQJfTIfD1t3sLW1jLVVSF
4jCjbhp08XtRiaP3yx8UsYdNAbnnfdKVeIi5QiqmPxT+XiY6czvk7w+VY0N6Ei59WZyMy/+eP+Dm
rWsHVXx47PdCL7wH7Z4SEvNhXnhjAjcfaegD/aGu6m1LuH/PA9rowrzaDl+VH0XV7pDZDFIVS4MD
LyxGJwrPdidVscdemHiBVxasAzpjL1aW7I9fri9sNaU7suotTr3xOD74wxs//nlw5pHk9ysaYtOV
LUz1LmdeGBC1HFaVlEWTlGUzT0drgtMtR1XwuTeM+l530es9FhpIV6k06C4+qGXYbjXHv3rdflK/
hjJXSnX437o+wy8GKiPPzyOqgi/jbnzf74VhUhEO9VovPni/Wi7jYODdFXLSUZP63MEUvPIGXjQD
il6RnW3Pqhr57g+HfqWdrdmkXlFxp/dr49ob+yMoZt24kJWarSz2rjrqFJ1fZ8Tz8J6q/JteNDv4
1KM19qgy+iyErir9q4cxx2DNwsocz6NyqtKP6JcYerPyuFeBHmXZk8qIRS4Z1uJW758s7Mre2Asy
VqJ/P7mDl3gSjSBfRIVwmT0E1+Eg7mBFfdyy/H16fnj/Y73eLFpR+HXoP8bVGZTSPw1KDijvem8i
iSo+iNBQ5VUXo5Y3nQUhpPiV6pT96gWip0JQSfgO1PSrEhOKmjnsjfrrzFyy89YOVtzhar0d+hUL
nYd/drAffhbylA/FuL+p/F0sYupUebOZH23cIedo7eD9bsECU3zFp2wFL7LMduCPXPdYWg/rZ/zn
IKfq8jr3urDkyi9YkB1N8gGkyIB10MlXapqo3qbeHh2wbxy8OJOdlBvuUiiGjDX5Ot345aSu8zdX
KZtNL7RIT9f9W9XFll/cj3pe+OE/AAAA//8=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gradFill>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gradFill>
            <a:ln>
              <a:noFill/>
            </a:ln>
            <a:effectLst>
              <a:glow>
                <a:schemeClr val="accent1">
                  <a:alpha val="41000"/>
                </a:schemeClr>
              </a:glow>
              <a:innerShdw blurRad="63500" dist="50800" dir="13500000">
                <a:prstClr val="black">
                  <a:alpha val="50000"/>
                </a:prstClr>
              </a:innerShdw>
              <a:softEdge rad="254000"/>
            </a:effectLst>
          </cx:spPr>
        </cx:plotSurface>
        <cx:series layoutId="regionMap" uniqueId="{5B13388B-A1CE-401E-91C1-A4C053589A87}">
          <cx:tx>
            <cx:txData>
              <cx:f>_xlchart.v5.6</cx:f>
              <cx:v>revanue</cx:v>
            </cx:txData>
          </cx:tx>
          <cx:dataId val="0"/>
          <cx:layoutPr>
            <cx:geography cultureLanguage="en-US" cultureRegion="IN" attribution="Powered by Bing">
              <cx:geoCache provider="{E9337A44-BEBE-4D9F-B70C-5C5E7DAFC167}">
                <cx:binary>1Htrc9w4ku1f6ejPSzUIAgSwsbMRC7Kq9H5Zttv+wpAlGQ+CBEmAz1+/qba7p63VzPTG9UZcV/ih
KhTIJA4y8+RJ6D8eln9/cE/3w09L49rw7w/L337WMXb//ssv4UE/NffhqDEPgw/+czx68M0v/vNn
8/D0y+NwP5tW/YJRSn550PdDfFp+/s//gKupJ3/uH+6j8e3N+DSst09hdDH8k7FXh366f2xMW5oQ
B/MQ07/9XOj79tGo+0H//NNTG01c79bu6W8/f/O9n3/65eXV/sedf3JgXBwfYW6GjhgWGSU8R7+9
0p9/cr5VX4dZfsQ4oimjTPz2Ir/f+vK+gel/zaTfDLp/fByeQoCn+u3/b+d+8wgwdPzzTw9+bOPz
4ilYx7/9fAKPfv/zTyb44stA4Z/tP7n87YF/+XbZ//M/XnwAS/Dikz8h83K9/tXQ/wDm7sndt+q+
Bfu+Fy4pO+II5VSk/FtAxBFCghNByRdAYPjLPb8A8pdMeR2PP019Acfd4YeC4/1TiD/JJ0DE/b44
/++OgrMjTklKEWPfAMLZkWA4FyT7goegv9/zCyB/0ZjXIflm8gtQ3ssfCpSLewiR90HH4Xt6iTgi
FCOeUfEPoleKuMjwV195ic1ftOl1bL6Z/AKbix8rfr2NEdLf9XD/+BT079v3O7hMfiRwRvM0/QIO
+ja3cHRE8zyjmH91nez3W3/xnL9s1ev4vJj+AqG31z+U9xRa38dowvdN/jg9wnn+nEzwa+7D8REi
KWYU4W+R+avWvA7Mt7Nf4FLc/VC4HEYLUS3+vjzfwWfwUS4wcDFMv0ACS/9nPpYeUcFQzhl/lY/9
BXteB+WPiS/wOJz+UHhc3D/q9f7/IJRlRzTjQIMpsLLn17ehjPEjzLnIsyz9AsuLUPbXzXodnZfz
X4B08WMFs7v7xrifLu8fx+/nN2l6hNIcEg1/wZf5EUEMYUSBtn1DlP+SEa/D8ecHeAHFHdQjP1Dl
Uj45bX5fmO8QvfhRTrJMoPz1apIdpSkljNOvbpL/fusvGf9fWvM6HF+nvUCiPP+hkJAG+PHvy/Ed
kKBHOROw0DR7LWBxGEYiz4l4kdr/pRmvQ/B12gsI5O0PBcHVown6O1YnGAhumiFCoDz58voml3Ny
RDDUlBn6Wry8qBz/tTmvY/H7vBdgXP1YYJzdD+19vK+/Ix4pOWIpIpiQV+kuaF0p+Ax4zOv1yF+y
6HVI/jT1BSpn//VDucjZ03Dvvick6IgQwRljICz+mefmkLY5zkn6NZG8CFP/2o5/AMRX+1+i8GPl
itt7ex8iqMHfMV/kR5STDGf8q9ArvsXjWf1CKQYK/CWdvIhVf8mi1yH509QXqNz+WLXHf4Vw33xX
RECWzzgowK9lD4GPOJTmAonXo9W/tOZ1NL5Oe4HEf735/zpKvU64/yzFf/ON/2WLBOMjEKmIgNzx
GpVi4ijLs5yDzvWqa3xtXPxja14H4uu0bwz/P+6C/OMOyR8dpBJS8u631tOfmiT/fPS3x4OW2Iup
/6xT8mWtTh7/9jMjQKBADgEdMYcfcJZBGfdHg+v5kt8Udef3j/f1HwrmP7zAE0TPv/0M+mOGOUCX
Pqv3wNEgBc3QOoC7Yqj2UyhiuCDwA4Zg1/ohamiXsSNoAEAozEjKBMgwMBT8+NsQbJOMcZIi4A8Z
hTLnj27gtXer8u0f6/T1/U/t2Fx708YAxlCoW7sv33u2O8EpYYQh+AufP9zfQqsRvpb+G3HR12kd
9bGbWbMfwfhc2m5WouBd008yE+12xpKWH8ZsCKcoUnbqMdejnPJoL+duS6Js+Uqbki1ueEeTarwM
gq/vOtsIUrSGt91+qJvaSTP34rbpbLhhNSJLwWzDkczY5k0vO6WSoeimtNqFDFVeBttj9WniU9Kd
TN6Ti4BpduqWdL6fqrX91Omaht1AbHfwTTs0cqNGqMJNIUfH85rnH4e1Vl5mXizrYUURIYmdm/qT
4JMqKfpVE1uOXWr7U8tzc7N0jKrCbkN/R9nYvBk5W8q8HqeqWNYh/4DXurlelnRNimXC9VQMdnNu
j9de5zKjGn3o7VpnUmTJYApRR3a7tGbyktpserA0WU6FbchpOip1SxPa7npu8BtM7fgeVQO9bhLd
3LKmzg9JJOKYuG47TGhpd1WSs+p8onlWrp72u0zlS4nzOeH7aRyaUSo86gcxL4Bj4oIWO4fzaZRN
PW9nXZJnn+dqWt6gXm1PZm6aSVaq6z9suCZXYlxtutPBVkPREKveMuKmRY5jE691J9Dlau0yS7F0
G5WjWqdD7YxapFXT/JalefKuF0Y7mc8MveVjqlcp8n6tdyZx6JrnGn+y6dwfho33RYpjreSCVLhu
2jzx0ndtw3ZNV4kzm9Xx3LZ66GWfDe0xs70JJ6TpxSDrtI0fG1InQ0nJGJ5UUy13dPLzLAOJVSp5
THjBqpFf+G7IQwH+4VwZBcGHurdBXFExun4XV9suBRUT0XJNnDcX88YWI5u192RnpzbJ9g3Z2FNr
s4qU2vW0Kjrbdtsu77FLi0Q01stIh+7jRpz+FeHOy7wxS3vV0IVOErxmDbAYrpmPacvGWMDCLmNh
SGNg/aYR7MzgRktp6Kpvaar7AVY/V782Ias+G9ux9XRwuHqqqzwec9uP6UPnJtRIPeTpdMiaaoMt
tdDo92zItL+eHE7PR6HbSlbO8RM9z+FhzPWyS4ZubEtkGngfcEjO08T4ejeNo/hI/LbZ66infJRk
qeiJndfmbR8VeVzpZj4sqq64HETFurI1jStS5OneoqQmBUnb+aTTTHupbc6QNAkU/yVue8cL5OuY
FpNQ434VaO2k3lb+JKYhx2UdRLrjzFErpyWyGzRW4WTKpzBJ14zLm8SJ8EkMNLy3VqNLsmzbno4h
+rLRS85lN4jpJklIeD8PlMqBzv5s29J+PzmQsXcLt10uzVRNuwaLaGTiNdnhrnWwFo1XRm526t6v
TajP2rSmepfbPGTSVsSftFEtWKZVtkkKu3KWDs1eS00nKifL8l0e/PQgNrf0MrUjE0Vct3jharfe
5mLTfO8r31U7R9fl0KuEHtLOoRPW1XMrMcD4YRD19hiToPIdjmi9QE1MLkam1YUItNYSe8Ju56Yz
b6YpGRvppjw9QXO+HZNQDbeGz9NVUDiPEs9tUio4ufCr95rtpm3W+1BV1V0cIeQUWaO2va1nt0oq
OrNLIhrbYiPcfmzN7K+sG+gu9EpIK5blZKyG7XFcM8+LVWufHuraZ0zm0wrYj3WnM0lm1X3ofFd/
YKnC86nI0swXdGGDhBge3wI6yyTRqtKrrJlDMbnYr6cJXeYgZx4ycfDc+rIyyVgXKGRzB3vV+k+O
ZvldJCNswh6NAks19/Zj6kn3K+3nWci+H7yTeCSR7km+YV342tatjGzYzAF3qHsXbGrrW8x9EwGS
DIKOQqQvs6RF+EzbFc3lBMu/7ZiJySLzbp2WY+zmjJwMaA3ZVdd3w4XaTGXk3Iq1LpnC4nLomfu0
aKU/62TwZReQuVN4CE4Kl0G6Ya7mB9tXVhdOebar1rTrCtUyc0xaNKoy8f1ySqZ+0TJbK3c6zlO+
FXRyTSicj/4SWTyFMlVBlROvluu567OtTNakPkyNRidprMZyYqMjxdKkdNn3WWbPsyFNaIF9zI5R
l+nDtFwN47IpqeFQUSeHMG3nq+263dg0LZWoJ6gu+ryxn1hftzvksrN5MfMorRthlgcLbzrPwvvM
8fk0JsA4CrVGqmWo0WSln5EpVWT+FNyG+vdNvfZWkhiOWc4PMbgtl2vqPjg+iLOYN8Af6l4QqVvh
TnU2pwrcZehrOHpUUSQh7LQQh2hyGNLbjC83OPVCcjRtjw6yASRqE+9c6/iZ2vxSrE3FC9KGeNtW
4/SZQPI5ZCpmp5nI79kw5+U2Cne8zZk6xjGEt9lCs2NeUwau65yTkafkqTeimgrvJnE9pmm2r908
LsXGeHeaVrHZ5asZjyuRbr3MjBmGcjZ2Od+yPp63yqNSTFV94SgE8p2d276T6aL8WhCeJqOMeVrV
hZ6S9BDsKqzcTF+fbHC26BZb4k4X2GrnnEd7tglDzkY98l6abgy/CthnZaAtf8jXCrcyb0l/RRrH
b9sGsWMbY5sWpKsqiZcEPwrYMGUV0vamt6KWvdsM2TW1IseIxu4tapE5zCPA70Wvf210zRo543oL
0uQKyZRZdtnWIn9ITaRoN4jZF/kQu49xELTYYh/vehzCw6LS7jqP+XLRDnblxVxbdRloYLvMM32Y
KTJBJq7LInAuzD42W2bXwo9ueZsTQwZJ50Y9VbrXV02VZOd27FhTuAa8UM5dTCGB+nH8MJGV7djU
8zcJySYEAaBSHxiqdS+VmZaPSa6Tj/VIBiNttMu7Ttj8oHnHrqAjkJ2KZa4/g73DNVNh/SS20Xi5
dWsAemYG18lp4PFOrHPTSxtmastMGY5lTtf1hquB79lK53cbyfM969vmHhqlQDW6UM9KxlDNUVZD
bIcC95k6AFTzeapUhOhgquHGDFneA33Jayvj5iBSYb9Et+tGPZhTZpPRH8Y4DNVJN0SkSi6W3O1d
qtPL0HXkPWbzpCQOqF73ZmqmVC4DV5k0eOBnRrGtKTxZQiynWQy64BvasmLEfS6Kap2HD3M0gy0H
o5EvzOaqC5PjzJc05voEdojYCo9NvFeaQVKbKU9v64nB+gc+klmqxo7HGE4oviNE97dd70ItB6iH
bu1KRDmlkyoSjNiZCZRfpcuInkzacydhF7R4B3m3hQCIRzfLmg/0zepGo3dmBUog5yHodqfM1pky
TaCEuea0mar9PFFyzBz2vqxr0nFIby3PSg+pYrrAJnSVBBSUKhbh2SFPI791Dnd9uYmZb9ILRz7b
JhG0bEWSvhU0We8NT9Aj524cj/28QSavhyGOQFZt28p+7JeucNZ2Owf6VqGJU5+x8uY2bp0tVtGl
Zg8cc2sk4Wa3MT/cjLwN5cAGCFFt4Pl+BdZmS7KkeCc05xCnxprLPA/VvZh7fItaoBg7YL0iKYZG
ULdbunypgV+75LMbmw042jiciA0eXG5T7/dJ1S67gWXgJgTycgk7e0x3vUX+PhN9h6/tpNyumvJF
wrvl2iPXrUXb+RlL1A2VlrCrcFE1vb6uXE1Ospqrqxo1zSDXPLAUKiDcb3LIZj4VDC6p3lpDwKZ0
yLp33cx4KHtRuc/eGXw7ZG6tgerUeemqfiwTm2wlGxcAeViS45gNcZdXWaeKCgEDlKsaUKnaGHfj
hmAvdqamkiLV3WuXDGf1smEg+Om2HScxFZ9Xwqr1UCUNWy5Sa5K7KZngKlwHeqIYr6Ekg5oTH2I2
Vqce9vTD6gSQ5o2k6hYyd6dkho0445VvT7qI6k4ui88OKAljMfXM7hnkkJ0acL/Lsa4X2Vq2nRCr
rUwQG3fCJ5Mc1zBegNHkFDRJ9CvwgH4natHu69RkCTiN85LN1VZJMfWusEyZcrH1eOvJmATZZM4H
WfWul22PzA1Dm9ulndBKUi7oGWow0ClaVzucV5+Ap4oDAp/cQSUfdnBYTH3EQxM/rQjRTCYmrUq1
4vqjCp7dqC0Ni4TqwJ7OPnGHLWmaYlVxuVuW6nrVMf2QIqdvqBnAL/HCWlnldDnl/TQfk86pszzv
alj33Jxy7YQuFmbowdcIv++HjUGMMj5/ZuhNttcIGSUZIV0jo7LAZmuDPlEIMccGaOmuBscJF3Pr
RthEGRTHw9QAd02MjaXKNnfi/QgkGjXG33kFjBcoXH6d5wt5QzafnbA8JNc+0Gw35z6sUtl8uuuT
Ts0SIi8+yRXnO7ZM+g5cr/qgc7xBaKvGDsKjMhBdxkkY6VrUXLZrp0+zSufXE8H5IHvOVyOzHNUX
NMnGY210dmnwtnBZtdZeDa5Xa0lRk5QajeykatQaymq08c2KnXk7unG6FomiD+C76XWqB/HUBx32
g7BVI3O86kQmM0nf4+iB1ae1PaF9bi9AoY6LRBNoGU2EeGXGEUc58saeuHbU5dg2zaHifSNrkSwn
uMu7snJkOUscPGzN4CKyStoeKKvy+Y66bHw/QKrTcLfe7eHsB1wTRfemwo7fRT0mtVzHDgfZ6Tnf
97XtCp3h5cL7JE2LZ+ZCC8J0e5c2qd3nZLLXnuDPDIpByMp9HUK5jEk8X8nC3j2nz91U17y9dQuZ
3+WQlAHLrfd8P04+PtZkWYt/g+LcdVWbueNspcBo3LAsJcqtH+W2anq1QUoZSycsCsVvitlXce8b
KerBd+tglP56Nv2Pt/955xv489uR6b9/+Hy0/e/vDk/+uWkfXn7p+T5/fOvvx66fpbo/zmC/kAK/
nI//BzrhPx38ayJi+izU/TPZ8OXxmr/rj1+nfhUMQXKHJkkOQjCcJ0GMp38IhgROnzw32gnn0CP5
k2CI8yMOEwQoiQQJ0AzBkK+CIZy+QyzHAtrwLKNwCJL/bwTDFD9f6k+KISMgQOcgZmJMc0YQHLz8
Vjk0aSKWDcjlfnGjJiUalD6kYdBXSWLRO01j+p73irsCopA7N9k6p6egBcYTDuT6TUuwuRr6SYHa
M6/kkZpa3G1tFN2h8lDjnlftOOp3SvlqlUni+bupsljiDuNySTIkA3K3PcmWt4x6WoDfTFddi95t
FtKW7Nr5ztCuuVNb2z6OlGVXA2rsMQbecZpvmz4ZVDNeN/XiAgiQdPFFcLHpil4nWxHxGg+argEV
bQT5k6N0RsUw8vVGjNW0Smty50/x0N+2S95st5MIEP1yvTVvOsS3qbRmmN40qW/E6UbmFCQx5Egu
OcF6OsEKREiZTVX3mCR8XOXat5WTWYNUPIf6XYjTqcKM7daZ4OFmXevukQzEm4MSSz29S1IlHqGM
Wj5t6ezTYzyIvtlFltWFsnOS740QgyuTvMbNFeWsnU+3hE6fY8Wg6Fx00390kHXvfI4bmQ0Vv8Fk
pYfZ2hMNZ86S0y7RHTp4x/NP4NBkOsmgZoYQXA29kk7naJN66UiZT4Pfp1YRU1QpAQFDrOiOBG8+
QMmqHsc+GR4WFNhlwwxQ/cD7uKv0rEhBm24+Y6AGHlpVzVzWdGgOsCokLSJ1WrrQT1D7m247plM9
FyqN6jxzSVN/3GBz3FoggoOMUPGcJgOvJWROXMRNCSe7atUSalhlim4ETuRUDkE6a3NJSY3xwbYz
O006q85JWz+MDeyWpe1rVZrGj8VmlH3DQ1QyrFstkYPnHnmVF0CLUl0osvh75JdKBjNmn5Vr+Hsy
NLDJUxTq7KPuGOhPINcVQKE+ZalHUqgpObYLVaVoU3NAdou6jI0wZ3lsbrvMGuAsgz6ndKU3DFpw
H4bBmQs1m5Dv3LrpQx8ZfxganNuiRon7dYIydJQJpkuUOUixqmAEN0aOqNU18F23gAinne1OQ5sl
B8a3fpGrU+EcVGBTAjW+5XZGO+NT0h+IjVh2mbhzhEwfBsLaAnUT7Hdg3VQX0xRqvue+4iA3VM12
Txs96vcj8toUZtHMyVbnFgHnS+b5BDFQFOU8bhkvfINMewJdXuAcnZj0r2E2oJ01qQLpEgSmaTnv
V5WIUtdzPxfQoM/0ntQ57gudzOlVGEzKZJeD9J5tbADphiuWVIeqGcl7kpE+uaQk6GFvqNHjHjh6
SksyBbwWdT5ndD+vy4pKuwDQEqOW1uDrWLXLJemZGi+qic+2SIF6N2+MgG/daj7Xk1xZlc7vI+wu
LhGoPMu+UgmHMmvWqCvaFSRA2W2zP44apApkHT3hVKj+TR38ykH3jsI+zdPanU/AG8GxaZe3ct1S
9w7qtREXxNv6yc1RDLusqoZOdnWfAKumzAXYSFv7XKYlgyvaMa2mstncZ2ApfdHk2ax2le3qcAI7
cxllZzCTqRjIzTCZ9rJtKX3Mk6XFx9BgFOZ0JHT4lAk3JBLkgL6sNAWZzsAQBIkFv23hSMTbnjQb
kqhOyR7qCXVMUder4rnQLhg1vSm2FI50lxVt7CRrvWnQH9fIQjHasYffnwquKVPTVQkMZh5ky6Vu
B2nbYf4wQYl3MdW0fe+ZXUGNoPN6OYImcdoOmVjk0HXLDuKQSsoliPkYqr75YhK9uK4S7kzBrRZ7
m+TLDV1G0Ft0i2+bqdWkmCO1qqhBnTmpeiyALUFn6CTtV3MW4wwafwJtnLTF2fsm5vMeap9Vbq3I
T0YzqwiUnvJmtyQIfVrU5IoswYuFojVR207xbTygdRTnnY9J0SYhq2Xtoc2iSdtdJSBe3KNsWT6a
OSXvgk7rk3yc7B4NU3UL2dLwQ5+ycOdTu3zqoyGPWKTz3Tw0836i7RsBYWmRc89E2OnJv7EjWawM
m+5O+76GyAvHItRx2vRZ2YSJHqa2taagJE5ZQS00W/bcTdsgg8s/KNYCrGNow1mdr/yzmICytcaT
AlUCPStIzUfGmkSVHs7dz8cIj9nOTY6XDjt/DK0gD4WenS9p6DMvex+BU64pPDCIFulT501yPlY2
0wVuQRU6X5ts68owbP5t72bHZLU0kLvaqSMnHRmns7rWKpYeyn4qoedmPlKQ628mUJcvbF+Lq3ao
MZSiOX+A1Dycb0KFD3aiGeyNZelOu6VWZ0363GTpVwhUNFuG28bg56YLmcQV2AKNoFmgd3Ua8lmO
s99uMev1CbRTulhWOdsHZp9yjt3bnG12N1eNiZeAXvsBgYhSQuMkOdghQo2Eof9nfPc4sW271mLj
l8BcFtB32+ZXUDSHoheJ0Seth25Rm44D1Ed+An9jS1amyOQ3qEuRls0o1pt0TLbuTRtccoqJHz7i
tIUNpsi4GVn5vuHlPPhpljwP8VPeT+Rj4N10szg45n1CdVv/6mel1NVKogNntKT95OcQH6oMZBIZ
Fj8kpyFUq4VVtcLuJzWxN4KsoYX44thpBx0wLSvq4V9g7NBlgqtBMEMJY1M5QF+4oLiHwbqK9IZY
DOr9HCAyA7jpuyUJbdzFyDcPLQDo5XZAzKAnSxdzWLc5fqZe+F7WE7xHmR4/0zlOJ26m3fmcD+yU
Jqa7qb2fNhkY9ENL6ib71kHVc9B9E86MrtAB5VV+KgYGF0oH497b1DldiDxAsllhcULB6gksnDQM
Cg9c8HiwTbD7bs22+160luz6JQPVZ02qhxgWRnYhTK0CjyU9tE+WVdfXIC0PZwA8aNQYprdF33St
lQ0L7VVf8+0WiKkuF6Owk8Rw1ZUgXEJrE66pDlhY/1HUYwP+lrXzfkk2k8qqnjro+fXdh9bHXBVm
hcOE9UrpGYGey302jmE3VaDzAMFLqjPl+5TKLqX1CQOTdgpi5lpYjvz7yFX/sCHfr9CWZvTSQHcp
kWL0+a3263I+hK6982IE24bB00vPzWSKuYNGaNtvKtthovw1RP21HAYmtmMgO6D5I1BO31ape447
M4TJgMVU5I1IGzmA9lJD19i2TZEta/+RGwuphidiuxqanpKyG5cRfhvI0x3TFn4ftunr+ioDHZKA
JtKkoGyvBFrnqQMJJw7pSIrA0fZWbVHcgbpU8wIqge0SxD903PqlncqFLeRXJOik39TLKK57ojMH
/aaMP0bglhEkHLRW+wCZ+bpVKz3VzlcgUUB9fZz5LIlFzXTyLB9wdIyMmA40RhIkTQd2YzabMMnb
Gb/JIeuUXa7Gd3qL5k22Yn49rwp4m6Z9uHE40mmPxEahvTgnaAVmP+Wr/G/mvmy5bh3J9ovYQQIg
AL70w56o2ZIlW7ZfGB7BeQAIEuTX99rnnOorsTxEIeJG9GOdcmBDIDKRmWvlSj0p/jjxpHhTTitH
kCer5U1Mh+proxx9CzAI2C2nKHCgahIjZZ/i4Bs8HmpNteHA+2X5XSyuPyAUit8lKFdGJxMG/G1o
Z/6pW0sB9D+nxR6Qsa528zImVznvxMdKTOt9E+rgS4fywWO4oFR8TczYXLeA2n4kMiz6mxVloWy3
mrj5Rpkb36+zWy7qtZ6uRR9XxQGpf1juQzGV7YnnelkORQsvdDEMDb8AMhO842qpJ5Q8e5OCrjFe
N6h17MVShOF+iHt6jBar7b4FF+IqrJo53wPwX55XmY3HLi9RbBSLGMQhB6qNAlnX34AiIqpDoAp9
nNHLfe2UATjV2A8uHBuUOrvisBaLxUbI8CnrUJHG09RfuZzKy0L38DxMsYdiFuMxXohSu2KZu10I
57WjQf6eVJHcMU3cDrdwQk08+dEJdmE41ZdOZQo0ibE+sSB3qZzzLs2KJfueBb15w0gH/7ckQbnT
DtkhaBPggoyAKBAiAI92E79TSdfduzbOL4eyNyewN9qLyMzV9aCE/TpXY/8gggUgExgSQKGd6J4Y
3r4Tl7O5mGsU7xDOmH2X5CDNwDUbi40uq8jwgqP2L6Yuu+7jqUj7RK87p6y5sUThpQ6mFTDS/BXZ
w3gZdRIEGLzEQN/bGWWXoQ1nYEmA6+syl5/AdYnUoR34eDXjguyDYNHXeiAjgsWqvEpMNX0GgeLb
2geIrWqWnZ9TZGM9UP9Lvmh9tQRkTZECqdOU58hqCyCht0kBlkkuYrofWtRBtZrIqcgcfxibEMDO
4Jy+5gN4F2Gf95dL0A/lQcY6fBOvoMLUQclvaJc94do/cKauJ2ff03Vm90ygCi7jet1HFUqyJgL+
gc85gfWiSiRua5nf5sHYVvtysfX7jrr8OVTALpB9AupN2uEdR1ntc9FX7h6oLkFREXSi22Xl4oKT
mV12WZygzOsMg3sr3fqRk/BN1Rv9pmoYagRmvLAR1YgALUr9ADXtJ0Sd2b6t4viDWbrpS7+a2wYM
jmtTl81hQBV1hYuh6gtJsvCLQrixl9Z1p8UuYI2MwXo9dYm5K+vJPjY5fpvKIT4opMqnoVao/TId
xJfN2pC7jov5aRSIzRdTjXRn62D8OGQyvhojMh3bxqJKv1DzRbaFOtWJcNdxks2PmYpr5DljeJqZ
xOsG0sSJBhF/lu0AQK8FB2o6THpawyOikfsat3E4AjYDmNXZqDkOwQCKSVfZdtwTIkY84dGQA8Nj
wOHHgALJaxA8HfIAUKmos1E8CeWkA++mbZGZjIDPR7wm3zQJZopaYuMuyrVoPzmlUZ6wlNTZTgRl
r+6bsg/fZ2AvIfwG7akrKflE8oC/IWUdfTNl0EW7itVNuevxHS4tspsTFzUSCbG64n01uDneBbIn
xWPfm7a9cGqQx17xsT/Kelg/THkfXwpUgC4duCnIFxxt76MKxKWLc4Hks4qDCJXLVVQ7Njk+7Skb
8YaN7Rg8RmYJd+M8sT3el/4xr8X4GUVeOAATNRckLj7pssuvqTFje6ytqg7hjDoL8ro6OvCsi58G
sYwXpl0puVVuicyeAurUR2LIKtIxbGhwoi4ox52cm1a+BxWJhGmPV5PuTFafQ0Z1M8/9qZh1iYMY
E7vuMhMCai2nJPzRh87eyZVlz6FrhNjlC80s/pkoPxRtoa9QwWm7E8g9tEBJy9VXgShp8zRn4/rY
jtHEbxqHOup1l7vKHdZ8aY7FHMz7BVUJYCXiY9IMTXIckL6lFMU5AY9UhPOeRvF6i6RTf0pavFin
eQbpqFJm3iM1C556mcmbgK9mjxCS7nLbTZ9gcoW+g8vn7HqwTfkGDBj2tS6tfEZlJtwFeI8QSfdx
2lZ1fwc+yfCVaaVgTImiNw7MilOU5PW3MuiD7GKQZZGg/KArvYtWivJ8lTQ6RsSHgsGO9kSPe97P
cQTssp9vy4qac1poFeoR9QAUUrp+ZAf4dTvveiAH8Z4CJwmv69zGDYASB3M3Zb7Euwz8GXphkImV
p0Yssk4nMYUHXcWj2DNQnz7QbDiHyqbTeHNMXT9VKAfG+wwVyzct0hf810bDuecNLuYO73TFr4a4
YZ9VYNhO21y5fTUvFSIcPFGLiIN+x/LGXc1Jz79UddQ/8yaSH1betm6ndA70Q9Z02RvGpNnP1Cwn
uYwIYYsaKCAi8fo0rX1VA8O1Bukd4KQB/LIRaGicS/WJDUufttzyuzprJUPS1cjgNAorDnEhgV2g
/hEcSlJX15zVoMEUiHk+lCYwOo24Ha7LgdP7BoTSi7oZux1uMK3ftkE9XMwZHfQeHLJh2pNEjTU+
CQfMWYLPszNDAyNpKHDZ49R0ekgz0gQAqOcxa/rLMtGZBZ8kKlOgyMyBu5O5jxNHgoW/RJr3dhFW
77l1Cf5qwVe1JxVA1p1IFhTQpgpRsq3z6AmNxvl0ZKPkiBMqRa+5mUB0UvFUfibGrqhbFC6ITuAR
hcG+mdiorxJh1+eytUi6cD25PFTKiTjasdCpD0UxmrRpCb9CQUQUJyDKbYpqbf2tHRpyCzYP+Bh1
ZSnIkEZo/qawagRjMS6fhzmcKkCDGcefucqO76tAALQqmI1acB7W9mpcshW4jQbYtrOTSp6aQiOb
dwTuZ+FR+QVQ/Ig6CCEDuYGfAISlwqjHBa3iJrqUbtBtqmQygXLTTHY9gFUivurY6nc10EokY0WD
S10RlPR2xSiWvco5ao/IBYLqWFndgX7TRVR9Bqgnrh3RqJUWSSnvSlf0BvGEHuCwSzXUO3DJQB6q
WqbCQ9yOq9jXbYSCDc/tEB6mYurvyqY+MzmXyn3kWZkdgA7aj7AkTW50GNpU9crYmz4kYLzNgaDJ
IaBGfcuiosxPjtgSwV7WBgMgxgF+xbWubt6B28qu1qRbAU/bceD7Gc8k2wU8mVPGq/4YEBN3u6kP
l5ulDWxxziIDte+1G9Rxrbu6PJK8WB/IkFV9KhEZaaRMCUBq4J72OBUsu51dkM17PZbrcQjLcN7N
VYPyVxUmIwMVDHvYycadAnCV7M0yx+2wDwDXrvt66VFHK3SIYpIRHH5gzRN5Z9YR0X2Nlw0pGF/a
Q1aWHZJzWmsOppriCE9nhWLR0mHDKnAmuzW2jbNT3UQ/piqQb7UUESqPJefA8bsRcFlejhXMuO7r
MzlGt0cDt6l2fByCB4Ctq3xPinU5Kj4VSGDKccDjEk3BCWk9K34w1i6fagRk8bEsSAG4TrIWZxwP
h3wWxduqlsuFkAAQToC5xfu+sP31ukzqfdnkiKRb2Zf39VB/6AOaHbtCiOqyxCNyzM54pRrGKTtY
l7WfAegE37qiX55KQO2ASzsXIjSF212uazyFeudk3dwhh3TyYpjPtexqSr4imNNfwlI279bQgd/c
9bM5IlnLr4IIYNN+7M5/ERhrFCgtJ3CqNfseBcMMYuJCTw4FhWuUdNi+pLG9N+FCQDZoOhrtVjGv
FxQX9+04zP3bbHWwgBLQ/CEnijzqwcBnjyvIPJUkkbvOB9ufVtRX1GmdxZTvm8CgEhX1hq+njFla
XEhc3xJmNFHULYt8Lu9QbADTBlxR0KN6tMHwCwOiGOCZfJRsV1QkuhyX/DEfGN+jkrh8DrPiSAMG
4l9Ytjs5gOPzFYDMgExgIB8Qk7kYb1uZ88cKqclu6irZ7wrN1ZMmkXxCLKrWfZjkItiHgKIChG3D
8AyybPcjIYicgbygDrCXJmy+E1PKai9pWR9a7lDsH2wx7FfiQLxs4OgRUWrepP9fkNfbf6mRbaHX
l8jrf//fw2e/vhT0+lef1LnXAfy+36Gzrxpo/vff/w3JJuK/WBQBPo0pw+OWcLSt/d3DweV/oQgO
4DVEj5QkIQVY+6qJA9paPOTJP40f/2CykDvjIaScpCACvYcJ2qP/hUu/Qs7Rz/LP/37ZxIEGkheA
7D8tHHF8lh162cJhMoe3tMCNzqNDEr8xExrd/rep5T9Y9/x7L1pDElJM3CAFOYILCkxuXZflOSfc
/a2R9rdE2n+wPL7Ky+VLEVTL7FpxBONf67czX0P1pNza/fj99s849L91tuBY0NP5cv2kWStpQaI/
wtzM+tBHTRLucloidAgZKDs7Bnpndvr9j/3qG+Dzv/wxtJzwclYtKOiGSgqaGFV61y1cfvr9+q9B
9//3jcPX64PGFfZlsnBQzXp2G0Uzax5nvIT8ZpFj69JArCDJoI2hR1+2x8eXuOkv/6BeAgRE9MaP
0zl9vepym1kUFm1eHH//A+eFfvJ5zkIaL39AFuscjpbGx7kyYr7iyJDIHsgWARRa5SW5jWwFrvhg
hnYRSPAZWP4AOCd98fvf/8UX45sTrcHfjBZXilQH/ZyqMWII3qhU336/fHRe52d/3/lLvrAeMF4R
BJolPqLbZ4KfJzIVNPrRV3SYwd1V89Qg+BTBDer+UXW04EXKFtmWJA3ah30+4YagUaulmep4xglL
gixKdz9EPBd+xyc3TqeDI5iR2sTHZTHiQ9gt3S6bbPnGb+sb11MjiURfBkKhCnTs7yGI7TdtUFT2
b/LRf+p65Mb1dAGAiyGP42M9iul9NA9s57JV+Dk2uXE8up7BvidDfBy7YF2PoQsmfeB91wnP7W+c
DQE/Wy51CWcDfiKIrGcCHholYKmH3x//L1wn39hmk0ygS1sl0gZEjAwtac2Awt+wJiH6A/JEPKD/
kPLL3//YLwxRbgyRlKjIdqYP0rZDEeLeQDVjfN+MY/DDa32x8WQAK2w4I1hL1w4ltEUxMEdcURn9
h69xvvE/MXSxOaykQxnMkiVLu0CuzWnWUY/q+7wgfh2KnCWeP7PxJ5SBgjH3AapTIwL6i5Z3bXhc
2witTX0BxNvPrsXGaQzdNGTUNTLt0TjwVOklf9MKnjz9/lv86qw2XmOunERyHicpCVwBiAI86BvF
lm54rmJZuT8c1S9u1Fns4aXrRSEFqJToZaprtlwGYDe8SVSk693v/4hfLU9fL98BfwhxODy1YgAW
gOo0+8jXrj/6Lb9xH3YSQM9BvUunGl9grFVzBAtZ9J673zgPW9B2qZdSpsxMFb7BIsGAQjpWrJ4/
sLFnsGDjAd2iMgX8OIC0HcXtfNRgZc/3Xgd0DsJffl5BUFmPAsfTxOTFe9DZzT3gXECqfstvDE0s
YKaAqS3SHhXn4mJEETPZ5QDKQj8T4xsTc8UCmIdokVZGgTZhGjLJHUgg+k9v89nz/MQj8Y2VLapU
YTPjEw8Zyh+HUlEh0Fy8TvxKoZ5XHZ0iS/sB5DX6ybZqbv/gyX8V8/CN4dVA60S3znCFNfjEV3lg
MjSErFWCqFGOc8nQKo4azrRH0aVvTmgWUOLA2Uy7xykcufU84I2BoqKHtpMKTLFGBPZAATym6Dml
f7gf0dlSfna85PX9i6fRFQMZkpSGq+6OKzhaADazda0v+oSK5Y0yTfejD9jcXLBVtvGdo5S0t0RI
WX6QFUHnqt9V3diybMsYfSEFS3uRGbrna/K9d24e/PxovDE0iwKxLEHvRGHQyY8xnp874NyNn5/7
S5HgRYCMpqq2DAKRpHGNTGZvI9msO1voxfzhGvzCDM6SfC/9hCmGJSboqkrHZc7IpWRag+3VRzCJ
nKBvCjwpi0YIsvJefe2b1RDPc9sYOEUDBb4yKolcgqu469Gk1oDTzwJPFxtvDHxlazVY8G6Odogj
NC9O6rDyLjh43ap4Y8UcxLG2HNyaGtTK07VFJY3rvvyDk/jF6xlvjBOs8jxwiCXTkhTNnoBvdsiW
jnheqo1tIi3pZFR0a0qQN+7CPHpuFftTpPerrW/MLeJ9y1yt1lQBPby1C/otj/WQR6Xnvdm8nHlp
x55qIHxB1iSXZHLVIaOSpV6flW2smfZT3I/VGT/MCPiTVJidaaLCb+/sbIQvrFm2ZJVoMMTezyBz
RS2Qh0owP0e3VSmB6oAO58ysIDgV9ckkrdqjm3A9/f5kzmbzE4fONvbaZnGOwnAwp3MQf0deWE0n
NlboRR6BZXn+BRuTpYAm27LK5pTCcN8mqJYfI1A7/PJltjHZsUWsMq98TjsW80v0pNlDubSe7oZt
TDYamzqTawmAyNTsuqgbcQvM2nPrG4vFS5pVVUTHdOjKLNrrGNCBAOydH37/cX9htGxjtHGmTBWs
qMP0beGuqvHcY5FltadRbUwW9dFgitBkdtJWzeaRzqGs38Qasid+94ZurBYoyDSAteMQs9l1X/Xx
xyVZ2j9c/F+cDd0YbQxqB1qMoJYxAJzdUVCbdkOSWM+tb95f2peMZKWccPLBR00QgLWJy/w+K93Y
bNWvOggM/2frDADsLj5LmXhdGrq11hhNiTKPpmMCqvHuDO/ujP/BnD/HC18JVYU+qw1WdyX6Na2s
LDqKSem594215iyWHTrKsDojED5g9Umhn9zPzVOy2TpaxtHOgcXRbo+OHYGG+bzizi82OIMoLw/G
gdmSoR15OsZjNqOjZIIeS5+Nnnvf2GqT96TtaGiP7QRUf86L77ZcI79TJxs7NSt0FLp8ttBjyNmO
s/hjgE4Uz8U3dhpmMdoXwKc7iiFsD8YVn8GVMJ6Lb8x0MOdueXS1Hkue5DtegsRgNdpKvCyJbOxU
0BK80SDB1hMb3RrAI/eZULUfRHXuhHx1YSwjLcPK6Qp+kUGDh+TxIYAW1D9tqv9ppZhsTJUMLmls
r6Z0YdAY24FiF6f9TMavfqezsVU0QRPduQYva2ZqqIOZ6GCqcjn6rU5en47VWU9Br7bpmNBPUUke
DKMPfktvLdUsZbMswZgWeXAH9/hxIegE81t7Y6dJUTQiasWYlnMuDzaPn7oq6/ycQLSx07YygU6k
tWlQjAWa5cSNIEPot/PzMKWX1xGw8NwbJ4MjBKe+FQt6yePm2utQoo2VSnQtBXivlxTLGuiuEAPR
OYgXKT/XG23sdFKxzSumxxTqoOEHNsIPoMdxjfwijWhjqHaoSVhnnU1BLlsPnRNfcnSMeR77xkgz
WQxiKrRN40Uv+wYCWiBg/Ql5PS/yk+TgTB54+U0TtMgVfdCMKSQbk1tpVHRbB1n/7PdZNyZKRjLq
URe4jjkUAWgzfxCy8PykGxtdWQdpg7yyqY4nuouk+1gP8t5v3xsbZTNzc0GxdlCaJ2aXW3Ri3not
HW4stJuzDPpOajyGWQAifJndFGvoWR8INxYaQaJLrAEJjjxM3jSL+Cj1Uvu5lnBjokGOOF2DnJ3W
efvQqe6UNbmfJw831sn6eaEORe9jt04XeibXLPZ7QcONYfYLFIO6Hrkdb9SN7FwK4pIfDhpuzLKo
R5dbi0334IxNFrIq7/1uyMYkIUOh+7XCR2R59UW75EGu3M9PnUcRvbR2O0yVW2Y+pgtU5Z7WZUTD
uKXm4LfxjUXSNnNo5UzG1ATA+klbXSRZ8sFv7Y1FQhfNxJCSCI5xgeg2CPlnlkAmwWdxSNa8PhZc
7GGo0dud5gV0iWLDgkOSiMnLcCDQ/np1aSYxMjTCgc/+CKU9CSaG37Y3FgntvgGNgRBzsBJsC9Cx
Idw28Ce/xTc2OQMgX5Y2M8co79EoBPB9oNDJ8Vt8Y5ba2rAKaiwu6/ie2v5rwUCk9lt7Y5cQIV7C
QaL5WDf0Psbazk6+a29MM5oLQamLUDYmNLyxUpVXA3Pc81Q21pkbNtWIZ3FRYogOriFaTHnuFWCx
ZGObLrFshjbemKLDdESDHct4dwBhFxphfse+MdB+blgGvtGYKtZ/DubpGeDDO6+lt2StidJQc4pz
sVbFh8FW6LSAnLtXHIGC0Gvz1PkkUI922Lhz97YLrxzYr353UW4stGxEiIZGasD7prc1CIdQhxXE
78TlxkKt0uBc2mlMw75+YAGEvXTuFaSwLf1Jx0G7KNqYFGxqskebrN5HrPzh9zk3BroAUTCyQWPD
dO7wN+6qEPGj39Ib+3R6zECiDnSK/nYo3HZiOLVo9fIKU9iW+dRBFhDSylgdENJ6aNfuTqAFxvOq
bAz0LIlV5dGsU3QTNmetMB1cQ0xueet3MhvznAMKr8gsvui0fIOC4YMz8ovX0lsG0oiHJ+8hiJZW
XL11fX8JsT6/e7glH02ZrHhZM51CWzA/TrMih6Buv/rte2OcBfrXjHaVSZO831dsuWvQ4fj7pc/v
2L9nVWxLM5oD1IOnXug0b6bY7rSA0trAe8hilARCH7//kbO9/OxHNo9oXLWurbpYp3VBP9U5ew76
6slv6Y2JOlASa2iya9j/ZC4mo6NdNDE/qI6JjZUqkkPujxJsnEXPzRS0aDHp3/vtnLz25rlDy74O
c5PGpGDzcaV2YWgeqfPq4PcDGztluVLSyhpX0gUPRUOeisEvF8e8gtd7r4t4QMKMpbMleRjD4k1G
uRcMxbakIjTXQFFzWnRKs4akgSTjQwQNJi8qLtsSKgn6EtEijpuYhSv0vtBfR5knowuCca9PpXFZ
MDroIKVQYYF0yCROw6z8qsPoeni9+KiZtQwCQinc4/W0kOs6dn42tKUpJbOqbTkonYpMtWgbXq4T
6CP5vRZbKlKCWxI6UqEtspvuaTSgw2303PfGOnUBdAKzF4bUcPlcRPqhrgavJI7xjXFmjkHOuS91
ynEyuwQsccjgNNLPH/KNZY60HIIS7UvAbfJhr0n1YIPELwTd0unDEHlWG4dDqgqKpnDI8kxHC1EM
v4PZUpFK9CuvU7nAbpKlQd8+52/rIlz9vuiWijSVMc9AhhvSNYG0bmTYHV5SP/ScbWlIFrNTOggM
4rp0CaTY4WuXyuQ7dIVWf3hMGWzxJ+/cVokR/NkwURCxS5VCq+C+RfEszTL0EvuFdVu60VJZK3WT
oTkzMNWwn+a++WETMXsmjVvCUdSQkM1J0KcajYyHRvFyhxOKT17v0ZZwJIRzUJcP+9Si53YfchC/
0f/n6R/jjcWONbpIDG371DABXbEIM1UgDeRa5efH4o3NQsmca3S/YsZNDg2sYmzeuTrye/Pi7XNK
urkJhMW5o3n0AnKX5jTXXX7hde5bvtFEJ7r09dynZRavz2GXqQvMau0rv4PZEo4o/GSMPuw+Tdps
MCdhJWW7OOugyu63/82zCjCu6tp+wslTM19qLd/lQ+1Xm2dbypGoGki5j7pPBRsfC2UeIETz6Lfv
TdSr0JNO61oNqWiTT203R5CtY38iv/7C1WyJRgNK5hKjSfqU6lJ+EgAVLmzVTJ5XZvOyjmHglpXG
XQpLTaBtCZlUTMMQfm6MbUxVLwEw+hqrx9NiISbVX1Xtn1hMf4WgP/HBW5rRUDjQ6yTp0olXKkPb
blvC2YjCQZS1SVR10fTL/GgbU19SQwOejnk+xE9ocRPDPUtiox8TAQWnCrhkd4EJJ9BjEXWBYrxy
g0TH+8rKQb+D5nxg9yEUY6vPXZ6jF58jsCQHTAdBr7w4a3kd6ghVsj0HSo3RLkMgy5QIl7PLrMOI
H+hLoprwIQCzdzlFtDTiQIXDmnNdjOtJDUlu0G1HVntqCHHrwUwNhUCMYCy7HxkPyi8miochlStE
xlINiaXq0I8rutbDKZb7VhBIhvEFApsXKupUcsNli8atcFgx6kom826CnPclFM30moYdBoWd5qae
GGRvmIqPk5gZSth1Dm0XVfcN+vCnJFn2UhcQOWm6QkfXc5uVyWVNo5Gl0O9SM7TaqulyhXT6nW6n
kB1YOEGJDoOXsvWxjspO+EUhW/bL0EKjoYPWQZqg2LaLSXmTr5AI8bLbLfklxJ8WM9l36YIpQs2h
C+cydZCb94z+2MbbNw5TdiCE0aU8zjuUrIIdZKoSP2e5palRli2Igus+zXnzPWPVYyYKz0OXrzMQ
jIdwrsZsizS2WWowUyaLI7/K5nna30u0J55Aq4HWZA/dP4iRZgE0mJIa40n8PugmddKhorwC4pgq
UpY7Vw0/eKn9ItYtQa1Eb+7UQksgtdCKv0P7V3HR0bHx88P07P1fENRyXmBeFOEmVbpiNwzBN/oK
7PjR71w2Xl43apqmfupSDK6w7yGusgKJaOXoeeybex61RbQGFB+VqyZ2RwIloRWiVjF0Ur32v6V6
jc0wZ1Ax7FIAVT/mnkH90vi1XDCyuey9nfU0LKJLc0hHQNrECAdx2qQkP/z2vrnxUzysdLKkT+sB
CmM70Q0UGDtmM/hxMTCa4fXVmTFrLYIwDwKEMGI7K+byWBSFZ4Cw5Xv1GNJRrgpPODAavQejjO/7
YA5Tv8PZXPs5RC9zXLQdOlGhjcjpFENge9DQ3fZbf3PxTdlipl7XwZO1VlzlLQ0/Iadd/ErBZBPe
CNcMK/SCkaUtmbvMWGZTEY7C89Jv8hBCa5sUZwdfFo3amxnagxZic342S7Y2qzFiyCFPToOlpd9z
sM2/rw0mUPod/Jb0FRPaYiAM1IViLqbgEpNfIugjz3P8B+zwF41vbEv8Qj9olvFatulaQ5Twqa8g
nLfPREv6w4xpo0/oCLsLgqTGKKGzCvJeYRolP+VBHHd+X3/LD0MjLQ8tVH3TGfK7ch80JQQomrzt
a780eksQ4yGF8uFw9kzZGGXXDYTyRboMyxh6fqRN3rKGVqMllbQppVFR7dxczgyj5KD67HfJoo15
cwx60i3BDywWeoP5ap/B3v/qZdpblhhmR0A9zq5tCt0ns3eK/ljH2HfjG8tWwxoZg2FuKWLbUw3x
dEKMXwngrx7HFy99EwShmqEgkkJd20AADZJTaCR563coG6se81qraJ7aNLNaHi3UnHYNBOX97suW
JwZNrK6FLlKbFpj48aUpZ/pVB3huvPa+JYoZCHB3rI2aFOHKHXR7rzFf6JPf0ps3WDngjFx3bWoc
ya+gMy4x766b/R6xLVVsrqA/P1W0SWklO7UrpRyucmHb3PPYN2bKEozf4pjQlIq4LaGQLi8qFi1+
JrqljEErWKksKdo0Yfl8Y3TD9mIsp4ffH/x5iz/J0UP6OjZJ5mqZ5gjve72yAVFzaBQmJYdR1x05
EqPWK8aiWz0myHNkWT9qzPLS4gsS9dtG5M+//wvOrurf/wJ6niH+MjBnUwhoEO1Y6BDssnI3YGDW
95liHqXf8psDKhArt3nW1mkCpVBUd4y8bHhsvUyKbgWZOlJat2psPlM5cvyI9DtoPvi5A7rl7yR8
FUtsUOyI5jFaMLIY4O8es07KyStZhAbA67OX05xBSD6v0wiKgQfMmA0h9ikzL1+JAvTr1RdeICOf
B0z1jZTrrsowCu8I6WPrtXu2JTbKhWcYTq+6NLR0xEzmeCzP/j5MOr8AMdwEiE1QnGf2FHCYMXm0
Y/hWYZK7z7Vk4ebkIUkySoyX6tCHHseHQgNfWqHR6XnpNyffwkMGFaiqx0jo7O0EEezHNo/9WuzO
U7deWWwNcXYbElOfAwP50GPuSDoWsfQ6dPrXjK4Xz3ePkheG8pwNNkeprBvkQ8AwoM/n2DFP9/XW
7TK20MYuatBWoCu2R0csRsbXGIHxh/X/Klb8xJttiWWcYawd5xbejEPb980QYcjcRVFNgz4hEbPk
FCeMQwc0rl13c9Zoh3QjpsI3H0lE2clieuClYAGUgJMVspMoOgaYXICZx45giAEmwexXlWfrF0wQ
K+ypxSChbm/j0n2lDWPXE2R3r5YCcpqQZoYq6gqRinyH0YZsfcohMF0+VGchiae2kL05IGFjK/5f
Pe8hv2/VXdljUtgB/9oUt5RkmAzudehbQhx4jQM5NyQfVRaVdxOmVN6Qgii/B5ZuKXFdgAnOqI5W
KXHhd0xaekgide+3801ggFxzaQI+VyldwbOtCbuEOv+flC7Od+5nV2Xz8FkbNGo1rkqHHmIal9pA
jvOQLGA9HGZkCOqSJ7zOP/r9JZtnMII8MMYqxlUKRWt+ZJijfloxafOd3+rktVnlS3YWrqeY8Y25
MocgW5/HkvzpnM6H/bNz2njhKFSFrbStUo6JvI9gVbM3EirWn10Z/Q9nZ7bkKq5t7Rc6RABC3S1g
p539ajJXc0OsrmiEQAiBEE9/hvdd+a996g/fVkQ5vTCS5pwaY3zRvwwH/9ufuNqNwRUCHt1M6jBv
BNTYxk12avMVqOP93Ho42v6lqf4vP/m1ag7yhHpZWQ+6S+uUOi50S6AOi/pDq3eRFlB03zZVItci
ugsjWVe2x0Mb0ghCN/YFG9GNNRW/qvYjBI5gEDCoO0CZvzvij44kH//vN+m//BLXIjpOoOXc4cFF
IvbE3Vn2Mz2OQuLen4FpFd+kLgAM8e/vK8Vns7blEWI6kPQHr3v9VU78Nmsruc7qmoOcWvB0ujvO
qTtCcw2eawPS3v/9hC7bwz8sh2sh3dpiFElAZ75rM5EdzRo0SLPtTX0c4VcLOWYGACNQFspkbe/j
Clm9I7vxmV8tY6A7+nl0+Oh9zw6VnI5AYN3UH5JrDV1AUlk7S1WVqk0fkGj/MLHbpnjkWkMHWWHM
8a5Upen8dN+BvnAXUfLppp/yWkJXUd6sgYAWqJJ6PhgDPFEAEvx426dfrdJYKlvROGrvOEDkD1C9
fgFO+LZwWKRf/30F1YzX0Zou7V0PFPFxkW44xVN/mxSVXMvoorDh3lDb9q7tuqk0DQgP3M6H257L
1bm7dfEEUMEoQaxEMv8xTf2bsUrdNlQk7OqkbUbppj4bZDms07PqR4DZxtsO8WspXWi2rdY1Cqne
IcIdlJi42Hv6Lzvvf9lXrpV0K9T5Oxx+WETzOuZQjRWGIVH4tmd+dcDuCOmZV2dauJY0yO+1ATCt
soO8TZBGrrV0Ugd4LhSVMFpdUvtFX9mHcVPtbT5IgBT//rovbKgGPoEeoD2ASOoDVAD/8mT+M6r9
h/38WkuXMaAo4+ECGg4RWR9i4BNgMKoRtvkZSUnjXUvlTnI+rZoeGKZrvpicoisiLA0Lx2mR8XTY
DYgXPzSn6QpuN2n5TRN4kl2dk710BNRTOh9avtkjrRxCfyN1270auRbeEJ+Cv67AkydeN1BZuM+w
VG7/8lz/y+t8HfCz+AkxOTzMh8CTHVQFZZH5f+P+dC27oWphEZnW+bBrRDR4F/6KbXObf4hcy27A
XNRTBfjToYZivpS+aYo4hX3rppV4LZnYIX0GAgmbKTfpz1kTcKHS2yyV5Fox0Wh07COQmYc2tqDn
mrQ6VBWkMzd982tJ6BZNYA+n7jJOsq4+tyQWy6GZ1TyUt/2Bq7d9AHiFiaTh5WYbhtMydMtQNJQl
5Ndtf+Dq5LFOLTsQ2cDOjI05aJH50sjspmsPcq0JRf9AiSF6OSSXEDpPJ8QGZPwmsT+5loQavmZz
5fDh64Kk737Opnzs09sEp+RaEJo1C6IZlmE5pF1iCqKSLsfE9udtD/3q6AHDQsQxAQhwTRudiyiC
m3DL4tuKrGtFaA3hc5xFBJhByLzAw7D1c8+Je7/pu18LQjNvDEkYEOORxBVcpvb60AZ624O5DqBr
rU9GqALcAYmm6eugN/UTGHR+W01+rQbdaeMnt2CLHAYGWg34brnPqn+L4LksyX84NK9TvvpETaka
iTiyqqfrawO6qT4Glvb2CEoWTsGbnv+1mKpaSZUlHTY0moqoXFMABIdtuU1MRa7zvkwDeL1j+PS6
HtpSQElVyDH8vu2rX21mqsMvAD2jPZgN+MtWg4I46+q2veZaTCVNBkompRYwu2U96kakORKG99s2
G3JVQYPHzNhuvT24Zu+Pyaze9qSjN/6k6d8rub3R2T5i1nMwouEF6FFdAUnqbbJ/3Or//dMHMOcc
FxUIUTqyRbeDm0VMuC25CQ7ov396lWW9TTpmQD0EInGnui8EouVvO/6uNWBLEjBytrU4dt2wf95j
s7138fBvWe+XM+4fVuy1Cqwi3gM3DVIitQn8KJc93gBuf1u1l171uiDcYFwdpARSFaPzNfo19sPn
mxbStfpLJWlSAXDBj8j5AhZ83SHwc802f73t46/WadKPZNxjK4/U6AEa1m5jzSNL+kHctlav477M
LBYUTkYe5ZzknUzv+/jGwy+9WqgI4ppcSPHROkMpfNFDDLcJEsm18gsAhbZq+CSP+yX6SIFKX2SN
8De+LlfLtAOFze1hBJNRVafBmteY3ZYmSK5lXzGFqIhonZUM8oduiB6zof1w06vy/0i+ECPUWEDF
ypSBW3iXmR6+68br5e22z79qcgeTTF2/jPyYjcmGjPNszu4vVr1/yxO8LMZ/2AKu9VxtpEwmfMWO
2kTzyVXrCiQbj+v6AJ8qr8613n3z5Pbq/6O5/k938E9/9GpQxUNaDWs39egUNj8AG9u3fWoOSmHV
9cem2sAwnkYNnkw+kAln+9YBhc7PY29Yo49orDul835Xazg3FYjqPwjxkN0NMSStKicdWPI+R8Nj
pkfFEmGe1rnyCTtvUcYnldu9ryOggIlsSZ1bxw2aopHhp8upnMb6h7GNXoB+VLzVZ7IrxD2XAQ09
r8swrR444EC67RMi5Pza5lSBwYOY79BuwEQngN2xDPhDZLerU2IUQza9xswSDGv4CvoFX3Dm4/Bm
Uo3aseOd+Esbjf9slylbSwa5L1C/eEKqWFeftnd7WDZm0S+TefgxYmjLl3yzSZz4nApWN9+GNlMS
VPEFJB4YOffRatAk2y58vYj0TmbXYcsHhEaBmunbOVElh3GyOuy4skkBTqy2uagE3jRZrMwHqst0
3Wn8kAjgywEfXHYNX9g0hhNi/IeCM7Oypy5eWlHGLQHht+FsQhUmtCiFRgBuDuYimwboN8HHrUsn
0WLxAhOSrR7xzYBeBJkwZRy+ERCtq4yjbMRewvRyj1/rQnC1ApVdLpOo18BxDun3yWlW+rADbLkA
b0iOBuB69bzbVLD3Zko5fyauIuRxrxqx1GW/w6OSHaVfEiQi7Iwv/RMcGgK/l2lbgy9Xx7usl2OM
VGNUYzoed3UKjGz+5yR0O9bFuGIYDHZwJ+TnZOPbHMC6zEASq0V0iYHsl37wEVwsO0RbSNDhy7oc
An7LcTynFIO09MzUIIDfZEoemWqGYmSb18Cj0hBdKNZjWOeHeJnVwVvsUc9srJfu87al9SDwOoxg
QgNjOG8FIPFZipTYJvQlZhyN+CYcGcYHue0YAjU0Xjabe+MwzM+loDxFBeUcIaSQlJDuQ6KEZUcE
rKjtYUh9gql27JCttuOa2a01vFtxmJmDkpMhZC3ul59pH8EzY4FhNZ84KKOibKqZdj8xBxEA2kIy
Na7l3NFxflYLmNufIc+a9LEDHTUtJeDs9H6nUaoekwaM099gmo8LHDM2GrPnCYu2OQymCenZgPY6
fWkiLeIU25uqGc25zqR5jp1Tyc+sqyoRQH+Xur7zfl3pfWzbbPzaeRZogcz7GG702pNEItqZsv5X
5Xyt6lxNSvykhE3mC9zlO/DVbYuzC1aJMTxB1TeDS56OUfZr7EDCPuvUhABwb5wkhWmwkn51GV7z
U63S/dlJkNrjFNDhF2EXzg6xaE3zcVLNtr96eCTSCDfRyA0QIHxi0Zxn74bhL4Wbm+ahYxMJd+PY
9dXdlMrEPiyT5GnRZSRLvwmWZvJ34lX1DAt5dI9rpP0X3CE67zytyxoBQVG5tbvw94A8rPsJ4UHk
ay/bTJamh9PxAw9NPzwnddUmZz+2SzhEU9NtJxlszO4421T8JWaVqj42k6xNYYKLkInYxaC951ID
jXu/7jO1T+BKu/hMDDP9G8ga1fiyUMmbY9yokZdu61bsnZ4K2xyhn07s0yRX9qtHJsBQVJjS+Jdm
iy22kmbc/IHR0dm6jHFbtT6oDgHHx6peDBwqEV/rz42YZXbWxhgGmmdk2c+mkZ0p6gGo8y4XQ1KB
hJ1mZDvPvZ5d6XwaR6WbhzTJh3735htxEt+gpHGdIM5ww7doQZG+IL6jeTgMl0ieHIF2u3qePIxp
B2qs/57GwTPwz+oBuZxAQbAnlEv1nwpLmBdd36S6YNrT8UuYwGdEwJHWiDzLidr39uwdXLKfA/h0
tsqbyfEN+/1u/DjmncMx7XNMvNf5l19WQt/ByLA4EBTSauTHHp9y+SGNW+wBEEfcdB4Gn2qaw/s5
0LteJlId1rUmfcjrxIn9wW9zjQnmBvSTPMVVQI0IJ1vTnGdg0KJ8t20bfWJU2bRsMgbE6hyviSx5
2Pfu3cY76U6r2728W/QYVeXk0yo8EtC1XuNk7tpPmCKnQeVt3zt5RGp87e6lQgfzHDCFEMdMtTjv
XFVRUG511myPuo47VYy7TVyRGcsj+BbsXLUe7rl9Tj66WGmYMYbMudd2i3l6Anx56p5HJN21U76G
DIQb5Irnk7cyOYPnOrsXOk8RaLEtaLCPrCcz3rGh0X3zm/Rix5ugEdkGAmwt2vWIf9nWHahW2fzG
1NpU93PdduQMEy3rnxabAooFnnHcsxIsI1L92RGVjEzzuenoaR7buoa2GSYmvCMCOUr3QOkGczKd
JtAMp9AQx4fZgHqYry4M6Sf8TfG+Jo3bvvcIjYcnXabNmBUT4hfrIsL+VBVbZbZPXcqACBfSwOtC
hwFiVb1aERXBLA7MNzv6DQaSlScFLhRE84qvS+nL5kPdnqIhzXBz1FYqWj5rvY/DPaS7zY6qaNi3
Xzg15kEhIzWOkw+XmxoSF6SZ+P60xzLTM3biPVRn0eGnR9AsAxHs0WNDnl5Av5jtOXaNdKfNMUkv
J/fWIBOgxmOc59xJrPIYeXX1vtTF1PoQPhC59TIHaUywI8809rdcEd/Zl9glYvqx29lkIF27daPn
kJF4e87w9jdgg29gxOAfScbqRWE07j8KhYd4v6ed3cqBLNSdcP5HIBWvLtXrwe+c+xrFkxt3/Ji2
Xo+rV5F+40lw+nXFM1vvpw4KvJdubZu2yLpmnL9uhqf0m04BYtc5EsLiweBJkb7+PSAzNX5Fan0m
f4xIXlHfgWZWKforBCKSQndpx0+auzmgfmtiAfjyFC0BRyFw1eRS7SEylkV05eWMkIYxQDbKo59I
lQ9ZEeNQ7877MqnPfMH7fVCx71nRbjvuXzQfsi80hS6iIEFUXYFeNONAFo58uUt7Ttmaky3W07Np
pgaW4wTxnUcju358Itr4qM8ZHFg/unFy25Embba+JENskb+Le1b5ORODb45rD1LO65Q25KuYQXkp
56zCKEC0kWPPYTAVP8a28+kL7p/I8LFXfN4fkm6YRmyYGdYGZPEQqok7hRBV+1TpXpqtEFlWvwYo
X6JiY61eP867n2CIhu819QViDCtVcJm05kXNmDHlja776UACfLX9ERa15CAqMgyljasUv0Tb9MlT
tpgLyZXNl+JHQO3b1IUUK01LvUxxAqD2voUvneiRmpTvGsa/zwbmNvJez2x8tMOCiqto6i4qkg6p
cKHA7r7m3DPivqQLYg9ONfMG5z3fYpTpBAZe4/JAssidW3yF+MMyDo4XKWVTqUKzDHdqw1L/RmPr
12PKVZ+ATGIReZZkLREl6aHEzGeS7EeJw8i73NKqm58XSKfkUGimef+oAJh+EeECQN3tTh5mIVR8
ECDYbDhGUXKUds+w7QNlHdVnxQbqPi99lawfB7skBcbSU/o99JVfi8o32QnlGrCWCi6aEbduud26
5tQ4g2CNDL5qHLak2HcnTT4ChsRKZ+P0VKMe+OI1Jw81opR0zmQ3AYGdpKxGZqtJgXHPOnYvfB1+
Z3D/dE8plo6+27t5l09TlNrX2CPiFS0QcY81E+mO2inJ7OsaGSjJ3cYLBhv5E0boMGuDLkqQRg4n
71OwIn0bfVQfVNoxlWu9uYdV9fKl9kjQLxVe44Juiy/SpmpPWZbJx4XV4b5Otv57qNfukwT2vGhj
9qGnVr/RTg4SHHszQ3ay9EpN+Ra30s95jWo3HAPwbuHE1rR+Z8lm7l0XhCzxOrNC78u+HQfb0fsA
+WL25iPBP9W9h2qhTN3Ao1Ol+er7vMKbK2CTD038u3VVcG+UMhbytdWbgJQzWX0o20sewLkP247Y
FGGTYEDWnaY5RR/TkrErgVJPovs1yWBohn3ax/e2SSr5PAPY7o4rfP7x+876lBUyZKt7WDJD6++o
XPV0oC6N0pNpTZs9dtvag8ZaD2uf+8RY8U6W3sQvE1mIOSCmIQyIJJhZcx6jVfbfogYs4a6goaVt
Gc9d4/KFtihFpVt4W9geNYrPKxIR0ueBhqX9tQlKpsd1G9f9J6BUHuUQyOMUb3ePtUVN3sEw1B2Q
olOld1b0bfdhS9D7H8YhI/roOPadEh1Nzc/TRX53mLhOyQtMNR19gH6WJGUiNyrPCWxT218t/AH6
ZZmdMHERZL029/M0k5hdEOUCN1J7l/bhA1pjnqILhmRzf5jnfsa+0AzcJ09GY0l+UmhW/TdFlTxn
4G2jQdaef0tmoqLvGndaaJO3kYJSiCF0U+DtQLGUV8uK3X22y1auurbiC4On370Lj7396zxPMu1K
yqcI51U10Gj9xPzegfkepSknuXOV1YWsSJ8+z7vYwl8Z7P79b9vCzXYQHVB/H0PfbBKBA3S0r2A8
U7UdhhXprneyjdLxlWGVYUeMiZ0Etqdm4xgWNgPs+6eOxI0/EdWoWJfZblEC5D1jrEYM/Ij+AxVf
NxVhNZdaBBgX5z90ztra30lVK/vez9G4HscucvI8z3Kh+MV26W05pf22fleSwovEGiXn786raT2a
OtZRIdWSPLRTXbFiwt2jewxdl9X4SXgLM+CMKXthzQrQfT4xxMm8LztSchEEMFWPY51Od77axMeJ
pMGhOqD7bl5C3/e5BU8zhymsXgj4YqIbj8ELGooaCNLlvJMZDVojF57Pzo+Ryd3i/PyBJ543f61A
m4jDruK4KZm/nKt5PYMxcapQZj+2iObCW0cSTe6rDkzTB1OH8YsUeAglcS5L+jxuccv8Pvd7F6FK
DXF0t+14r+9QByT83uEI6H54T9o7tACJ/DYi4pw3BZV13H40K20aREInmrVLjpeMkkJgVw3o5iIY
53beJO2z6Hy8FxYL/k0lVB/6qmUDllq13I8xJhhPmFcQ+iqGjal7v1r5E5OYryg9XMqAVGGQgI9g
xKQfh7SuviPPomvLWmNTbDurnpyLUZntCBjx556LpjB7AHAECvr41HJL+qfJkbl/stUyPyzGjN0P
EJzdn2hS81xuS4SfMdv4u1qyy+WOEjjbt8y/M9QSrqz3CbU6dE1uy3vP9RFmZcnyzvgatQFkCytg
d2LDvBY74Yz5juuePQT9QCSKy6QHxm/7rlCM5SmFAv2MUbqcH8kkpuiVcIj4IAriQ72eV1bXrseP
soR4hqO76trDFhPR8UMnWPuhnsCGPyQwCkx/bWuq1iJqMLn6jrgDEGQtFXN2GJo0pHg12/STbdGP
3IWhm/O0wwZq8nWxoNjV6dL8ElTP6TvxS7MWQc8Juh2e9euWd6voo29tm1Q/xaU0OYkNLvO3wMwf
p3qXodyVU4JiVmdqOUkwQUQhmdV/RoolmwsgOwpgQeLs0MtM/Gf4p8iOhxDEAfmWVYZWBlD145Zy
z7+aOpLwH7eywmQwkhrJSLNBFEeJokT7e8rG8VffbyTBPpc13fCOpDbZFaltPDl1Lgu/0TrX+4Pt
0+qPbvpdUgC6w5o+6sZn01tUxYz+SYDMoL/RWjaYjHQ1fZSjVdg74iYUaZ1M/tXKihtYjXC3lNWs
jl/biDFMs1F6xA/UI1D0KFfL0nJze0wOK1vnNe/1sn1CJnKSfTFWrh+iKJu/iIonb7hud/vdWMFv
cYpGNMZbr7f1wDKBQN+9W80XPHP1MCQKsjbWgZCNjJNsPI+NlFNBzaB9bqJKfYVTd8snCp+MMZln
D3Yz0Stnfnticm/EcawQMXLoadjuJmAl7hLTx+cMHGPseQOZ3xtZ0/Bi6hHu4XVF3k9Op6Vyn/yC
iNfvyOBAczYHnzVfMRomPGdrwHNIfddhW5AkISMqDg7/sYjdW7MxFIkEo4S6RpXR0QjxsHyPSgsZ
PD1QUWNu4sE/B6eE2729S01s3hG/3qmPqRhhAt9AYPjY4ovkpF0TsxTYtoPzucVsjLwY1fCsIAZf
520cKz8eu6nqmiLNuPE/L1rX8zj0Wj9snO89/oaK5o8qyXz/QmruUbCFlhyFMNF4goSS+w8YRQ8H
bBPDcLSUdnOZNmufQC4Hcuth9DE2EeTA3OO3wDiiMnQ0aLc9RMtrCO7jHDXdWgx0Sfr7KFr1fof4
sf13RIFNynugIR/qfdywfCqBx6F8fFAyW4ppcv6ejAkKzqYdHoJp6Eeolyc4BJDviDkHghpIxquv
0Q45+VHAIRPeMGfaVhxEc5z8dsLWKQcDR+0YD8z9YobzgBuK9nuzT7Mu8EvB8C5Ug8ocO2a/6qKZ
KoP8coQXySdEpAleSM/Mct7GbAKuHtxssEurlYk2jyhiD49ekssijLq1rkFXnNAxYfNRZbfP0p8d
TBkyT8fN9VjGuO/6s+DsrM7GurguVyRqx1Bi6jRL3scMFVq5emmbgmcrg9fHsaDeW4aklzJG3nz7
tcdAI8v1sDTNW7zt2D3qKGLJPeOJpoWWaZ+WI6ZhazEOK0ZbOXx5W1128HHFL5mZrPgAIEi75gEp
0OawhIqOeUj3DBWMNIn7FVlQFXIKq4f8AJbNyu+aYDz/xfCP8l9mFKjskc5Jz4us5yp97WsfIzTZ
oClo2lnrjwEGfnVMuznWIacw268YYDbDXqNRdxg54KXeUBSCa15NgFHLuXpqxrjdz0kWb8OTNJjT
5swQj7x009g/MSVt85zu1QApSBWr4bSINUpfYVHjDGvKkt3j/mcI5gh+o7dHiIuMLnCrQpefg9dz
BEDi7sQ56jFO+Rr3+vILMTQ+ZWKl6eD7QwOmnxfMD1UBf4WblxyZQ0n6ELOUormkLhpOLXQW60+f
BjmXFWOVu/PYr31pqTHq0BMipjIFkcapfLI6NEd0g718qDLEr0F82V/wYKCljWXXtHK7r1zMRQGf
SC1piSSGGAuqrTTus3EVOtb3bN3IjprFmeyEIcGI2/oJtV2OOWyicnjz9q6c8Br0x2xbkukPb6nq
I/QOSeZIXhOEmPxllO7h51K4IXM4TDXqxKyIeivvWGrSsJ1VIoh4R2a0do8erf1m8A9vsy5DDbKR
8YXytt++RPjXyChvEkfG5XhJs0ZDuop9zZ6XSwf9UEWj2lB8QS+LgKlQ1fVL0MmMZsUuhGGBZwoz
K17groWiW41nLYdfbUB3DTlV4Dr+Y90aTSgGOEXDNDrYbVfQakZ7P8txES8Um0eNUlF0+2/V4Dbi
e9f5UR2zOhsij6dryABYMrPthwzlPtZyKnlGjwal0fSnMRn1IneJRFqz59kiPieYz7XAv2D+735K
my3q3UTLGL2ONS58PqyXRhWJBUH0acHXCbnGsM0Z258bjXsvvCSZIUfL0fiwAziKy/QAU2pNfbHj
DmlEp9ta3vIypsyJB29wk/SI6lqwR5RF2fxp6Dtl73lN/HiOFsDMv5M4ruKCXWq24zLqaMl7nvro
cYwR8PQhWualxR6HGPpCojIeDmHRwj63s4PRRdOYr5/3HiqyQsQzLnla0g+ImLF15H4JNpvqM/Ez
Nv8BfINu3e+jHXxtlKzINezP3tQkoJ4Cg7pI+OaWUxgHSU4WU3Z/1yu2x++YKlJ63yrcBBYm1hAA
HGDdjK0o8W7umG1dJmrRcbJpuhSE6S7KseaemJlDhrtGiniMY5xAWj0d2yjBfQ8bcMUT8h6INZGH
aTO0tA2n2clti9xPJtuieECkW+oXiZleDVbauMike6SJned3OiNV/Q+vs0U/orBt+bGnzSI/eY+r
mbKvRVfDnQhx6ms7DD17qOp+UJ+8wIN5CKlQ8328AKnztOK7pkCOh52+dgvX9f3WWane0Oi11VrE
C6rlqexGoTG2zpDR1sbFgsVsogLZHyyYEveAXMijgjT4EmHMvyHBMJ6TQkoEYOqDxlXQvJxRgFk8
WMc7Y19xTg8YPEOMg6s01G4yfCJ47DBXSdqo/Q23J9V2XLGSj3Lf+SOaaBY9pFElUdixGOl16eUa
T6R3cceYuVMdn+jj3o8wuSZpGN033y4SoRVqQXTI0dVmC02eeEY57jhTiK7iaRZrwTDYmL/rFZH1
ryNiF+b0eIl6TTDT2Cjo68Lucu0Kqb1XZdD2QpRzM3umtsqGcwZzuT9Ng1lIWa/BDI/pjJwajEhj
3LeOwfLl2GKIn+TRnCTREXeUri17UUu0nWaaDSokolvyY+PAvD9Ue91tHxHJkDnM3pvK7r/JQEn9
06gx7s8xgdXxHGPqOz3BoG3d5x6R1KhtBpptj0kWzeGvMNHOPIZQRzMGfFsqil2iHMkxX15wt9LO
M8R+k8uelljPvnAB4NCzxVfoymVPU1VAG89wZ55lF0XjKo4SYtLnfgUZ+C32qp6frNuT4Z4De7df
fm1ewesgXQC6feZZ9xNjvoiUHRWRmRHWin6mmAe87fqAylrhgMRGemnzvTX+RUZ2JUWIosRisYjJ
wi5h6OUJSoNxFSoJS+XLzNc+grO75e3v5XI+/uYLnOqIN6D1eRplSPIY+13/iVibOqy9murJ5UbM
MPpjxARQFG/iNi5JSiPIa0g9Vc9pw50/YhtFFuLaD+36x3Wb2R7HnWv6xW4Ly9C8TN1yHwLfty+C
a7O+XDIcyWnWS5VrhN1MOarR+jIsN9uKMxcXmK8iBMnv5wZOg2dclGhkMKA23jHamhSmVhTgyoy6
HzCuTiKHsSj1h40ZhamdnZqPkEkkqIhWQJk/dlA24lwEYwPZjXIVlXznJpYQ9w4x7rPWu6Gy0+jy
Fn6/LB8FdASkwN23Xf5gkFRjeIuBTex+YFqxt1HOHMrXLqfYZR1miP0It0eOkHr0nccN9lDAgYYt
Y803OKzDYvPFA2Iz3enV0bYr/IT8cNShMdtoUlrSQMpR/s9sHeJ5IyrucFNFXBFDETTnkXBTVSAo
mbwR/N/Rw+qb2pxlc5n91mi/N3PZM7PqZUxne8C0YF+ga42q6Pw/1bLFW5iz/oSg7m0rY9aNS76H
hr7gwmpY/pe682qS28iy8F9R6B1aIOEjVvMAoGxbtmOTL4hmG3iTCY9fv19R2l2yZbijt42ZUUyr
TVUBiTT3fOfcyIkxf/8zgul98zlnseqqqbtyo/uPuXXnjP+MZ34fKGSX5ohcw981sxuPokVm/0ML
zfs4oYbAQz/OXHfLMqlTRPJH/aJjtu5+4OH9i8AqJIPv6UhKYaKHSEOZ0Hj+ZNpk/Vk1aQ0xgp1q
KTiJMactgOtLcT13lG45YOWaHjbazH36e4TqRBX9GW30DixLkGjmTFPutqGbaRll+AgugAdlyH4N
+REtzvtB+MVfwVTvWFAlO4YaTPGWQADp3vZLEw9Rm7DPjSZWJtJJSSQp2ZXOS/2DK/wXCOf7dKIc
PozVRNhbx6MnR0/szEZSa/7BB/qrv/6OPmvp6Ne5qW9DjlRfCmU8TF4b/zPriP4OD2WbLqs2ie3t
QtuPIFXLIRtK8x/+8XeEWW8Yfd0Mjr2lBr1BSM2C2KDy+PcD6q+uyjs8NJ7HrLf9zNkmutaxpo9x
YKSs/v/sr59e9ZusDVG0JnQQ10WsFdm8vU+XybW5/fs//hcj9H00kaOMamrnnOGSur546agpTaHu
LIK+Qp6o2qAdoLH3+Ers9h+15zPfJ8KkXjK5xAjZW9qh2h8tqbrL3KC8+vcf6Ovk+idP9/s8GDdf
TMpCibWtPD+lAu3Xy4S4wn9eF6N3Hix23vyb2jJqZ5e1+V2+ZncGI83ex102pJxVknRDd8aXeTRp
3Rz0Lluy397df3zX17f713/y9XPTcthP0v7dl/+6ayr++5+n3/mfn/n+N/61e20un6rX7v0Pffc7
/N3fXzd66p+++2LDvrxfPgyvarl57Yay//r3k9fm9JP/12/+9Pr1r9wt7euvPz+9VFkdcehR2XP/
8+/fOrz8+rPpGKdb8B/fvsLv3z59hF9//vja9T8Fr3XyVP7J770+df2vP/v6LzpVRd3Cr23gjD9Z
RiZ+79efPfsXT/imw3Jm4BljDf75p5rOp+mvPwv3F3q6ubqvu7YP1ncyOnTN8PVbxi+2pRvCcznp
Q7nhAfzv93f921j57aZwRX7/+qd6qK6brO67X3/+fr1wIQQ8wqMcH2eVgZ/8vROcyJdElp7j0S5g
KLZSz/1gTJwssrOCo2+9/GCO/brY/u8I/vp6MPGUC12uiM8H+f7Bz8Uckwbluzuj6BLCfIv8FUKM
o7NRt5uZSLGoitdOBgM/RQ/qZfT8IE/t4WFVcRlOozDvCxo1jdE3t+1PLoNxWh/fvy/h6Z6l20L4
sIPfvy+/66hfgByzWJef+5r3YaC30kjF3oveOvr+2uya0lTbmNJGlNKjVQ3/XijEb9fGNGyh6wJr
H73Ovn8PxanYP+eDt2uzWe5ipPijZ2TN3d9/1D+545YlPNtziTjy/5BEhAow5umaezuzsfd2MX30
LDfbT1nZQix10w8uLOP0/XW1Sac1ueO2sBhI33+mE6ykz5AOdBZwne3szWWQ033sB69yWoze3T2f
J4JCmKMzhsW7USXiAgXBjt2dnTK9y+I0F5bDzVhlz//2xfMNyzFcn8/jOe87s9jayhU9Dd8YVCmo
tPxtylYKO2Z9bebFDxaTP7lTvuGYpu1jgIbff/epIHubxu0sd9eYlh6WwFxBiuYUwfOV4Zw7P9hd
fXXCvL+KgtKdaTEjME+9u1cZhZZVuYm7Q04G1B4b/3xyY/2mJKTt0FQ0tWoBE7YpkOJ+bRBIDb2K
v4Cz4bCrZ8lBzKO1UV2NEVk2HOB1m6Qrx/TKyEZmve4FBEvkpbUvD0NeZ6FZVQRV0342HYNmklNI
9L0RDXYOSUSJ4oOqKvUDB8OfPec+4KHwhc5c/IfxOLFXn0AN3F2CTHdAP/EOy2jrVOvse3jPbZvH
3aFWyZvLOrmxRCHupsTyfnCp/2y8UkkEejVc6tDv7ZUq5xRlx6W/K8vBOiDJXNa6Q3VZT50fbLD+
+Er+KSjEFFRkba71u3uatmk3+Tn6txtjzp0HD+S6qT536Q+7QDMy/zhgfV0Qpiew1Jvub9//Zlcn
K8PUXNG5OwtYeFOMWrZXzPjXghPwjaMxEITs75Jirjb5QB0l6j1dQtXW7RQU4LR7v4PPWVzXH2hJ
aDu3QzbaT/Yovf3kwJ6G+CSWW7/rrfO+H5uzIq0yeiynSxW0xpDP29JDfJTUtUHZ3OGg+wvGALDR
ra/qZafJTkZKSbExbdBMflAvjcBOGjveTb2QNJcw4osBjPKqtg38eV3aOZtknEU00kn8Ktar/GmR
eXUgJWva6CUVx8W3tYBQPfdQyN59zMzVupoEH3ztrC5E+yxxWyhgJVKNL4x8ifyiN9He2+pw6ksX
dhUR+c08tHeWUO2jGOr2iThEUkxTWQtAUqoC9B3BNV+Py7b263Kf6X1+q+mtvPL0ygMoQpqLCjWv
ipxfUz5SV4kvFLUwpEcUwLGS3rMzdXMTxLr5qdDyjzUnYthxrXHOADKuTF+Zl26VRjRI2MOXVft6
NMyWGSARN4bh4QIwU8c70y2zu1qRsYOkl86uk6qA5Ohb4qN88JNSZhGb+KE8jg1gbMAstZz7A+JF
gAu3GqJBxIMbUsQhvEVO4ytbJq7JZNbnKXIPvu7BuJSguFwyUwyUqdByja4eH2jlQBpLZbedQ3iH
7j+wbVt6IFS/v/fKyjoMgz5SbpFaqBzbOpejU20aqcddkCWnw5xcWfqDIjEqkPAS+iYqRi/bi8RX
29rjfotu5PKNWmc/xU4xRQn3lkloNLINmJP9iT3zcsZhwvpkplR1Ak8v0qsxkSgrBMTyOt6gw9oz
eczMnLQXdoKimvyHqbP78gFyqQYt0fNnSo18Bje2GfEUSbtbmhIWtGlKp3aTssVBB1VhaVju20p1
PQ+wn9Tg5b0Z5ztPtDk6STEs56Ko5HF16DYeZbCwPEKJHmApcnZiZYMTMB9UXxzTJu6ZYBX6S1tK
HpRfuYGZgAyMsY56vQIOoAslPti+tqoQrplEpzrG6jAne9tsxjSYa4P3m07KbILU650srIST+oGm
Zeu5QDQbRoNIXN9WZ0lfV7dmPfVhkS1bCNb0Tuj+TGJ922873tuekggCnuz9vWfrFfd3rqDOZsbH
yeUENV0O8LhNYjyMpueemYt8bWiPsskGAnlUKuVnOnw7BhtUUx6of6qADioiLMQIWmys9rTTPKoQ
pAFx9XWvuPAG0NGUKvYhrQkGzi07gbrKqicCMPPLvDamvWeq+AU6wo4D8P3pw5jrbVRyi2m6Yer7
PCMjbVrGdEethp5IeaqeR7vqPwi/W/Y+ssFOdYO3kTAMW5gKLaiEv51HNoiIrJSn0fE3s0smohqo
AY3tkWwN76yj8thD+E0cFLrEC+M8vk+W0TqTykiutILWgIoy4VNGzOi9WO1+UyaJaQcqVgO7chXv
BbzWPq168BQ741HwtASdBRrHadkcV8JOz5J2fPQ81R29Ri/IZViWYBqGYU+2XH3Rl7YH+kg+ddTg
rKLEqPKSzg5lHlpD3kQzJ83AtNfLzjz1Qs3d9VZIt7ugV3z2Zc6YcXXtpMfERraTspivye6ZDjlq
A0CJDk9SrP69I611g2yhRTUF4YvEzx8HuJ1d01VzSKupLkyc67isbnS9KA+EeDiHaTCLIC7AEddx
3EFoa1sikqfXeoJDCgqkyZVnTTMeZ1+aF1bZXeBN7CKvzZNwpukApMJinJe9aSWB46XlVqE2R3bZ
TNsGv03QGT0HCsNpwVvVeBN3iItbZbkYnXrye/BNvs1OF0Dm2XdsktbdIFMZ2A2PsmPoO8Nw7M00
NeC/df+hzdS5mddL4BpaG67M4LSKq5/IQMb9xCc3FcaDBDeYtACXOreLUvrAot1Ax5rDZGLZGOKb
mtTRDW0bl7Pcsy5wHNWR72mk/ZjOvJ2mQX6OffAGdzGa0FnWa8eWWKWn2pkCjFbOYw2UR/knWbau
xDCMlodLJjwpnGyrQKbv2ZfNH0SdmfvSMeOdyqYyNJhsLrMKIsmQmn9Lqzv7k/LBvqICVoqr4VTO
zHQu8zkwTt7MyJVNrG+AAAoomoYrQhlida9Lm5gFVqtVfRxT1X0BBEWRlK6vhkOSLzNJCXVVh323
vi0iq0nnhqud3OGpQnk68OfWoPfmbptbygoNnIlRt5Q3zP0RqoVBz2PaIAL2xqEw/eKT0E15hD9L
AmNYV4TYCfa5TNJtlhUL6jwYbDGpM7XG85VbWg+jQMNIfO3epHlaaLLIXzsaKFm3xpg8aIFcuwH9
Jxm5xUmrdS15Kxz9FuOU3DcUaQMf2Gjfd0V+PFXY95UchsMAEXMyMtIk0LEZFKMUYpc0pYPt1tA2
serwG7SiPAfxF9dDW2ZRraf1p8bDrSwtexNrS35WK2aLGaH6jQUp2+T1VO5XVO97AH8Dl89sT6+q
XG1kCr2uolx1a7Dia2HPaC9bTfOavVc21QGB6q0RojnOU2zc4hCTW1ie60zREhF90g4b35yHAC1t
fACsS97stVAbwPPlSnqLfkA7j7da7aub1S6TLVkNL8qXw6VRa8m2zPz6SHsreggU+VDs51Gfd2jV
SzjEMt/0lf5BIi+HnZmiAnrjvF1j28qCxErqY24zErxZ6FvDREmbRb5umzkrzqwl88uAVJdsCuei
n0IoxOZZzKI8i2tR9Nu654r4NGPexTUeGpBkL2hT56ywhsdFzc3F3MyXc9l0L3bVDufo+C3hPOUc
cja8JH282/hx1z2ZOFB2lS7HQ2Uvu6LRHup4QXAd1jbZSJK1joC9+SZtIV2SwaEdYDf3lzRjJNmZ
RXA/t8mxRsG8t3AoYNjxRIQXS73IelpZuU+FNJE1cJFDQqCOYG4uGoeEe5LXP5yIpxDbnhN4ldCw
w+plE1HIGK/nVH0Egu6DRhvOUzGWYbVMm4biakRcWbspYX1VM8MJjc26G/1+DEsB17C27oVY8cwJ
msB8YGNvqyDJYzy7MX6T2sRIXM3gebmWbVu3hqLUn2sn2w+T0R/KYVHQu53Ym42Lj9MYWYXNGeE8
s9ddSVdkmlBuu8Z2STNZFvyjreYd/WbOI0Gs194s7/C1VJEcCiPiCBXVkr40bOWLDdJssnHSPN6l
ZFbvTF4fv4793BOE9UgbNmRF2ojp0+Js1nzd9628B731gm5cjr02PHi5IEhlXNHr1Ce/11ijU+3Z
y5oHYRYXdebcJiMrVFYZV+XsvibFq5q8cUfU5QA2m8BLD1DXsj22tnue2caFRsO1EKNqd14qDaeF
b5xbhBLu4sn0nht0422CAY5VKqRV47jDPVl9XM0XSnHl1hMS/9KUV2Ep2xI8dtG4gV12N5D0yCxW
36vVe3Bkzv/kU9HGn2G2z1Oj/GSBQpx1laXCoVQ5neDTe1wwe7uq7iYv/1QLeWh7qwztrr6klxXv
XRB357TjtBmo7QZ9jrOOhnS0NbGpX+D2PdT1JLeTU97kPFWHMk+/UHY4YF6ONE/aMN5G0MtxjGSe
xnvHEGSzARteLa3bvfZl6VM0sw9FrFVHP7NxxsbTuqum+EthuhzMOe7f9dJKmY1jWDLYRec5XY12
W3X0i4sre6t8vTwuRamHAjPHaSvlyI1lLm6Ylt4QoRXnkWf4KvDr+kJYaka3ntmrtLHP4X6ydho9
r3bdlBWc6jX2MHxgDEr0IxGowZhy6mhtuN+cW5tg0txbjN5XljlloSPUZ2i/bdezz68ddp9VIegz
GDPno6eEJOLdpKt5gVD9EQPWZeUg59Yz9z3RcMrmbqkOabq2LPr1/ckEHKKaB2LO28fcGJvIgKgI
suaLq1kfnVLvw1WxZi9tx01TQD3CHK4XqL6HmWIorgO73KspMfbWKppNG6dLAIqQP2Xj0O9SC4/K
QEHk6IK2BAs0PojVxN7WVZ9JLB93luPwSfV8Cqp8vLINCUlemQ39wsvhDWereZU1M7s7xyy3GCCb
rebPfYQ75aLmzLLNOf8cadTH5ugErmFvUT0HDFokyscUJXlHn4FhR4nlVg5Js41b+NUxufTYHl4h
pw9YA1dqGX4MX+EL8Nd85txMs2V5uQq9DhSNFbf0cpXs/tVHkwSfDQ1A9a3IlE50du+HuJLmO6HV
HF3qlr2kmvRt0rjN88yHOrrKLSNn5pYKY2j3ItWGHeutftnKVD8kTVEfK7mvlzXfOHUjLui4WG6S
Dt9OYXrWA+Sz8+DN9ms8GyISoh53aWnqH0u61e1rI9du23ZUXwDIkuseYf4CxLQNc9PUdm2fjru5
mlM6LvrdpQ26syHEvI7cFJlEl6BMwcRuHtuT0bn3elOE2pD0JlBRxjDsqPGFuDErPRhSUM0OQgl/
TvlpkWwVEypez7RXqDeZNJYwVWyFeo7IOz+3TWrVOXsl8gH2ZADYWHYc59gq7FfDukQcmJxNyeO7
hekZ6B+Vm5spt6H+qmS+znQ7Z7dYtEeXHNao7pwPKYUoSDvu+EqYzF6MtgEZ6ooCg/SwQ/LPLqxZ
qQMBIpvan+atz4POWaoibTLPxk2eKfaVtlldkAXABrcuMQcUxhSNJAUc2nVUu2EWzq4qe/uM11k2
Q1aku5Xcxn1cTN4x9vyYmksjIzNjN88B7HbqhPm5qHMjdOb+ZfbN6dEoks814O+FnNP4Y5mtLxzH
1Y0/SZxwicJMlcGcbY1CjWea3t0LYX/kZbtjrfwDrntr06VshztrWUIVU3ITc4fvWJcKUlPXqA3V
qjM3FbDs3q80g6pj5mAqqxk+BPxtabYYJ1sOfdbHIVFGxBBsP445y3RcQHV49UA0RIrBMFxyp/5A
rYIECm3yQ4X8+pQXqQn6nOnXQkpzkxJrugRwHuq6EP4XWVYnA/Nw6oJmEhJg4fSc4hWfo++aFJgG
F3Ncrc7rhrhux5+LwzjXlERl7Gyk1lQ7TcOcTeoNzh7XyI5LuqwczFRDCoTRTLTPWD9PnaXvkzVZ
HtNGYWXIc0WFw/nizhiwUpvenGCayQYArb0qzbgJIUayc0wXeej5Zn5g+H0gxr81QMsTuSePOT1P
Rpi9tWmyMzGOWQnjSUX1rJyH0g2swRw/LLluvYz5JAUAX7HsxskliMKkx8ejARFRbKzJne2NGtLs
rWGQueAJC0RUmvTL3Vr5rhuWuqbijafNPekGhSofgcKGjbZMnPTWfr3TRWLtWpige7UUVoRqcpvT
i2CvfFU8V7FMt1iR58gjRnaj1w7NMrrWvo+L+qzox0uvMtSxBLwkxo61g2e1XHGjVLiSXA8i3nJX
0Fo8Rym6Zdk88ELqvirr5hHbo3llNNUlTshim9ct1FvqG9vSmIjXyOnF9KltWvPY25XYwCo3SwRL
GO8NOx5p/7qst0U8yrusMK0LHRvaZtIsPdAxwwaLllNl78q2JN7EJ3iid7Mhkmu8YuVfDObESmf9
1XAXV4TWVmMI/66RV9pIK7BS7ZRNMcRbCWwI8yVPGdEFi0HgQjGB48mu3Grx1D6RmiHs0z3Bc8v8
cwmgifSJlasKYg6Tu4FL7Z2zfqfFNhPqJrY7Zq/iBhNGtfPHdA5t6pdBS3jDBeTytZUYdkQlZwxh
0ZxgHbVLCu4u1usp7MaYiRcdYasBk+F4Ak4hpiBqMzIJoLdCX4OB0+YCC93oy+LCTnJJxkT34Mos
T6MUbp4DQus8YVIVe/gqEcKk95vJBy5DUh5uOFLGPP9VvqtS8v5n2fKu+vRxWlj9hI1PXTMKfUfp
42XtaGtQzzSXbdbpYVjSvZz6if7ZwGm+F+vXnQDdpguITuKwVpCW5lr7uq/LcEkLeTS97MbpyW5s
xvEYw7hpOGhx7hFBUm2o6gwXbpeLLzPQfhxVeVXhoSU6Z4fFdLQphbb9meUq+vqR241dS+nei5OP
5Agsov1I+aP9UHtdf3Pq6PXo+YRicOU5F1O62xqjcq/Yy02hI4ktw87+FbN/7dNE7f3VmK/sNVlj
ELsy/kINlh0+9fL27NRMHp8mc54ewJyAJA1FrZGLksg2x1Pg9/1bYenGvNGNeNWxks3IjpVdp8yZ
Zuvfs5YOdpBiMcWCvwwcg4sG5PHQ+0vbsOnWkVQ90lHWxq0uervI7wtnjDeAG/K8w04cxfpJcYkz
7fPStuFcZkQ6pwQ7dMPU3dj039xVraFfURZx+dMdGFZCykdou+5MEZ29rB/KGXseRhGm6VOAK0rP
HNaqjuwWQ3dclqRXYHcCIdxwAorDVrVvw6ru637272uSkFh2kyV3AzIwMGYZ62NVzx/Xjn4hVl+I
bTpmkdYVWKrbnnSaJcuOSUNNCEHnkJSZ9gConEV+Ru2SsnsRZumaHdt4jqoqtbY9bcxCmdj53tN9
DrOjpVF4IbzqwA52rDFsVs5KGg6rYtBAWnaUdibMz8ojhMHqpiEJPC2lxymqinbZdObSQHVV1HGo
aKS3Jg65MzZ9RN/kTrPps7S9BcygXYzbOwCwbdWhUlPwcGK66oj+GpjXwnRPQ8E7PWnlXhUJh0jF
aaWJIBDVUSPIC1e3vszbwutUIBPKmvrkOo98rnVLGxCgYDnYzYO5jr15OrGU17GeYJMxVmm+LAIQ
MIQnJCiFTowipLLY3nvLabIsxlMJuTBj881yCsIfJrrz7HAklyxv1Es+2nPhPvZL6p6jSDUXJYjA
DcKne3CEad7rdpK0kWNjwWFXbeFZ7svO/zQuXsNGRqvqg84KpzO29YxymkPRbrArnq18bIhj0wzL
eLUw3N4PPMIPsZ63b4Vbrxz8/a66qqUukBgwJ6yB9K3iRWq2fohnfO86ysgtadRxEhWp1rHuNM7n
xbXcK7vNyy+lu8ZUTHELDHhrHonAGDkdD0n1lJNYfWwri6/ryacMUWocmMK5UsQQtY196zfY/8Km
soynrk3EHrp6rAKMus51oRPxEXqyS64B5qntptr2ZPJ+0Du/f2tq0TwgIsUfq6RqPmk8+xut48rn
XM7i4LCT3C91tn6MF3Ii6kTwaC5Z3H8SSnOeqAJbn0u4uXBsVxACM8PU0rGFX83RJafUMo6tZtGe
rWryTeUu85sA5g416jZwq5YVdJ1nYU2Rtfmg2VV6IGdhuVDT5H/KDQBk3e3o7b142dGhzOygY/Tt
tm1U/LRSZOEBaEr5yav7+Liy12ZTvZZqV7ABpCdu1aXbZLTvWLzq1xGP07VTK32H2KABZdsq2bDN
y8lN1D5nlHsaUHEmZP5fHI1GUu7GpMgv4Th6QmJQJTZm05Jr4Xr4WeaEepedkXtGLlfV3i4diShB
sQBzc6SiCGmJDu9+P5UHa1q8wxyn/ZHUo/aFLAyEwQbniMRS4pZrgEWmvMMXpetRX1TNBROGB0UP
53hNppGiVadTziIcheQU3ZBkXm3qrCzYZzuueDZyNX2gYD1dQ/LKW9IvmldceOVFrdfFcR1i5823
bO8i7tv2PLFcTQuFMZpv9tA3r4UoJivQxmb4VIOePOZKdS7REa5yIi+TRDXj3rPiAAbbwWro+FGK
QHrX2ZKoSQ9HdxZYcaffaKq3HhK3ql7qRD0YPlXRumNHAgS/5vSnJ0OAirssrlcw4qeqg/QKFbXT
gf0UMR4upfd13/WU9Wx/7CpSv2Yu8tCObDA0p131Y55Kq6KJjIGzSs1xdgn7aTeRjerKHEHc1taE
6TrDFaPcqKBesZ1ws3G2rkdcl8JjsRFdgRDdepp+MUqL5B+GhLjUB5eCndv3S2jTgOFpUG1cRInq
HmlX2OZR5cr0MFaquUm5UaTq4IO9x52ulg2BIO4LWyNrDGhotjznCd6qsCxpPrU/JS+wkcIAQAjX
NOXdLjZYMwlP62YndP3a+Tw0vpMGLVv+syQ2p3uIbFY235l2yapRtddqwz8m7vJFKUxEKMfTHHC0
5jlhj8QnQEwwiCxoJEsudewZHcf9lBBm9oIPPaZk2dshVjdQEcM4xzEK4ag8Szk703LoKAR5NwtY
ZIXgYfKNO6MfxyFoF0i7DQaYCqXDcJt+Y6UZpbPOyJ9jQOyDa2W2CMuk143I1fVsU5WxfFaLu7Dq
WgbLP9LNckYgSRnquGIfV4nqgIjB4a1ScVXsaaFjvuRlr58tyqLh5LQuxm4ZK1q6FqMTYtBatk6J
CMSQrA9TMiCUuYhp1w6BJ0SXWQOrSRd3zyv4LFs8oamPuZtW0YS9LyAG/M0cDf/M1iz/mENbXU+r
SUQLH7s7LqpTF8tC2BJaLWf8BcuUo2uBhtq342zTpBGn5vaNRAAzpct7nl2nnn1VovvuRCLJvaoq
MwsF0RH7vDJoC4Zun27rznqyG3250ZzcetYcSjsEMZwvwmheBtvM7003LfX9OjU+xV9LPvqs5uda
0hiXZdtoN4kmfgRinPCH75EXX7egoFi4Bf2brBM+8Q2xQHKB2xJX453O9IinnJix9jbpVUnLCNZt
tqpXpGLk9/o4spT+PUv0NYn6Dy/uOaigwhWAN+/4nlVomEH9mWwCJ+mvfKdVe/LxURF0ZHtzmvUw
5kx2ikbJx5dpZUlRw0Ay5FgY2IC656Ili8fzKoqdrU4sUo3AhBPM3E5s49GbhXFdkxlHWaZyCINg
RV33yrGa42Tl60XfZZedGJEqSAvZmpBaZUjGOuEwEztg1vpSo7BdiB353FjDoIPwETCXDWogDmKy
7+aBw4FNu4hrmTnPOS1eQ80d+73UmPDzpnYbbJwnVIoQkh9cOmH+8b751GzhzE1BdfB9t6aKocTl
s9itw1BybtCvLWteaEmXL4faAFkiRHG/mD66u0HfvbOsG5atX27YBZwYg0lEcZb4xDCnIyGEQ+Vs
CFAaD3qD3a2ZtTPyFjjvlgUbYDPP9+SG/Sim9R3Le6L9fN9G0LI8/gmfcyLnvhl6GWtJO/qYKnXV
5hxx/HElVXmd07NV62+MeXRI/ODt0Ec9PRq6PryieA0HpZ9oPQputlEXPGKTTtkDbuMHY/NPrq9t
OR7j0iVK8X27woQanmM4lb8rDApVSJGJf67HtfrBy3xNjn33CPi+BfHII8DUbpyIom8uQotgTL4/
KUfInwtRoIJUm2lSQzTPpfNFcIBnjixw7xhxHZGF4txkbEJxD02yOIPZ8a/KxSvAZnhYWruurnpz
0JegiFdtY2X6XdsX3cPfX5qvTpRv3zPztW7YxOkyB3nUft5hmuRtrRQkGHtjJ5gUVlHboatTHMzj
osWSnVoPfnGFNbn5RJyHQf6e0MN0LNPjYi1OBMywvNi5P/8WWv47Bn392zt4x1u/+/L/gl9fZM+q
6Zq3/j1//R2y/f8I0kYNZZCempX8NacdPVVP9U9P9ctPUTZ8S2r/7y//Bmu74hdAUv4t1SZH5wnw
/xvWdvVfIGYdTzegb1jtvoW19V/4jivgQT3B9vfULrf7HdbWf6ERk8mTjmcXtBeO+9+Atf3T0Pp2
6NmeR1wmSg6BFgaQzIli/vZxUZqcaKRtbYw8extc59JV9q51/Ls8bguYSWNTLu7M/j++yxLxoV2d
T65KdoP/mYjAkjiW5CxOV0JWHBhje2to2iY/X3N17Cc7nF2KQ/F4kU76gxTmruiTbbvau3xVe51T
UxpvrLI9M1ToDKj6FLtyWZ+XudpbsiQKzPzgKPsSCHE3SeuDFRuXeHjJ7Poyo88vrc98Km/xON6u
M0nEjkkWLgVOau9l/2Utb5dEbnICHmwqDa41Xbitd+BQd47377K25ofWtABEa/AHTMTLsisxjuQK
mUTEdytnisiL2XQ7CUJNflVhNUXu9Dnc2Wq/cvYP8qT80CcomQQFhJk9fu6Vf6d7Chcbl4zIsZ0Z
OwdJOcar+metNyPZVudWXm6+GXm/P6bfEvd/QFC/3kTgfd9kMDFq3k386MkC/FIjnUXKKEFTqdzq
PJnkFYTOlatYutMUNmF1N9pghyN35u/fgPW9L4aR7euO7kJKs1e3dPN9P5uMPuPoQFm8QfVd2zY7
9waFnREWckTp2hAEfWWRm7Ib4vU6l+vDCDqCgdrWDpXzX+ydyXLkSJqkX2VeACEwrIarwxf6Sqdz
jwuEDAaxr4b96edDZZZ0VvWUdNeppUXmkiWZFZHMcAds0V/1UzNeuavf5BabLYw4x6cdPd66AgdL
UM4nrCN30ANT5vChBqYGgtqsdN+yARzvimHi9tcgk8gBU5UJIpNFHphbQErFM4/12CSriFnkplPG
r2kI8CuN80PHxIXbHuuoIV7N2jgG7niWSXdE4qgPZV2Ff3Rk/lsL6X9vlfyXv2r5Wb/+kpH582f/
T2ZZ/ljpFsvuv14mLx8EWVgl//MKufy+P+Ms9g+mNt7y5HA44BFijcKltgRdzB/LaQzzuKmToNCX
Doq/x1mcH6jYYLZwXlt/swf/xwpp/6BmjBgKmhJJcpbyf2eFNP7W2v6XJVLqNgZ2fN2e4UnJovxP
S+QslaFzVs/3TAmnTeF+hGDBOL42+SWypmCBcWFegMBZAi1fU6gF5kMfs4/Rst1zIqkqGJXccRso
VlE1XAuzRZgs5HNo5d4aBgZrRUeq2odp6A+p1T/0jZ2vYBtSnlt12aOKgEwmXtPcych6T3rFGY2R
pWIWJO14E7lJvGr74KFDmEQoNDd6GjTQ3INnRmoSFjVuKuLUp9ycnA83FigsqbdRpYGnUXrzOcvn
3G8HOOtZxukDD+ldp8lhO6i+AjIlt9hxRLjKupwFLF9IxMJdMyzT1qU3PNQgGfkGvwbDxaKUnwDA
byZlINvbx7KpQp9mRR8k97ct4vEAZAzHaUMx6s6ImkfQWsZ9Gefltp+1aje68TMMV0yYw6mz+TAZ
ApinBNq3H5vpBYMcQQJiAEVVn027UxjTmJLFY/sLM+18CV6Ux2qi6szbRnV3sESUXSDHvDj2hAOz
22QWHPrcqgntFd+ttRhEnAQrkViP0gFEnzxBet5HVY6g6g4kwMEc6BZ3XW1O7rSpe9AMu2fOrMZn
YOr23nTzTdUZ4zpOyw3QWj4atw7vckCMj0Xe3CKz/wzsCWWaG/x2hOLhJ0iF97bJupTZCJdTgGgO
JyDZydYKfCyU9t7w5unJzMubmS5eCsq0u3WSR9OjngVzhHLXVrtWS8L70Tl7uf1s6gmAGqaT16FB
ZkJOOLP33EfJyIDIeQ2z6ZIloNrbbrR2wOJOqCx7DQqOPoevQ4i5bYw3YBC5Xnfqgkv0Oy0eacCs
8KhD37DdivlIPuHNEhtrhEXR18ToPYBHASCtVWXUl6nXT6nNlji5xUpKEFb1tB+V/hzkL0ZWjVit
cijOzvKzk33Nxb/hgvmMHQCYNGmJFR0NhtoWQHv9XA5iVwfcX2zxAcU7Ps7C+84S7wxMemXp+QFc
z9VsmW5jFilT49bMkXjvIanqGDCwV6MOP3pOsS0C5oQrY3Lhy+aNdj9Hpn0Vw9xuY4/SWfxN9q/K
qrtj26Rx66vJdq5ZbVYHM1BYJ61GftjgAHwPfP9RE57kIogHEaZx9ppwf+l92akYwxWehChhUDNx
NHqCSIuMSHRub6JMvE+pKtFZh/IaOdwHXbfIflJd7j7OVjwzBl22tqpwjpFTesdqiccKZ6CGWIhw
32nzeAaLkT/NbTw+yQrQP27i/DlvJrWt+4VN21Re80EBhbuukUXACnv2mZRcdcKPPjyIrjAvtpi7
Q6s34l1QirFxw3Lcjqhgxzpz0n2D1/oes0r02wTggzKcT81XlWM2ZxzCp452GJ+TyhtO5EvaY0bj
gYDx3+tXKUf9Nph0g4rAEKc8LaPniS8LwLndnHhU3JOpDfoJ5j3R0Kphx+3yiqAezPeLxx8QYZFc
JvRw/b/KdRMI+4eDLUEcD++8yVXTkQ649X/O6KcpDDBTzeFehmF2qaym7PeJ6tWlXrC7HX71dSWo
u0Ar6tZw5GdkLJlvAESGG6vtnoHBadsMxzhvQaJYYTGVrO0w1skAe7BjrTh8b4MuGHnmQhuJW0+O
rZ5f3IAWCw5E87VyRIFOK7PzFC7o/zp6tgMyEw0pxjs1AvjqhWL2NtlPTRNFq64b8nunAxmzHpjE
PVUDsY+dZ0/17Ct3rot1VPAvXhkYpzBbudW0K2Z8Or6CEDPudCjFTMggzr1rIiI5UfdhubHhhCwq
mHxXRnhQWJK3aF63ztV2RQw3gBgwGaylEaB1SbSCAN/FORKZGVp3oJMgp3bmrRrbU1Q1j0EDKaoq
GS/BsT5oWTz6cxHEGxiJ2BG1bsbWk0y+iPKjmq3+GDTlyY15/emQJgyvQphNMQT/DhU3t5lx1YMT
/op6eziQj2SGDLsYqoFjX8oJM03tiWzrRmly49qB4MjZ/dLNg7vzwFP53ezyVM0cTE/D4tObukRh
1tO8c2frmK700DhhDaa4ltPrrRSOfmXabADEiWHN8l2Pp6Jy4jNwDu9MNInnHQaq+nLhzFoYLszo
d55BGRobGDjN8qZMyzsjl7fHWN6jbnmjYLJ2B3IS5iXVivGhquMaa2DB/hyp/lINbJWF06gPymcU
yq5nqW26vMGgVbqDvrzVgZsWT/3yptuC3afqKSGvl3UgXlYE4GHOsbKwGfV1sTwHtXyUyxoSL6vJ
vKwr87LCWMtaYy+rTrusP/OyEsXLmgQZRN+npD5PReiwZI1tk782Et0HyomHgXAIj/gKoOO1jvxI
MlIpVaBVB91J3SsgXRZGj1995ADi/HLgcO7ICULvrWLnyq/W7js6S3zKISxyGY4LzhZuCcCkoJGM
iUA38ngQgFRb6YGPZmDvJsOWATo20LoandwXodlMd4Dy8/5SuIn0CfnZDJxdT81rY4Hm3onBC5JD
MauweoWnRU2LYadViwHGTNu7MiRWdDIyPRyZwMYW0JRWUilCRAbXYwNfs1jpIcPDlYyiKVx7EzUr
m3y2mZGM5Ah1v7GcfIkiJuWOFIV5b9IHfZawhx5wTOH98Ey1aRJL3BT2x9Q35yDXd7UTZdlGawRz
tSDBvF7i3fw0e6ce1tLLnHrVuHOkbbo84wTUJ3OX+S7L5ttMpwGM6qgQrC2QZj0eMVGLU4MD4pa2
NZ9LUT+4wTT7M3Sxja6Q+FujuFO21LeJ2z63/cmZzZq7tX6G+VSdmVrpK6PVAp8zKmPaJg4Y4QGG
FAE3pMqDjpOXBIRMi2ZHvU9+VqkHdycZfgmagnzZ4PH3JoMxcD1cypZ31FHNZ+x+Zlj5D9yH8U9S
P7TuW7YBc/GjJK6+c6PygTzijX4Ybz1m8iqCISBC4mKworln09WWe2wdcjoZrmg/joHVSu2G44A9
LxbmSWP/3+hz9Ys6dQphQoybyUKRBgR6ZTunK6+Kv21roLqBtlF8d+V8THB3k0or2xfk7wmcYD19
e6XgGcSpWJk+MBzYzxR9uH/WGv9bt7j/Bo3gX17h/nqD+9/ELPhT0WKW8K/veevfWRT/50veEsb/
UwZzucot6jTbMQIB//v3S57r/MAfhKDlCu550pB/ueTJH6ATSSs7giViYRz+xyVP/liufR4XPVMI
/o3/FrPAW6Yyf7njWbpkYOJZFus8QxvcA/8og8WFTaGOB8o5bqDvsi+RKu36cHiL+ra/p9zoqdMa
7cbdDYwXkP7qOFkEHm0GYWSBhiR7z9Om/4AEFe+D1Os2sN5sn3AFMQlqD7aMrFlMHH3EYwwCTSVD
dQ0B0/6Gm/Y5dMpZD7OnbeoEWqdTWuWV81bwRAasBP8j1KtZWvlHKZ10rQHCZQqXpteptG9pmfXH
TJisZGSaXszE0Tc63m7iMx64qrQtH8vSewMJShRmwChZpPW4cTRt2OkFFrTRMIhYqoo1c6of9dyM
lnKxcmVWrce2r2Gz7tr60cotbaNCRuAhHk7YLa19R/NGvYPRPLwCBOJAYwTZN8Tf4tQzEv6UTl6v
oKC2nx2mp6ekM/IdlUTksC2H7nGrN92YW82oCZjagfiZJmB7HQsPoF5LUuJiJISI676EXFZTJGLm
CXOrjJNtTPap199L4XorPagGJuKhgBPe9PbZbnuQnZObyhepZeoY1YKZuCnnqsdRVxKa+9tD/v+X
hP8KY8KomsHnv14PnluIZv/n2nx8/VbRX9eFZcjN7/xjUZDWDwRLZjXo3AyvjGWY84fy47o/dI/D
GMOsP9YENKE/lR9T/2GxfKByog0Zrr1Uc/9dGzd/YPFn9MO6YP1twfh3lJ9/FjV5322UeR0mA4sD
wIl/XBPaAlNA09n9rkpa73Hg0HpflFSW+vTfNZ+aNzMv0j2ABH/5oP5fai5P9T+tRvA/IUIgx7sS
YV7+M7aD5SDlgE1a0bEwfMaNaVcfuQGwegVg2SIaUAm0IlqPu7cMbCy5QCwuqS9dqtZ9zNf0V+lZ
hXVLgUl/D+qAPOeEM5fx8xS2y3ZPnB0YZ4RYHqjubjBE0eAJE5CMxdCioVSlnD7NoV6ZLRWCO8xb
7ntu5ePHVBreS66jR2xIm/QPk5pgS6fkeI8QWEkCEI7GedgLo3srwIBs2Qp62u3yo8XdfAflbhpm
x1dz8ZkQro5ak4xSydVKkdfChStOCrX9wetS99WbnRoJXUtODR7Cpb/cIq2ghU7wrPVUMGzmUCv3
kzSwCwbTb5diO25B5jboE2PfEs1YD0N0lVHnbvuRlCfzY9z6oniJKWzxATo1/GmNx15qmFk94zbl
1NvZSQavMC8xOQHRuAckgMmYQTQSJZGuoeM3NrW95eqQ+VpLDoAhewLy2vioNGbDoWcddVutFYdD
4LcNeMBsC2YRF/ky6iZlsnO4D/gK9YdfhIvbCNRwz4CyPuld1e7nALtekKkO52GXr0tsF74gb8Dx
Bt9eO8TuJkWvJCoD+Le1w25vkAjY0sdi7xFY6ejCsbRBp+gOga6WqX9kcI4cZyJxhXGXBklHniPM
D1GOIO/ZWUD/yoQgjnhEr7jFhqNwYZEU0qyvSvThXWdRIOZqjnYBcl7sBc6X2zRnKl3TuGKtQ4iw
rMGL1WqVJLpJ8QY5kXBtSZeuNVCzEaVFpqU+JtdJqTri4KotHktMM50lz+4Ui8+iN/Kv1sXE6UtY
mORqmC7d8KaeMOGW2Xpo9PiSGGA+2qk+om5pBwzt1SGa8/I1J6LNZ500FWfImaLlTWPDUPGxO2nO
ivCLQ+FQ6JTXnPwHwNLARs3kRlWsDVLNFwhzXAFGYWanDHbCbgS3nu9SLZKPua012A6xI65rp5iN
ja2JFgyB68iz3pjRgNY49Q+GhnPGol4jPOBvRNWrdfCrqqVQfRUY6XypXRNscg3P60YDhM4YIwaK
idM3P1HdakA/HgJYbroM7ywvs55KRDjSTHg5cEdJqh5W5mQNUIKpmLtHGexfvLC2MbQSLHxMndGg
10azmmEjbYy/h2loxW/GGIRJzVy8pAAGgLfnwvom4RtQLGwaRPeoDIM6BhDJ1m6SJo2t49XzEVgo
N29IQlwJMFTSKGqSEnvqCNoCXai1Y1PpYkv9HEdt1BD31s12wcWC6+02m7X7AHq/E6afKo9Ook92
FWOpLQZokKO9kd31kWfeOxZFD7XVnWL6kzgkOOnJa1EQZkHOz6DZBh4NTRdJVV8KZ1ZXHJ1fUSoc
OCN0jwRtFt7piVudC9cF7x3yJ3Kpj9yGuYtrCBr7btSUPNJ1Y2zaYSw/GSvRgZZrzkWfkjBe51Mw
nAKVjt85VFzUGtpCjx5ZzIgHWBoBosZErqyZbPHJbTU+ZEaXHUkt3I8uecgV0HFmeUIQs/lN3xU1
rPQ6UHYlGQLwXmpvbR5uuIorv2CC+wwnGh9X0XcPsPf1Gjh5INfgPHtsgvPvyqxZP1RpWdsID9za
Q68890wmbSudQbAuetSQh/EeGHV+1bBxk8UyO9PX6dC9kUhOzUU9aKBZT2m7pziu/9VqeXfBegzV
l+gKPbDgz2hg7LF+tCURg8QcaYeyA3ivWh9+SiT/tVbY8s6UI38wJjFY4wc+DY6H4DDK6GjzPZIF
Hfg3jDzA4ZBeUJroRQ2Duy4j+4hB8tBmkXuuoDkcOsf+ZncCQlN61S5r6jBZOTwpap+YKZ1uQZ2G
m2aeMVbE1I8Va22qm6+YEDO++bTRT65TKFxGQdKqTdRoWCGk3YfnMepv8RSmr23cgDondfJbj0S3
49Y70jLHC7Oz6172d1WFIWzT973Em5PmpA0IGPejQKPNguKr6x3rqsY6+KSoRViPiqlA57dzQTNI
2Zo6ilUDvmBdcTooV5oIm01aNfAGYuCuSad/gv8vt7RtEHTF1nlkILQem+JNA7sCt39UzARSlZou
oiL3FyS1DgKZVUkKiGHnt09DaiDtLyVMF1e5w7iZnMZYZf1QXydZPAQmHNioi5u1qnLtSkNHcBm1
JZlObD2W1lZXTbwW2HzXRh1OmzDc5wQQNwNGw2NSszPZDaUOaYxq5kZn+KRftTv+okLD2g/K5aig
G4AjZy/yNcz3d5oWUD0UwvUwCJlXMhs3c4cRQPb01gZ4j9d03vIl0892TOzwJTQJ6Na01ZBnGlie
Q+JNQ2vRzZprc3TLx2rakCLbakOwiXNH4DrvjFM0As3LtFZAeoAiPIZGix+tb8+IaJjJwHHDrRlT
f1K1wcgkaHYV7sY139Cw4SzI3X5pWerH+TnIej5IJI1N7vDBZiSvz6Xsyx0xg+fBjrQnjH7NXevZ
qKMzifzEadpdSdnmjhWIigebuLZMidTpHfgru7CcOyeBxhEl3lVpE68vPQj3I987fXWq9Y2mZ3ii
pQ5q1uiGu0YCBzDNxuSFjy0mXd2o3mO5fKnI6faWuYC6OjEWhUS0SlITFQzvnqtnN5f4/xFLavoN
qNzZa2w5e6LTw2tSUb/IMIkCo8HWyY6ixhckPvXgm1pDQoH2Mj5qaXxes80GO61n+kc1soiu9K2w
c6Zhrx+c0Bp35OLND4805gnL3nife206rLSqoE8n6AznQCks7U59n+SHkPHcY+gJ+6jLXjzBIgp+
ZypAbakKme8orYhTFiYR7JNWtw+U2BW6T5uktwlNLT7wqqCN65BGwl0JIGW3RJhewFNRhkhzA6mA
aSTla9AzSDAFpE7meG7Jl1Dk15TswJPhOsldHC3zljGZlyrq/g0yc07Z61RQ1snxgZK+Qm0N1QEO
aOF6eBs7MuenNJmm33jTc15Tmaa3hj7ZmxeVFfC02IlILCGNDxztt7io1IucSv0SREWBWgthYTKW
KdY8uXQp8hyEb7FVWyQ+9OzICGB86ofcusOm0D9ontlymnSCqwlk5ZwJKY5tId03LRtSkiF1+WZa
AeWigrKINrw0MnFOBm6FmRCfDZZfphaWFBQ6hSCgi5VjzDEasTkzLWyaXclQ0VwNAWI6JfH0WnUK
58QqE7iFV6kd5Bf6WKIdxsN6ZfQFB8Z8askpafMeTFNKfqMQz6bT9+kKEqT5FASI6psZloq4skWw
v3Wh208sYMJZ50pi68woSPLmglZfs8CdiTH20qVW4ruZ98E1W9BtLcjBSAhXgIadbV1X0ReHFuRO
p6L/NZwzsh/dSO9aTuxrX9W9euelnW+apzht2iPNgQ0/BNO3sUTu0g1qf+g7uRleCQQal0Hp/fhR
msZYP0xjXGePGrVgtOViXCeLjXvY8wP6yoeFTTMG+Pp7AuUQxyEoOpRu7GjNTG65NYRPYyXi71nD
VurheiUCPVj4kxpdPVTMdt6xe1tP3QiEEU664b11c+jNpFvj4jHMtegL3klyoHnc/KgtoMtUOKBT
MsmGLwat3foNp2g+hANN2yRcQNJNjWCtmGuDBZqDN6uaDZN3V9M4Qe5Zmd2rw9f9kQau9YwhzGme
ZG457SVANTXBFQxGsRFK8v7kCb1U5GnwodjhhFqTE+9exZ2Y4n0leAgZsmu0YnY2eO42n+AUZSlv
rzURfVyX7IfHUiSUVqVmXV3ChoTyeiD9Q19h5ZIjrFxjYoRXLXj2zsQ5ODDzpFrlpfKM7sPgSuTX
9LDcGtt6iLV+HY6ZWlfUMx7bKQSlz3OI4OLoH5i8h59h4SV7h0a9l4QE4JuoCL4QWp2sdyeexkPf
DtO2xwZ0b8ym8xBSEAFRJRyDu8XvVE9VuudEHZ1Gw4LVj5yLq8coPno37E9tqTlX2BfNNteYDral
ex+7CSgHxwDe13fJrbA06+zhxExhn+GA9+sqxusja2gzbjYFOA2AbeG3CM5hJH92YfRFtc/40FVY
TFdjTQ3KyqRWYKWc3vvuJG2RUZfHW5xxTPkHI3pppNe9DglvDuSK9jWBjrQOcD6fiy4tD3Fm5Q9p
aX2HVgS6YBHHmL5m1yzvoaXBo/oNcnRmBx2MO4qYnacZyMZhDmmnEHM7vKSLQqe0NLqowE6uNOeY
GzoaqFvORdWeRgq0yD+F1d4hIv7QL3qgWcUksppFKIRfmH3Wk2E9RHnR0uaLqqhk2dwzOKM9ya1f
O32MISxRksXxIDfJ55ee9Bts19u0a+ePCHDaSoyd7qcQR++mNjHeMO0b575HxWC25b3FoH5+BjFr
vh1yTmNb7W9TWE4/Y85il6IN580M3/jc0S/x2HLKg7lDIdgW3wbt25ZVnQPFI98r1nu3KrufGGSK
TcDg+mPC5EiGy+NKLYrePUuXyxrOMN6umF2FWrBYIs+xp8jB7v1k4o5lBumW0p3kXJh98JJJWx3s
KkheQO1wQY2cnJsgWCNZwfzLI1NcXUCCh8AFs6r1XfY0TpVxjoiUfVuUWNerWC+MJzpm2wtzUrgP
UPXNL+ryuGF1DZl3PVQezltCYHcaD5pgetSjTdJV3L3iP2vDNZ3n1Ws7VkxgpTeKx9Seqie3MdRH
Qkx7XLlpx4gWiFRBi2IWfAytntUrL2R9gc7VONeZ1Q9+RpE6J9L0DJ/oR7WaLSyl4CNsB+5Xdheb
n71TOC+lkc9+6rrlxzgIursC3X0tiVH5kMLKU8hJLV4NrB38ByX5Oi1kto1717ox7RMbgWvyjk9S
3WON68+Q0Gg6yLv+KPoae4whA9w/cXY3dea0nSNVnpRkwaC1o3prXD3ehmmu3ewstf2EVNZKuD6I
lb4EG1gWXyTxnPFCR1xk32k0byzQPEBgHTCLF5LsJdmadIy/6T2kt6LRp81E4gXK3jyEJCSLaXpN
uUOuIUohGruxRsyfGSRnAivgQm1Eysq3nAKa06T30bvhxeLJTQoeoFjM/DdoqrxNpVQjQlBYvFh5
/a1SCnk2tTsVHzCopm/Yc/DZbI1lKNDmdZTXTO57Tds5Y/yZhghbFAmvOnf6yEacQWQudX9oiUIO
UaIvh7EXFplyyaw86gFte2EXa8cwaSXfJnOqzsvstUbjbtoRLY86eWtjZd0HZkAFTGjRaW9aoKhW
Y5DubfrsjxhsnT3weh4HDdHvMFPdU66zyFy2qXwLZ6Beey5omBLiRMHGfhy7SZ7jcIrWiB7NTniB
/gnfgw4SQd/KKi3KnN+f1Ucn0u1zzw2K5I7Z3pLJvU64YUAzTMMNTktRrFphApAhng2Th84GqjOa
e9vQ7xdN6J2Ce6taUbgkzDUD7OSekx0JJJ316hy50kHtUnYUrrzIColCcPFcueNsob/N7doco+xF
z1wsl3RsOg8cDTILBFYa3FPlSKRvcNVdSy8NBfFmvDYVgFsZTLyXWeARB4GduG0BFBGi7crmaDVo
ib4F0/G1DqmLoelAvScUd58pn0jVyomom1FWbz+YcVefa36aX9Z1cI2YD531SisQzrzSPQKIxJRb
Qtgy4kkdq1avjrEVy5sjsmpbDA5KnkHf6Nuk+vYecU21G9vEH7GSbp5u6h4MAc2EVbIJremXN9fz
ujVCRrahoX9hnILTEMzBIwP4YOW4nUGzeQXpzZllug2TLtw2tj7fLwDoXWSQ3l+JJJdnsFTVw6yB
R1jRN8X/pZnFnVMO88fYZ+6hIon6DIiNVXAsFS0LJoXJFeIV0XVaXO65Exh0V9JitNb1njMX0XVT
sZm1Zb8irkbSjxKtVWNoz7LtFYPUgWTllC9NcBU4t2TMRobKRubXk9T2beZUB63U8SZpRf1TpwRr
TS6KYRCDFhZjPIAYtVOR1/e9XrZbLHuoivPIRsrf2vvWkvkJeNKwpW++wuQQLRYzWrwJrpkR7zgO
och35BTsurRuBBuP0V8ETJUXymgFdbNQKEFIJdEK5WoO/d6hGNOlHIl78hBXT6niML6NbTVOuBn6
pNhqlD2Vxz6KDCTZqiRRRFslDyRdkdprkVhgCfUoQXvmEJ36EZnEG7O2Jj6WrhM/Ru5MhjGDR0AJ
n+1ATknquPtOXAziWJycn6kxOzc5Mkve4q/QsI4zm8u2UCtZt5I6AkqUZQ6tUtjLzBvxWY7IgxfD
0cJFWb12lpl89hoBZvwSgw6DVzWBc5iR+p9ia6b31AzASVLEfD92S1w3tGv10E/hjNxGE9S1GhDi
zN7K79lu3nFLVutAMm0UwvN+aqUZbasJm1yMM+WgKB14SVQCI6GQI31lTmRspkJkCCntnk9h3gAK
Gy9OrFxy/aVXPoK3pccFU8ET8qV9kLXhXjGEIjEktFOcwm7GJt7WpvxCNWB2GRaGRwCgYXSgjaNm
relhxYptF7iRGjwwb5Ak2SCQUKdzm1Pb3kUPcQWLYjGge09pGxSY/WATpE6Tro0Mi3VgsBPcKbaZ
fBXPUfspowTrSjSNnVqNZb6ErAvNfpCVSfFfNUyZt47dSav91kSpXfelBI9iUi29ZRsxrpnltQ8m
lYGvCOfDAzXLgBPxDO3iwlK7VlXms5nSB8cwE3OKxIq2LWNjonzRTu7pAaC8tByk87Olo/I9Hp3s
2GqivzaakcKGnUUEPVOOTF2EyPhrJIV9mWJOWX7rav0bUXUsvQ6H621kj8lOj+LxfvQaDCiulYIA
SPkgHsqkmTU/rIzwKxCRC8/GEuIxDBB6yc/p+WNCx/Nm1AIu0BRZ2WynZPAcL+IiNeamfWlKoW51
WOo3A7DtPaWGRYJvNK7fZ4huF2emH2nV19I560rTkXEKlVAS2NbiGaeaQVmd54R+TlyVuXOH/rmS
Se4eEsoyfsXALz9I+aOVgTfh7tljACGGjTll7Uwm17i56bNXnraezkzYDpzpCzXeK90Mfg1auyxw
vES24Be55Jr2pmjns24U7iGKAn1HVwndvMjZfqc8/UtZXROtvZKdj4Iq7dnR4oqpeOMeRrAgJ2to
sTSZUfetOiveYX9i7RzkwhphBDz+dmgGXzdZt+YOAVW0hdVxR+mbe4BMn2PTK7NHTIcY0wy6q+DS
dF9Fgp2TwPYESybDZLgEMzijhXn9ISpdRZuwc8sbVyTU76pQFAGY8kFyOvsFGg+LptHwFyAYWxX2
9VvYiokrXoBJWsau0g5tqoNa4zN8LAaFCVkrcokzZvCetFmYYJYJZsQbEoDXLnfVrSxTm+kBawu+
wM6yjp7ettfcdLMjVkTvSQQl0DTi5VdnLFAT9Cnvfs7IasuGvDiSOorDyCo41CrCdrylEVVSfuQl
RvUYEJZ4GFNGbBGHmxMBYeeB4Vaxz3QR3ZRhV76RjoQ/euxJjVU2m6YR0WqOhuA+7yfnwG8L73m7
tc9R0DfP375FQZ9uyOaOH1yZ5aVzQa5PY/5Vw4PJ04664KiUvpF409kBK/EYDyawFQhKfhJ5j1Os
IHYTKGZnRLrctwpI1YoQKmRKQ3eezIE/l+e4vDxT1a6tjPd6RVZlwFvmLhMa3K97Lc6Dfcux/Sdm
I8iuug6t0DLH5obJjg2bV1mDndyxy/UjbffQvSEr0aiu3iEJNiemq7+oBYZ6VbXKvo+oYD0PGCwe
RuQMwFMSRFAqgpBC6I7xDZwO9wCC6I5VNVgKMOQC9Ss3adMZ31UR0HGr9CWfL0qlxT6yO8gojM9T
7tscEY6d5havZsiWhXOOI0uEwpkKYyCvz7SlJNldvTBPbSHTinIT1W15B7tRrnWyDxvQmRJMpGlb
7KYhcfW4bfOf8FXVmdkh7nVnkt+9KtRx0NIMLVjId51ONQBxXSY1P9V779AFNgdZN2FuZc4dNxhD
RMNRGQopJ6/NtWSag9xb2R+VDUoD7F6r7QONanMLjSReAfAgyDvaLHKei0EP32v0aBfMfExPDE+x
O1pf5TCNn1je26d67Ogoc9JxWf+Dojs5XiJLIBTj+LNOmV+Sn+fSg0TK0WTOueMRL2Ax7juJ/SMH
XM5Gk7bRedB0/ZNyGRy4QxVAfmgmNq6p8Jx9ULq0NbemNvOoAwSMKoyPk92G7FxFWO4bZVcWdVEG
wG+c2dNrLVODuU3kbQ2jYs8n1dOSDtPLwC8DcMJruEvzuYuhxHNENdKD65FQD0cYWXQGTu4vT09i
tDydid8qHaFPrIwYT+RKeJN9qfI4AnTUmin+w4hdbJUXUH7oM+/M+uSNIz8mTa2QmhycN37uWOI5
6xvmKEaRHvFE465pA03bI7Ln7toGTMA/GHjpVkEXG8/MbM1sNTAQJUtc2PZX3ccFRlLTemDz4uyS
sV2uAvv/sncmy5Ej6bV+FT2AUOYA3B3A5popAjFzCAbHzA2MTCYxzzOe/n5RVWpl91VLajMtZNe0
q0Ulh2AE/Pfzn/MdjvYDfmMz9R1rmd7Qm61NkybGU3i9XVGDsGz7EOjfWrIf3IxUGftTnIlbF5D+
ZyrL6yFGToI+ajp+JUzBYKtwEdDq6eWnJRfmcSrq6W4WbLwpKEMkzyP6eSnW3JCSMflkAeQ3kvGB
xrizTScAt+sWdErRHOegyA6uURibLjVbn6bE4adZqYS6wya+A8fH82uZXd9xBE7jobLWwcB/LQlY
p5XZt+JNQAm4a8MovU2b0dqUnYhcMEFDS8WD6t6ivloemmEobsq0dlmjw8iVVpAfMsoRfmQVCJSw
chuyKATvA4jDNBrGY+z32bj8aEM72oem5xyapRz3zOvIxPBW1fZ/vUH/lYqjP9KAGFcsbDqWrQi/
/mKAuQbW/qrwyH//bN5/D9Jes2LNP+3fh59Z/E//ck3W/r2M7b/7Lf70GdqEyRwL26lUtM3yY/zF
UnSN25qkZh0mZEESHRvSv4bJxG+O5E1M9FrwYxPF/TdLEV1LmHH4evw61y/p/iOWItP+W2vPH3lb
7s/I93idPX6IX/O2VJ+PSagXuQnG5x5CEqf+NtxGVEbGANXW7jVIynbvYkO2Wnk9zo3nto63cf4a
APCMA4NqBHkF60OuH4AZYbdtV72xdShKGSp3FbTUQLgf8yT9qGLr2sev/fjdiruNMTe4IZZHG5vE
aM33dtRsbeNYuV88VLN9oJ8G6y78jArYOgrQdArx6LZsMBTpLx5x65QFZQS2wdQHlRAW84R5BzzE
n0djnUXzLgfXBD68h0aSbGmRFzpB3DKvyK0+u5ui74W3kE8bP4RXPLedeMjrJfLj8HpBsedq0zqA
4osfXXaPwE/uYEgxIyUURYRc21DwGsKbjnU2k+QR2sqB5RsyEatLmR9TgRlH5zf2ZLJKryqG+ytf
ixOiJ4+sE3HOeLxOVZKsDBtOTy8B5dTym0jQhKS1GcpwU2LnTIJxix1kS6p+3XSTz9bQz9L21o67
c6dtYi72j9TRZwhwdHHO1IhisnqBXf+M5LS1wAuGksUa0HWTtnOH9uWBrxpG8TkEKk2eAdybZGav
KX1NpttfPjb/nm/s/2nC+iOFSzmLSdjcITr+1++tdBAtMrCBgLDkz01nkAqQ7ZmJeB+NeoPmU/uZ
o5lai11W3at82uF/O3XgAf1Z2MMqb+GZBYGHzJ/tU4Pbdz9umyQNYIPYZ3soibCpRwy0DT6J1q/t
+FQXJ9HLXVMVJ3PemhS70n6+quLlQWXR3nXGTWN6dx1/wmqOv2SjLir9BqVwGxBEJkGJXoJmYkZA
/zq/Hm2/JMSBrcVnDwoNyNgDITo3qtniiDjPwrvREhfA3OOLyOEBdk8JXRy8JXeLd5Tmd61IZS/9
sdbLHf6IAphiWDODcG/2eFem1zqegXRycevU2c4gJqly9yPv5n0GJgZvK1stg3hx2i83y9Rx0gXv
c6W2JeIspKpxRXQYQpA5H3lcvFpWSOXDk9U0txQR71vmo2L6zjE2nSraj4knmLQwB0gURpS9GRBb
o8rcYUxIVqOWW1PDGbGbTzHxMw75fM8SCNcPnX/kHu3+VGO/q/Ty/T9+m1jXMPivVufru4RclC1c
90rJ+D3L/Uvif7muaRvYvyD305+h0b8GvHxBY34HmboG63o0neYC9v9u6Yf7sIUQO053MbhsakXq
bVcDLVVe4idtxQHq3UeYPxAJEEQ8Akpdek6i4Qtwxn/y7sbc+Tc/N/AE3BaCBzhxc1P8rUW7rUgk
DmYSIPQ2LPQtwgSYIBdVrif6SQkUgmDMIndHFo5pEG5WzkOqNtl0OdupKnZ1xA7EMbhhN/W4rLnf
8Z4NGS6seO/0ibWyNGnReHjkwQpsGKhu0j9Whvm82KHPRe4zVNNjLttVYLu4RCIcN0GMP6rRXbmZ
2GVjzrS+RB/1CNqdcUOgCEPcUnWrrBov0TCcR7c/VRroTqyL22gIki2u2O+1s5hod8MT6uT9kLFG
6lX1VRhJhChZPY2d8eXBZ1y7sf7SBnFgnbzl4HyaAeCnMr8oA9hFU0j7BT9BSClLK1mbe+suUi8j
fjbbHb2VA+04Mkgwu6DMxg2Z5FDQYIlEF6fqtagsWqmjvQwmclndLYXI57bj9KiE5Seut8c0ie29
71/BIzyD2eM5Lt+WtH4OkTx6q1j8oYd4jWnLTmp24mKv6uJRReNehPguOxhWonrMgLH1lu1ri897
onyduOewEAeSKedRuohEWO5gjl/pOX4vQDYBRY0ZzMJIbPnT3wiTlP9wLamIX7Op3g9Ov+kAj6v5
VpQ3XYDqRc6s8zJY7fS3tG/J8njFQqSx60f9yWMJmQDca3gJ6YQKY9p1zG1dYHNIl000FvmqsUm/
RhEpKX3uYczjzfpW5yStvauogjkG8wPlgvhJHJaEufNQIqevDLALRUOY0KuGc6wo5cmAkxnWF+s0
Llfeq2yZ7o2ShZOxpSq0uCIKbgo+hlT2lOeuTvfWorZJWT3mo76kYXKS1jz6C66celHz2iA5hbEN
6aTfkh3wg7DFSZO+Jda45661z/sIEAKtpKugy5/tqHgLW3UzNfZL1nEfU/pNLfXTlPfdhnf1oQ5o
A8I0CAxKb8a217gNwhNbGofo1Dz7TehmGyWXmzTk1NLlPYVPzc5pxLtsl2xjjc2ltOf3tI6u1e7d
m8gIHVEUWq5jbz43snseFvc4OFUEIDXeGOkBNNyLdvDwdua0tqLkCUbxW2/1JzFNH/m00P9TZL6Z
2XtjnPxJiHPOZhb3w0tO3MdFz22kd9G9cRum3xDkV6Xbr72AfeoQP9j5spl5t0t4kEtsQQKc19Pk
PU6z/Yrbald2y4GE1SUwPobU/fIW8X0iKxZa09bsvR+JtPw4d8DtKnUJvJ+g51aOB/UbK8ddZd4p
+77oLwAEUQZzv6fGStuXYabyNHGf8wn0MFNHuXS4/Wz6eCbfSn6yV4RO4W7S9s3xnnAkreKJUCEJ
iTjyTetbHz46Yb7TbrNy5QM4UPxO46XsLd4uxm0iLhNXzlW0gEgivD9LFpHzPtbyQB+zkvkG1OLK
g8tY6Xtz/OGh7uSO/db1uCNmPtepBWD2jF8PS8cDNgZ6fNPotcaMuu5j5Yfxx4iUlPdfU1Ku88r7
mCiU2npD+2FUeg/jfJ/G5ucwJh1qNyx6QLIk51MCL97oW3MNcLN0D3SWOBgIPXweYf4SzzgVJ2uW
n0aDx9A1XL+0HXc7EtpSTfEUhbXjQy968lLjW8kasEzRoqfkvASdsx4qouB2YctD2KUQyTO32LB4
7tnOFz/Kftm5i7PvkKh1TseZcBmnwmh6NGRNslZUGxR3UPjjewf0rjebA0ZXIqIICYt2PlAvj94Y
/XTn/skrSNzXibVPErKAZctoQpw03QQAl1ZXdSAZuqcMc05l5hsG9RtCZV+pyKBG7sIO9wULGLNs
btMReLgpb6MaUXjudq5dW74MbLY/koSPRM33R/w8OD0bYw3ciRaD1JhX/xwtLGGcnjGtUh6ccEhd
TGBPscjf2IMUq7ykCgb328WOzCOvTbwJPCI/VgW9pHScbu0UPVUPhss3yfXjf9el9ZqJ+Z8GIOFa
xnTz91Mop58N9JFf4yfcuq7/5N8yaZ5JUJxp4kr2+CV+QjDFtV1X/EFYsh2ucX/eFU3rN0e4hItA
7LqO9hRzSvsHmsn9zZIQlPh6oMc8x9L6H7kr0gL0NxOPQ/mo4sbKmCZBPunrJPfLpOb1iTGmqZlu
bLZqOiiv82eps3jNyr6/KRJk2gD/4knbS7kn+NABt29SJoWcSCjQkO5VjhLVv2DP8qarBu6PEEV5
yJj4ypXnpi7CetQV21AN7r2ICAAfBq3H+KZRdflDLqo/tZTMN8de6B4Nv4z7YRuCHqUMaol0uukM
79qEQD80lyUCfMieOP2KSil63wZXozfagFLZ9eJBX81ItGzDjdR5xoidpJvCjKYbArjBiYLepj+6
kdCv9TJarwGUo6c2MsZ7HqwcI8PSGgwdIjwOpquv9X8RfS9u1ntHrGp0itHmhVvJEKyrBnTN4Wg1
QQR9nX4z46jnyHoUxdirbZp6cebDaa/xTaECMYojIxQw6KMpuI8cnEnYCxckXkAdgFPaeszGez2g
3yN5yQ74SiDhGlZlKh3solD1Vr0TNmIdJzn8SvzmN1ZvxO2GlWpzQ45dqH0ZtRi6ta04ByQJ+cdx
sRAbg9SKo23XTRlnR9wlnj96BoKlHqv0B12KS3WYqdwu/bnFE72WoXbfuH8k96kReHv+MvJJuMmw
n4Ngxl82e2dqwGgBir2kmTZtK8pny7Z5+C8E7YKdpjrlWDUTLTVyaKYXUaXOQ1oL/UPAU4w3ve7h
zkD35aVxQ3eBQQOwfoP9zHqt+7h/dUMsndsxk/QSUhQp+jVk5/qU5H3xKHFZMO66NcuoqjON8SCn
jkhfQD2FH7l8B191Ysg38ATsSwISYq/COn6g3qYrVwx3+se1qxRcdYQBfg3CfrxLsiE6eaGdIc6b
GvJzxP0sWCAIIxh6Ey9BsHg0ZxqUYNYqxqXcO+OVEG1qpuqee1dOFpUtLTB9ipxyWckthlAKmOfJ
ICM5owELv6eTbbjazLirFSHarrCRg1u4iamPY7tUq9oFbcYWvem/NCtw6fMl4JDHooI1m1cp3BPL
rYnVmLRKboVdBA/5MIU8sud03KYTv9hqRLs2EbTnihWP1TU3V/bGZx/LUBzc3BAkmFTf+DoDc6lX
o4xcSFd2lz96HsNr6/Qu6sqQ5dbvHogmeakW745jZNoUfTM6uP+htJ6EhTupdwhcY2xN9qIVyUth
jWIn6UrZOOyhb0KvzU4zrb/berLIEsTp6Iy3s1d05oPZUJHUcAtnErCpNBhGhiy7q5KjhC38eOVL
wEqcB5KcZrsc8oZ3CisodSt6l+VhBzZy5BvYEThPHErVB0UolDoOWGrWacX7hNVckM4vtM+QAapn
sDFUMzF3ptuhFxnBpwbiSMxBTiVgYNTRZewL/ZFmY135gorQ6MBSuFjuuXfRn2LykelhyFda+KMb
TpyuHjdn96A9khX3Niud5dYwjOSFzh8HQcjuVL+FgjOPCSBRq3f2JHd4zKOaRdzfwtQpty7D/Hs5
gdYnCbP5XTafWUMKPknwIHuQ2krx267+WVUe4njV15sUvzvVAkO3M6sq/V8Z+ed/RUZmI2SREf/7
h/vte/TevLdR1/zVCf/nv/szYCp+w/bnCd78sBGucvBf1GDrN85WIKemcvXv4fK/nPCW9ZuwOKyY
AAiYQ2bkH/15wpvqNyYCxblsWxbBDUh7/wB80RTqmiH9VYwhDCulYwKddbUgbMpv/OsRb+HzmjrL
IP+BpXLYa/y1PmsO3bGZxW2adkjAXY6ag7FwwOLqsocGQBsK8+QZjhFvXIgZ3PxaVb7lRNK9Oz5I
1/+jAHhn19oUPpGVA1s7weXWoQ9plXFaET0xkqx6UE0cvxpSxeGjIGFWPuDJxQQcJySz1hRd8WRr
Ch0w2GZjw74tqjx31QHmT5E22yBeebkFN8UjigFJB8+msy5VEZ6xi5pfZlJKbEfaouEh7b1DndbG
xYK/T6Feugy5z2ZS0gsSm3VKALIab4BO5cNKZaLlF2jGY0fkwPUbVQ7BXZDP3OkLl0/khQXfWzJc
8dXsDdmG1Y4VI8gGGk9wHPEkWqZGJjdysE0yWG4b5dflN3JwObTY3EkjRU/SNXK9RXaMBMBHUB3r
cUhifCE2pl1kDetZ1y2ICmHP4XZp3SHbGy65p2MzVbTD6bBlhroy7arV3HoZBhZk3werM9N5XQmJ
5sdp73NFpCSB5STdkfgszcaNHiYzrL61pvFDNR0u0JatPe3BXq6wU2MjWJW9xmkos/iVr6ZB6YfN
OVC0Mx4UShKhBcyj0DKxGl7SWS/hbRHC3Vhrir+9FdE3uz3wtDdo+iw1K3U2n2q5lZ3DIBQ6ZqXB
gy/S2DeoeK+AYGiD6ilAG26DZpq9tYrZJPruaKlzMU3mSAwgaIsbV3R4Jgcv40qFp9zcq86jQKCd
49Q7CKan6pTSAUacT9v9sCETiFwyuV3nm3ZJw1m4WPx3h999XlHtGAdbahOH7CDmsp03bMstE5Jd
pa2VDKuJ0S8ysn0y2fIDxax+Zvco1gwwzWfZBuZ05F2HikpZ/IyHvmGEAl5c0vfbCDpCCexATQCp
y0XRcKljMFycWNds6kflmf20JzLGohnRrKXpjv4yjGtYmo722JHTjasmvemaOHpoYufsYNd9btue
vGYX1MaBSSQ6uuPoCGKyefXq0mZ1Mfqo/b4QPzh5Kt0PpdXRccO3tiAmDcx8ZRZ31hPXauK5pkjL
et2Lan6MC3v5pKN2uR2UaMY1paiRed8Q18BUDths3KCsVcN+ESEtXAB4uj1Bb7xJ0Lvzb/hE63ty
P6j6jVeRkwpoJMQfq2z5VM9RxRls5VBouIjb3YaqIHUjuyJSiKNzjIDKdd089TbPBOpTcnnbVGYv
/TEqZzKfSR5/545vTRvEB97tJnGWtUmggkt9zRZIuiJ4MZYs2OHNS9f5hDE4qwx6l5sI/3Agp1ea
hAgYtImLpR8D/rc5C/ncVHSt39OPTrxJ5uWpENnwRI8MNsBszngWZN5EYYO0z42nJiz9dFTt+6G8
di+YWb5KBIvxPfla+WzmaXtq5zH8rlIr8jZL12XBA9ZjZ6StGnmVPEg9bnsrjD6myqAhL4lcxEUi
OHSywFx+ipkOD9MCWX8l6X4y2NkQspWBo7PPSkXN0UbgtqHcuctLb4bFDzzQg7cdMnsKd8S8qIvI
UydEYxmHjYQWchfVJW4KkAbMatS3jo/VGAeYadTv+7isAGRIZ3ZtHrUVVMeBOG+/Q6Ui+NYugtYD
WqN0usaFnoi1EnX7OuDovScdXeLGoGLHDAOneHYTjF7+OPFBWXmpJ3ykRaWurQC4XXJjtlcUbNg7
1Yy8PaPXJTbER9dn5sa1aAORcdpsvT6qfa5Qmj5ayPp+SXvd9YYR18AcW8VnFMYCj/007I7MaV7x
VOJahCEioQ0Msg4u+WyIp3BOeUW1NTrDBlxfPIJYTJIHUOcOsSNh0fftOkoaJ9jqyTvFQeWwB6HW
p7fSDpa1G/LIQVixwShSq0t7CSj4M6p6+GS6POb8IZxAkLV27CG6qCsN0VMo46sx9MZnj0vcwvPK
jCn44pWPN0sl9QPCsEFRwlzkDLc9ag9ONryoZJqj6hLXFj1aPBvIY0cgrOp1xBXWOlyjexkvRaw3
1KOk3tp04okqsZitUCAX49AX8Pgwd1SgnJgP2r0FvAj7cg2eqqCu4FPj/H9lFi8fjKFDiJ3qePmR
SiNrUG0U9vUp6d2SkA+dJ2syLcuB+GaaAnXKiHMASKtnzCKLBaXKvb4IBSEFMVJ7dSafPjMgNLb9
7tYLB51bFNXT1QN/W4pqlD7+G7xGMuXR6vWu7a1I1eR3ky7ji+1Gw8sIuOyYzgzmW2EYC7cv4Y6r
EDvZcJteYZPDArXYH5OU44j4bV3tJ927P6nYAMxlh+YdXZ2KigdjLDOqtVIWU8UYLiV3fLa3cD2j
4J5U0jTvafquPCKsxNFWxkj01LAb7xvRRfWQWMaptpOYpESXX3rIYiczIa7vB4UJpoCHHLL2YFCQ
TmWi208fBCKHNZZSvYJwkNrfVZO72TqkyIb4b29/tRX+60hO5XuK3Q7Kfj2kBzGNKKPXA4Ai1+Rx
lgldBiO2R39ucrzB6KoX/HfO0awdYe0G+0pLDokLZmCn0fxCtgJ1gIB3zYllK8l1lFieAljvBMvR
oK2NC2Jo6YvMjDz9HrHfpk0vpberjJb9xKX4ytuiegrUq20C9Gzg3oTYTKnsswA2ROF4MqIxZIev
xw6abDw7V/a2czfUBk3wmQw/5aijb0QinwyTgxUEayhj0GFNuY0nrE55pGk40o5DR2/Dswj/l71Y
wwHmpP6ojaiiVLyAzHYckuRgylnt0ELcB2lxo1fouk+ZtqvvykRFumNdM3wB7S9GZoPUgj/YRU3m
R8lo6K2yFvoAZrfKN8IcS3NfynT6CK0Q2qskGvlSBvD88GnStlErWzQPY2A5zobkocM6lu6w7gbS
Ji9jGHr9vJL0E3zaYUZmCuxLNBwCkUmAFYxzMxuIMveOBXGfx1q43Mjj1MgfR68t7UM56Xy52E19
GdqKOJZq6oFAF7USD1zfCKTaS3RrdlO8j9XM+jaaSPs2EUdWl3V5tXZkNJVri6UmdgJXd+d4aaJD
jshxLOgWhhU92vfYQMifsG6ghWvCxhCUFe0OIgs5y5lBPhtpT8+KavQNKoPlO2VoMUWX7othQB9Z
QWdxu4ML96l4n0HHVDsetN7THCfysx+wodJg3RT3vdfWLz2UaupG59E82pQX3bRW6bCzqkPz1RLS
ZFPSGHctcA9Sn0MofWQ9TS4LL1m2IdBrr0g3VfXaTiv5gwMy8zmyXNAmrmG/dkH7bjU1bBdiBWRF
Qiutvqq0rl/NWGH9MCkBMsj+oxqsjXguXuqwD5/GMnWrK3EiQkgQ6pH6TTyAvJNr641AJdn6esnG
H53MMQoaVwkc7OPETP5uTuBc6GJ5TFLLPBiWzZMf/6DtHfGSe3ovFnNgkWRm6bylYbFP7uJysC3f
Gw0HO4bEC7+3qpYONf4rd3jmOWwl6St3wy1VSNW2dWp7gubgdk8tiTlsA1ZoPVK2asYYgTnKozmt
LgBRwwvv/WW/DAvrhxTwUO8XS9+fYzemh7C1kUey1t5aEO/hccmfdOha7bqiNZ250U3UgZa5OXql
SS2i3Au9nQ7oqrmSo2xh3sJpoAqR5ZSRU/SL7zHeQACcjpQ8lhtbaJq42uF7CiwVO367pAHWSody
KjtS6q6evO4yGsGyCy0rfqt4bQGsTKy1bF2k5T42PEOTWJYxPDwdoVmhahnfUGR745hck9ur3s6d
Z2CraB3YtU17TQVZ+UNkrjMBGRmiu1BeL2el06aU73ne9EgsE/ZMiRrIn1At3+yYGKfFT6Gx/EeE
KF1eb1C1dtXupN3g2LRCknexmcr7OLLFEwMuT1jingzrGLePgV1OP+nepCZodjJWahBt9oNXylsu
DW5wrJPK+mCJafsZXVS4GPpoIWi5eGjHS4ollO0QnBOrkNLirxhQYVTHOA75i3XE56gJ3vBhNvF8
E1n74OOrb9qU3pwVAR9Od3RdXJVRdAUTR0B1gKzYGOFVfm8JhqFNQKrGPEJ9CfSWG7EgwhobCbcq
rjcaYny87GiFs74r0vD1mmpJ7q/Ib5LqsB4xjouSp+fnJmhNiS5ke8k2bovoc6gbdRii3vwG++Nq
NlTNPq14zLNBxbSlZs2zBtDaBl8vWUTlsjfHLw9KCKMmPIvc0u13adTBfegMaqfNJnppYpd6gXCu
qOAMkkw/wO8o22NdEvTzW2qVg1VAjILegAmFmmgdzqXBoq1orYga3ruVC7kh7GLvM/bo1bXb8Dny
vCZbqYSurZJ4GG/dxdkCWaN4LRXuccadwqqxLg7VFFdnZ6iFXzVaNxvOZjiWc9y3lyYYsSI0JOP8
uIjbH0kXgfr0LK9r9g41mdcre/dZdctwD1m/NPndBLqaKsOQQ5qkxLvsRuFn/B2+ZCqXyxBxwDON
6hvJqvkhqUij51GAr2xYTqHjKcwRCur9us6HfSr1j7Zn4El1CJDJKsbTCPU6tmqxa5OMiXfQ9uuy
RJ+83SZeY0TZXsef2RDnhzYAxZDFLLvzhAl5MvWdzMGY5qrlBxrK6uxyDG/jrgm/M1PAnuXhpx9l
+i4sGgpi3kcM+oXtx7MioC1LdYBXgK++6sSucYdmzYPTL+lv3Jlx4Xz2mWHuA9HIg12l+6VwMaPr
nsLCCq/JNskb+7ExzfnkLK74IBNSnPDLju/9FfFCFUJO2Vo3i2mfpSWZYx6S448FAR63cmrWa1LC
Lj6tmqGrptEuWw+jUb9DRHfnzaJr7Hk9Md5yYqZPMfvskqQa9ywIue4PVYrRxJ7vND4a/E1jNt+M
08BU6I7d8nNOWoTklAlyzR7ZfYJ5renLAtml20JyJ87cNesHgRlDJj8zY2p2Dbrr9TB5w7/WmzSB
qv621TxEO52UybpirRHscvxze/IRuzqDAlF0EVlfu0L8SCEGPDPu1ggUc0tX2e93jqkK/bpV6Zdr
R96BSuPlMs7J8s3MQn0pyrmfVqSY2nVtybldFaI38UXyuES52akyO4xWWO0iGAn3gAsoxUsnDPCW
KguGHXhNW7vHhh06nboZMu6nvSPrt7ERJ8eccbII5ahL5kmapfJmeiDGjHAkotwlspO+1VSFvwUi
hzzSN80doQZzg35ubSt1lc/a0a8Ar0AFn9WZ7S/OOodKUawyCMxzjx/DoSg9HNeyduRpVpbJIOWB
slUQWwurU9yR8aA1bWhsBg5juEtUbTkkv294UCUbPjLua2GQcKdCtq7XhY0t3zLDpzmDcLGLxTA9
aT218PlLVie116t7FxelBoGl59sxM8YNT1yWxXZB+XsHEGpZwso6YY6sOthYINOCqP1mJK54Urru
DO4qS/tMZJ1pL0zt13pKgLtSHc5fdRH7SvP3px262zhtloTHeqJsQ4zR6A9KKeacJXU+piJ716zf
1lNJrER3S/5zmJ1gx/OhvLDSGxmHAuMus0nqymB87RIO1h46ox9C0yx3Ct4dMVH4mGXm3FVgLwhf
cx3AeRNxvVkFo4pPIm2KgyMaqD+dfca6TgExmxwGsmA+a6qQyFF17AXaDHIIwkkCPAxvVNId9LSg
Tc3lol+0latvikoF8j+cJJgjTk4NUn/mvoFJlsH2LiAW/EHJrv1MfEx8AWcj9QvK+Nzju0q0Wrq7
ymC3g4mL3SRfK9oT+P1RK9NqN4bdTntG7/krImh1Tltl7WtiN5tG5NDOKWcg2oIRcXA7kx0UXVxM
UosKsX4Ih6xbmsQLtaFcWh6EndszgTCTQ2/137Xo/3XP/3/+P4XZ2rAe/6PNQhFXffNXvgFxrYS6
/rM/FguevDrGhbAJCFms9SS7+T87S+h7IrXkESGVFsSpX6wDFtsDT8CZpWoJY/yVWfuviwXL/s21
r+ZGYdOeQ3vgP2YdcDGs/7pXwLjAM8V0LAVs6Lri+BvrANHSojJE6u2TJs73cyR4dMbcyTqQYlXH
FQ542/SUEnXbySEjhBMt03PedsYjl/HXJvTqW6N2l0sY5NPJYa18aQf5YKKprFLu2nATJWP7VIor
BIsbUtQEL9JyKdJMjQPBV48cN25HzNMXgxONKXKKPpRBgYMiyru2huycuInrUlifcx61muZGWfcg
4EFpLX6l9PAEVcBdQzmk+Hicq1sA3FPkq3qmH/haMI1tINnF7LD3RkHV6t5rmXkpKYne4qr6mS5G
4fhhB11tPcXJ99hKPkbPEnvERUy7aPcpuMrT6Oadz3KemkM5fwkCfL7si/puUqMG2BHkF0qe6lsv
ZWdM7n+FoRIrWqwA3zejCZOdmHsaxW/DhBkrgZKQYWTr+IXakTFW2QdhsqtNHI/Ymrgmwy3I9S1v
EegZ3EwvYkw+R9WSrqWafU1wOmvXpoCr5bbie25OOV8qKAZwReBzXE+Gj8M4EYcdjUcW1tnDkGlj
l42KLrtKBuJBjQ73OBmOUQbFzhzE2myuX5MdMMJF2qT2Kv29boFs2fwQWJOBhCXzjodMwxLcIOC8
z6qIqqUGTPmpwpqQbIPFSnF8TG2KUSMJumHLttQ7DWXbv3ZoC82hrXUbobfCtKs7Bb0r8jBYcD7M
CNDYeodgjV84o8Y+l+KH5kL3wvWnILnntQzx0qlRv4Y877zNbOBjYFubosvUMrzOXY6C/c0SH1kI
peSta3Vzi9orq41Zkmddh2ZA3UlY5KbfjUTemg4FCRmfS4VXDPdK2q35ABzPRUVFOoUGL53M2YzS
RPtmLT+Ol4TdWLQnRd/X6J3CDtdUCocLi/fauoOWXHyh/OUnB3E+3HQz18IdoPeWvzla+hEoNHv3
0WwUOtDoPbRDeGDqZiZWIyhmhVFGdCRUXRuwieNQMGHfuUK+Za1znq6TbRYLYK1xs4/AJaxUI26z
ioKW0iaceu2QqeQji/DNjJpzx8S/V3l6m48gQ5Mw8O20POjoVufU9eDWAWQfInw0JX8ya1Q+5KD8
EIrUPsezbfzk7eyTo8Z4Ks5WFxv0e7oPQtTVthwpuuURtWWpV/n8ql/28pB3g9+6/BvTrN5yoFIP
rRCHSkexP1KQm1GvBRu1TbRfpsanpCD50asMuAhGe3Y1WWsOOHDaTcibAbzl76U3vR095fYQ7dIU
CWDM7HBfOyErRf1/2TuTLbeRrrs+Ef6FQI8pSRBskmQy+9QEK6VMoUegDTRP700t/7ZKX7nKnntY
jUQCBCLi3nvOPtAF/Jn+rihlt56hZQUUVtqHZaEqadxwqmQSLCazRlW7N5Mm4qNGmhvXyjgokbcp
N5Go5ElPM+ebP8ePRlGmG3q7QzhGRc0rgwfAovISJjq6gS71j8VaOjwKcyC8CYWPAWnQjLx9UhXR
XtnuI0vfKQZ5tzIB8BwQEm97BnVzVhRbazacsAHPUdbeEOIq+mS0yhzQmb9iEBjgQeVaLZazRS+D
IViJr7H38u80Fn/+tjv9jfMD0+pflvtb2IkjaFeAUkZR6bruH86Pqp6UplKBUDuuMaqXmbHyl6IS
MJ1qXK+UGDezKrrygDToDrH0lL7FmSQwZ1LKwfnhjAnrZO/w1jky8u+xFA+4Waa8nXkuU/B8rQDp
gMQd+YZsK/FDzRHvs2hHRo8kBLnNihwp8qtnOWAUmupWHXKRDEmYxI7W0iywWSyqOjoSeaDU1v61
mmi/Vpbm1yqDsrg4TuWETH1AlWGQ+jCqTdJSVjNKsLStd0sC6TNtJiq70bHvNczj2pEEEYYp5ALe
wgUTZ7grIs7Gvm5uh1uZaGbqTqezd7T16mhkeXI0Ga9gQUYSlBvUdGUZ+2sDp+lKDebDUjJwyFjO
7hwUOWHDQBw1DJHOQqZwSZFRER9jHMzB7b+EJ6tnsidk0JjEDCP2bQhT7nJGjGGmJKN7Z0EHjEqJ
t8XRM87kZLeyClm1yHL6M9TkR4h7hFdnI0EwNkbNCeb0Wm8QGvs+eJvkFiTj3CJlOrJlUtlmxzkW
1v1gVQtMTJoE7ywKHb1Dd9nacpT0JRe6Egz+souqB+8zRvMSpFV2bQtpHBwdBKMEPSZONBrzM114
chL69ldmQo+t4K70DMKIJo2xE7qkkGac9cPD+BwKrejvIwQ89Jji+EfUpLytoNuGb7PN6qU8ZVzQ
MOnXVDkFAyXx3UJouAMQWIIbstHpGmV7XxCcQ/q1QdiinBkMigO7HcCEQVNEq2DmdKa2AUbQtWvG
0CnpGnj/57u6t9+SeJkC7txrEbP9W3kacSX+HKCERYBViyc4h8Q/Mt/F305JWNShP5mfaCXGrdNo
Pxg+VIghLRHWGBFMN9skeArgdx67MnqNQJ55CIykGr9jKFrF0j/rSkGNG5ANTsvApHYS57wxv6QV
+6d8oBWP3bTdepPm7aToP2yv6w5QItQagHfyOfv+yIzP666lhLbZgXxeZTUOjLLMvVCpDqMx0VSV
bX4q62bFpcuLUiL2NqVI06OVae8LIOWwnHHaVY1/giQx0/QdjABMxrwxXSG3qLNuvDz828puF6Kk
AHBUqlgzuz3kaA2Dniklp4StrLv+tNSi3czLPIeuVRO1NRmPbRxNQA1FugflgR1XzA6HD9on8eSK
aw6N4h5FR2D6Kt1r/W0AM+o9bgYmFwdUNwbIJo1mageSMzAGUf/MVYwiJXfk1hoYEZXUPyvwHfzX
1I43GV2+EJVkxg47GPP7ZLvAapxpNl7deaDXp9pSf0MG0780vaUTWJBm2c8koum7AtabrPHr9s7K
NqauDrV2SHDuMV0+Rrc9ur3t1vmvjbv+tYk7vzZ0AAtxuvN+bfTq16a//DoAoHrgMDD9OhgwcuaQ
4NzOC8nt5PD/q63/GxEX0DU0VJQ5/+diKxwyZFz978XW//pT/1Ombf0XwijTtxwbyqvONPy/ay3H
I+mR2GTdwG6HAu9Whf23pZcCTdBSoRQzbnHYzm+1lv5fGCRNBgCWYYhbssj/i4jrVkn9ruDS+QTP
R/VN1jSyb/eP5BBST5XTAUIKeptckNXCy/WaGBDSfrspf7PH34Rgf/0YDycqmnLfdQyu64+P6SBJ
ZuOtJexYufqmEJdsPY6pEFv6XIXYS1X4zx8o/nqmQLjke45juyg5dAIVUFXzjX5Xn5dL7g155ASu
mEi9rUGjJnDEEvReFUO3DfS69NEb3GzXRwSKjbqv0Ywql28VgoZQb/zs0DHKYNAKKIAkj+zgz8V4
KuNluRNTXv+LQVD86ay+fV9+cjzaOBxd3f2j5M1cLZ/HqQKPH8nyc1SEf3e0+8i99St/k2mRh2zA
dcYVTeLPVurL5zB548scZ3VoDze24zDkz5WcelgQi/y3M9p/Pid8PdPEnGsRlmB4PI+/307Xh1UJ
KcUJWCOtU7oIONipfTu8dmNyZHhOuH0FVZMwLnMKdA0ICXX6FPCdvV0CYOPVmOPyAgLqyFEcxpN2
nWKBYDsCpkHHjeH3O+oRNhb06ffs9fL7EAuAvHNTP/zzo2H90V349WhwzDQ9RK9g/M0/jpseDSq9
H0w7qIciuZvtlp7xNBnxZqq95DC2KQFPpanbgSa78RPovIw4HVYUvVXZ24gLfO06TFP/7ljKZCQp
KsIDNfttEvmWbfLktqmxYYNRSGu0+FKhKNv3MkmCNs7ea5tQxzSy35gemOdeG9ZVNV88as9dPcOF
zMlqO9NYhCfEwI1xUzLaFQQPEW3BZ1KxcX4O0F1aK6MYTWRPevLpOS0+RYG360hHFABKhuxhlbAa
HdmORqRDBlTIjcSu9PbP9/LXi/vHiw3chRoUFagwHTwjf3kuGEV0uY1tMcBcXpLxnldbmRGaSFBS
6JriJ4iN6TKAnbpt1wQr7Ia2GH86TdF+t+qmPzXxiMLNaAx3jzqj2NBCpHVRVa5Ya5FZ38tEdjsO
G/F0jOty/vSHUTwCLpRHvwBVL8w8vquJ12M/rmlmzLE+3Xk5hVI/OPq/PDisrP+xivFm3rYE0lts
XoU/LtbTa+XeXgIKZnWOSwPDM7fW2tcs6/fa7PjbRqCGikQB4KPx4qNZ2zgiODXXO0EO7bONOOmr
HWP9xz//Dn+zvnq359rgF3DIo7mtLr+tdkU8l/TBRjsYYZWuzVb+TNS8t/p82riTOvzzh/3NbfAI
Nb4Jk00Pm/cteea3D5PsD6M399SRc+e+6XKWt7c4u/zzp/zNgviXT/njLS28LHU6syV+20zTL12i
PyWZT6M91Ffz9p8/629WBHxU7NHsqJ5pGX/cPh7JrK6NxkYFZhpHUyuXT+ZUjP1aU3/grMayW8nR
J1gKB9K9X0Xt5p+/wN/cUhxZlu96rP94vP68pdpo1w2j9qDoXfUiRiLqpmhx/2UXJjr6rw+w7QkO
DjaJ0K5h6J6LNPz3X85gyfXmInMCTtsPNcjIdanPYQYmfCqfpJ9eGCGuiQv7vMVXDUlB6KwoohX7
icfRd5yZiRNb3CeWvDpdPYYuVnGYSwC6ajr/9GmDOo0LWoXJvrYYlyNyWdpNOTZft0bXP9+yP58P
UCS2ZbFXWsK/naswsv1+LXQ+8mYAvhY0bDuA4alMUMrFm8WR2r/8Ov9x23ydvRnEisMBhnb0H4/H
/7Y8wgqND9GcaztXX9QxbhlRmV00gIoQ/r98KEfBP99qOuqsNxyXWFkR2f35c41M22i4EkKgivHJ
vqU0mzFOZj+axjezkSVy3IkONekabTy+0y3Mti7Q5I8sRkICdIh54bSaabnQFHLuIYvoGxa3W0oc
qRZ0M2jOpu+R0b1LRciDDnHT89AYUU8yDCyYzhHtsLdz8kRbt9PvfZxdjLoRGqZzEqMQZ06V6rO+
RUphnzwZTTAv9LuaimrrTgRw+PCqyGIrrwP8SUBWcc0L9EC+GWJ1djrLA90vh8vifKDL/Kz0pbtU
C8oLuFHxG5mKw0XD6rodsw5xHd5bWqoePgBQKyFD+QrnaVNk74jFScAe0oqo46lTn0ZBU8tKLKQH
ZW9a71NqgPLVy6cae3vrhQPXSbao+AHCF/1AhCYo1eLyG86YdMHrB66DNhP2vtRHSVjYqO8R351p
4uX3YnKiAUlb06N6g3UgIKt9dWbunUosdttUxGKDAJSmki9UBMwdjApNPTP/luPxC1BkEMCSIbEv
nEcbRPYGZCXAWiyxFh3vJpmPLfaja5SoZo22LphMPfDlhAWvInIcfzmcG9Ayq5sgt58N/+c8mnf5
ODw1avjKOF2+pIbMt+RvlIHvqdcyaQ4dJu9tN/RI5I1GvDRZZl5V3qKPmmtZ8ncV+JJ9POy+2VxL
f3mZ4sE7qRxCa19jakrguBcokkC6kbClLu20TKFYCvu+J4b2s+r42YaWhvAqSuKfwG/8MF6ibqdj
PLt2hSfeqqYuXsfUDKusB8aaZpN3L2VZXwHBDaT4xXpir0ujod+aqfm5iJf+akbz8FxD51sjLERL
mER1WEstP2s1GeU4JLSHnIPWeYBtus4woW5EU7p8slOfo0UbgnycyPAk+/2DzPV2j5nAPhttjW6Y
X2+Hp7C/JkPxvVXu/D27XeGog/1pI3WPNSFc5JMuSIr2AJsgqDxFmtuFmZ6Ne0kn8UcEDPNJ6jyS
DQ5FDuAg7b0mFwfNLcDt9k2/WWhhruQU21e3GRM6L3LZIJsnfBqE3k8P2M1WU9Z8QKRVXkiv+WIY
/17peuSvOiFBM7dGOr26nSt3DEQ0Rq0McBIT+dzQJcveG7NqNbTxa1t3r8Qtkt7e26L9XtDKeYm9
3NmVflOGvjnLoEaOu6by6Ugia2309q3DZK0uti2eEDAdfCmhO9ULCj/tBEsfHp2I+J/z6oEVdkJm
0Ix7QoPIG3GqODTcW/6Q+jJtsncRN646MP4VMgdzWmdANtEwkCCvJt8LFJ3dbY5V+UK0CTRGqSH3
GebvnWfLh4Lu58UeWBV4BxeUXKnaF6V9v9S6eR2Skt/EGCRYFrKADpaAOuSLPtkm/jji6zfXkyHr
OzdDHJ2bDnKDOSG8i27lc2/CesvNejnqOlm5tmxox8Md3dpWB47XaVCSiiT76AaYfyq2x3O6RMXV
nuV46m2tDDR6KJukyELbSt8bGFVbNP64bDUY2L3ebnLlq82ElO5MDhcqLm3CrjRmw2r0GoKBfUw5
qMCbe8QcEJQiSjtna5bWixk1OIbMmOiEBEapcPMLIWwDc8r5iFptPWB+WfLsiXzMiiuu86upT8hw
59T41JepeKhVxknfwwETZp3hAkxeSJGfWufSYu/dVDUq3mYyHxkNrYmFMVZMCdTKdQeytush8FuD
sLLmmIDAJHrpe5UiYE0JjAZo6hhhq+mPxAAjEpvUqbJVdDcOMmMERqjVG5oIsakb0DvfYsoztUqi
0iWEd4ZTUy/tsUdLDE/XDGiNxwRd47LtDYaMyYi8d+1KVBAaLun1QKCxtrKR62wdH2UwIR+w+kwZ
SjzVR2lq6l4TqBBB3ld3TErrg+0ATbec5prkEEwlEOQPYpLlx9LqeSgiN32JKs9C9mqld/gVzDe+
tQy6IbfPlUoL2qjeEiZOnRAqo2WHxtPBgCNBeWhhQfBe1P5OpcOwrvuMchCu7qaLZblHGZSy9Nug
KtuckdZYE2rXsHhnaXttBaAV+ghMiubuySN9fN2JpMbCXMwPJIh5x7otbvopNzvqljkHVtFHrxUu
m7ehyFENGoV4mOKmCSuETPs8MbLQaoF64tiF7gNvc6saUlpqQhj2aeLLQ2bGbLfJfE+0dbKZcrJI
6Oz0SFkGeTfGs32Em23fwWuyA9Cn+pMB0feKdceEqTN6dwS+kk7qZ/FJAWwI9M5XJLtln3XZZE+J
XWIBR0644xENaMh+90o72VYF50XoO7fVxU8SkQMD4twPgpmGMHkgptYe6uFiQ0kpO6e6jEXarPB1
eD1uGycKNECZJ3x88qFfUhvhW1O+uQYiWE2zXubIsgER4aGtml6F9qjQmwJUB0VskXmtkWp9E5GR
8meSM2C5Guo2HVGVS6rdI9E0FuOfpfDV1sXtsm9Mt4aoZllIsQHmL1bJgx/1rVZvpgrySBarZc/I
7dXDS3bv8edXw6RpV3JBitOSNp9Oh4cLiQ5GWbNoq8eqHc640XZuR/Cc1x7ifInv7dx3NtOs8g0z
6mzPdBMXiZuSP48cmlGxdSLkO1Ax6i0Pf0UblWNNg2BOAuIY/Mso/OHS9+gdKTFBo8MkFlvfqpxk
5XaqPVumH724rSseGCbrJ6Mf64MZx9Npmqbus7OhbKxUkyRPY8WX0XTL/jIn3f/hpUnFdI9MSSPh
zwlyqjcteQuCOXKtbwntMElwnIDeGEys70rVzfiFTVkFre9WD3XlVvukyUAbjlgnCFjT6iNJJCrs
kMOSUSJS8axFnElgpvh4qGz2a0X7B7miAyfZGmsUZd7QRE/MhkAp3UDpq47ct3BuTNLQu6hx6ps3
npCRzihepO1PZDUsRbxpu6LHuQBvOQoyRqtYsmXmn8Hwq62Ra+PGpBiaWGw0+z1u2ILcOireHWNw
Q9/WtHmVj6hUx7H0T37RwFXJ4IeB91vglSl8Ux3TNm25TDkNyk3fdvWlnpPulKnsAb/Kd8vNXgfS
07ZkqxsHpgkERg4LMTsGL/SCB2dOcrjhICoCVLEV8Gm2G91wXU637dLcWkTTpmJetakLb7hDUyu2
CWCirWtm0aEEqIvLoYwmJLhQ47AqZSWzEnZXAE9EIZarbq6yo4ao9aWaluMQfdLcf/BG4wnV5odg
ouPNN4tY95YYlrUrY628Nkr3dp1ekTagl+5doby83xQyJW5TF0yjJMHN5xLD/8a1/WVXFhr6Q7cA
W5V5kM18u+0ftS7PAcF4Js6b2hjO0JcQt3aObX9MIzbVNV9huG8iO77iaXuMYHnjn6iq92nRF8IF
R93c0VoavxSKiscF6FA4T1ILMCy5O8Y7DFHQy8yfw+CRxVUioYmtmyy4MuuQN9kDit7KK2Ljcad0
Eb9Xskf5gLERrltcTevYP5hVXl+dnIYLqv+UsHlAHXsXa+aLDrGtpFZRJskoMfQgRy7UrNAzCPKI
nPQnf6YKirZc6k0za8RAcIxJLPKroF7n480Yn8UdnlacLoFFqzVoDb+8U1aikdPhSHcLZhhZKoBr
llxLmmuRGtq26nzvUZtcCgaXpuFzQvrlOwW7fqRFIZHZGj4v9+CH2i0K3oqWq8jGtYI98NnTdNxO
Zq9/8A7DujdJms8Hb7nXlE7cjevjs5pwX+3NytNOesKQd6UjsD+BjowuLYcPsB45VA9RyHCIPGQB
piWOZexB59UPRtmREznEKRT3JnlEfS8fF9vU1kONTiYtWU670neuhBjr3xIsWw9DbhgnwyUehb8y
/nFbCr+VsUweh7FsbP5lLo5AzoxVnWn+s4te5cnNcetthj79wcJSnBOkPM+jjkMEyn0utwLR1rdx
rhquIcl3CQiOu6JP47NY4uYKsUMeZFab+zoe+nOKRAJDlhG/ImWLLuDlUQAV9F5GQhCPJQe2V2a7
YIxaZEs4kJa6JtiCFO+bpBw9oqtARgxJeqEzqF5yi84g/ITyIEE/+GgAxu6KPtKlnbK0867ivHZ0
it75GkVjNABFKrBbPKrXxstmpqraaBh726U+TkgBFTuEmrD4q3Qstk3mVbukGrPXrivb9wZODOk6
OoODlWwWnSzweMyeB2H7G8ObkdqWWtut3LKksIErpd81Ce4GDRxzINCK7xSeWjCeAtrznLT3bJPZ
tjWXAmFb2cSkCXjzC7y66llLNVg4RAdtiOcg1LOp+nPu3kIwwMWvPJUPu5pL0Fa1V1c/+UfLWY8W
NrAgnyFXErvRMOuYYs/GWEJsqNtmnEJgaJH3AWD8WfSChqmuc77jPzdwh8HnqYUxuFBlS3nPgecM
fkZ92EmUvVc2bOQgEnav1rIi4+LBTJI+LNAO6BttmYfmKK2OlSGeH7hQWuh1O4FqBewTsqnP4eQ6
5S43caS/lFHU/VRGVlBa0zmsDgYoKGtNYWCPR2RY2KiXSCDjL+a8HTecpDXtottO7x2Z7xZjMNn2
21BOJXxNwiyKxfTxoKTNvCqVJOeGEz5gsGWxayISAAZe+mYEwdEsy4DbJE/9ZFtWU73pJV4uG417
HcxdOxt3tPcijNopqmjHkxlyvxGRxoSQ/ZSbfvcMnx2j/i2mYGxc6jTNm34utY8zjdp7PCyaLL/b
olZb1GJskTM7LE6+UZl3JUEdr1hHup84b8k6WGztk0tv3odo7GykEHV/YCtkGeC3sapgHkqvPaM5
ms+ddG7mJiiRW2Ur/Y5uWMx6rsoCCbNZkEWL1+uSKl8/Sxj13ygtKRfdsfG+Z1mb011n4X5tIEnl
gWeOR2wRiDjGkeAUgm8czPwN/tQCAd4bIyXeK1XcbDypfKxU5N1FrR3nW1zY3wuM8GDv4W33FsMT
+pnoRJZDno+Km00LbFUtWkzCqVs8TcPUb029jo81koJLjsqYxkc7wL4cFHmIc7X0exKrjaDGidoH
pSHbVzNzUD2zfb3EeRz1rPCJk3Eloju0S5Z/YEQXwTjKfserGpNuMYj7uss0gD85mYarCQCatu4n
wjsg6M1Rt7HdhF1yUsspE4LCgGr4u2E33p7uanw01PTVCfXVdtqzTgmAnDMVe1O408aTprUltFi7
ESGGl7aO4wM5Kf5dhsv4S7lE2mIlSOcznS12hpKDNVZ1w4XmYAnaoG1KXOJUa1+dfwtHZrb2s0NO
1/24fQQmNNyT/sOUWAkGH0MRqrOolNLeYZxJRA15yataKHNtRVycnCNK8OXFblvMAPmCwgNPVY5m
ZeovU+Teq6S3ka4S6cplRZu0nyD1+oTLHFXfAA8cLahKzfyu87eg6tNA9FOY5CGxBxNg4dibNu28
fPMG+nCY9krr3W298XJzKL11XPqBrBT3pkbs98y4yCisSvPlZv+ytASYYRbN9lkT4Po4y9wUcbm3
acRyIiWzOSIIUoQeN/XnXEy028pBC6OaWlebMrLom7GP1lEFMwkkIu+BJjCycaSNMe/5qDP6iS25
z40pdAgiCaXeFdBMHdmt4sGoz52hVVvdal1y5IxYh1Qbi0fY6c4PWhk3IlXmTfqaAN79IrqHMmqT
e2HQF/Q1kJauM5iniJjNPuM5nJ35JlL15LzjF+/H9WJYDF29kSc28Y9Y599GzXRfksVxsCO39Tr3
FkFrtoTewN57IMzTPHlqcDYex5U3JUhOK+2yXHM4qANjUsAoFHHGYE7G0zR6OU5DXZsDgENM6yrq
qysZYDx1alTH1vXTH3G7sAEXWPBNmzEayTbVc+nY+VNM3s2DpsXuC/N6tIZuGpU3XX5DDENMKFLh
4Erf4Kj1XjwtBYhQF8ZjP1coxeYbptvq671YYCjWkF0I2rtFODe5qiBY86j4FiiMcOQsGbJNA/hL
XWirGjhL0k9uSVqOnPEKpn7TU/7amb/15cjRHj9dv2cK7S23DNy63HapOzz0wtN3Bcd7QJ60R4DA
YWKOccKP2jUt5uzcQBMl0Kfsw0Ri3h1H27mbrKrZjTnBYHjGM+LPOmqgjoTZNsrq+3SS98QdmM9i
ilZVa3xLpfPhFz7pMxK46ooTXxM4yVKii0aU1M/FySFZYhfHif5A8qO5birTO5TzWJzSLn+qCJpZ
CXBdPxthiEe3tcjczGW0J0tzCbRGPUYGvmwwHOPDWI76bijs/Dyxk1ZDWQUdqVkPRLXFj85SlmHX
t87WKOky09A1T2NlDaGNjQhfpYSPOLLme3h59LjQQjyoe1W0bjhYPEZZ0v/sqVY+ZyLdAZ1P62HG
fDjZi7tSTL5yoof2uiFJpCSHL3STjt5Q5CIbg85MaCo+4qd+GLYL81izqfiNmXUF+tz9sCBZHeMR
n7A39C0M4fxGftFYSSv6TyHa62Erc10D2dwbXmDYl8a+0bH6vFbr1u6GLSQHzCI9o+U60Jvi6EHh
WWot8LPqrFJteC99+3PwtDgctEns8RDzf3t4A0lNWMuOTNml32koHFeyj61j2yQXer+S2UEZyiS7
Ss0mJK5eRpYmymFjRODoT2oGsSqec9+iraC7awYPayNNafapod5jYDzG2EmpJabi0+yjdJ2b7Tf8
QnewkwhhiVMpyfwxYoAGtWewHWg2PihKoMVO964xd/VK+k1Zk9PKJIujh3u0NTKckaoB7ANDhogZ
Q50nULJHt3LCFv70rULQeixVbm1MiVHPHKZtzJq70ZEBK9TQ9ndZVtaj08TVEMSJkbSrUTNQ0s5Z
D9tsri16LTI52FqaO6FZCvu9VUKLP6CO4bz12tqh7vXFk2kBDWpHuB2rfFZBzntbr6mlg8XzZn/L
gIJWRpsihdes6LGpYcalgy/90PWMPezHTew1xqGxjZQBphrHeafcJf2I3Ihd0cWZu2pTROhPWkoM
E3JY3GwfcQrcfCVs00XImWjR0UmpT8g5cQQZ0H6WX/3Ytc0942ycffPAfIQBLUpEWy2/fLLrsTHo
iTp9uiKcAgAvkt7beuojps/b9CEbVf449BarLetGFZrZQk9zjCpQM07quO91VQwfszTszxwh/aq1
/AGYn8+5uaOuWxsYB7fL0htrr5lFv8uwD6wxbdKNSGNFtRjVqEs8rX2jUdwilYWiuJp690BwGD18
zV1ZFja2aCnOpKpM1L/NxcyMfVfWHwkYN77oeLHZ32NZXUwtPnYZxhJLYJHHmlDFuBREd+KJS96j
JmuoiPFKdDGp77P4bO2JCDEciTs4ASnTJWizZeaHqvS/qVg92M30BoFywjlKFNImW8xmP+V8lhf3
YO5aecZd46+dlge9TGk2xjbIabcTwwN7d8UOmdMlA35Vws4qqVR7zZriVbGo8mtRdrHG59+tOfZg
0E7MVe9G1EwWRooKHUu0hl8zPhIu3j/HhJCgfzVpUhd2c84QMOhFfupMLQrE5IqN8BKaFJ2MIpyT
FDIBqrRmg8952Stp9t9S0g1gp6NRPC59B5VR2XnGwTdlLNz0bLolhhFGFWuPfsGcxf4OIeiw0Sl1
DNafUp71orIfm9EXHLTon6a6xnDEzt6xFopwVqy49FanUwpuhwjRaXmbXaq2cs0oi84GUu/04rTl
2zgK8xovxCBtu96cv9V6mu8GTscnqLXO29xg4WecaXO0zhd7LbPZ109Toelwkl1uA3owLQvxASF6
pzX0g9qUKgSnyDklP55GBfePO6klrggiWxTPlHAEDbZtmM/GGkuNfrR86NZJp/Lnsm927VCPGIvG
l77DcNTJ+BlmblgLz90VzJKCYWm7tT7PhInZrU2PO9MuZsxIkXUlfSY/GHCHV1OZKB60VeHo7c9q
Sc91g1nZQpHtGu2GAC0ZOPnIlk0jf714KR34pA4Sw8TxgNJmWFlGHW/9ubxJnlHDOBvLTr8bA1la
iBox3JbUn2965dNbdayGVAyj+axy+rGbyeABGQHEoMRufPVY2MKY1o3o810ekXDoL4t75yZe+WxM
TteGA806f40VfeF7IaVXlRNfkyY/9+7AyULV6YHJCSMHoyx2U+vjxG71ASyhVY7LwzKl1Q7h2dht
DBBHO6wnBSEeZNpwWsmyt4xV8cciWrGuENc8OnWk6BNPdXq0F4slDAnufZ8zNlMI6QPWDe1YpEZN
ydRIiNMGxvs1gYn5eeQcc0D4H6PI72qAOUkyYe9YCqJjOYoZ4KN6bvlaM4aXvFuA/3iLF6SOasMR
6w7HOmPvuDXbIDyZ0O44QcEm740TFZxcJS1TRYBczXKt6s8uS7UvmU/aunUH7S6/nXjBpqYP6PXg
lvhqgNBaZPfZskCsFpl5D/tmebESww08X7Nh0yyYLG0s5sZClp6dy2kNnIh1qzLyO3ROFscyjElR
1GA0b/h9FGe57cAqHTpmztxftrfJWBOJ14J2A+HC7rCpcywDVWo6DxhC01MupP0Dh5IbEa0ib1xa
mGWbwbKBSY2QhopkGDf0kMyNDnSMZFytfwMtZj8Kns9rUgsepdjs6Tss8sFGqrWSzKHW7DwdQN3e
pkGlrL3e6DndlHxON15uE7QGdDQkJLoH6c1aJ3GFZOFYoWxbzXrGFZcQydQaAwiTpdjtuwDe0Q/8
jMa7rbz0Mhtds2GciGUaoeJKZsRweZiL14YOKcHOi1t2hTkfE81jy4ml4tcZZeN9aKP2Xnn4W5Rr
nmzfvOeBoltPN2ld4hS7TzRRDpsha2+Vg5WU0xkfWF2ENVXvEEoWT7BLbad2PNYNx0eTlulYeske
X1f87DZ6N982IqVvpE/O1VrjziIZWPy7SoloZ7tl+8OA2G3Sc49cs79glJj3lT5BjM01TPo96To8
ln0aXWOaRY88XelrXtXibTTgyDpuFwexZsfbSEbLxakkcajuQH0ZzYqxcyH0N1SX/XO+GDSmvLKh
Hb4I/ECt0UAdd+IvP168TR3peUBa4/zY+E19V5VVuWW3KALHbbtDNYHWxZ+oDMYvgPWpkknFMavm
qGVUX0ZcFAcbGwd6er/HMJQyMVkKb952llrONFr6/QK++SMHq/A/2DuT3ciRdEu/S6+bCdJImpFA
91347C53yaXQGBtCUig5j8b56ftjVOStyry4hVuLbjQavchFQqHR6eRv5z/nO8+2ZtDG0Z8ftBFp
dFgV7Qk0xjurldtMjN0PA0jLMR5EYK2UGGjCiaz4TN3yeOWKzBipneatlH3yafsZWjoxim9KiR5g
I+edajOxPsbBQJYCWDq+fJD+qCSPUxgQYGG54Y30RLT6G2FEfesAr3NvTa/oT+1kkcxxjaEjAO/H
hzqO2KDPqXmdbIC/nCFy6+BbUbatZItHxapQ9eDVPQbgX27JfDOIWArRJgP1a4Ox2FWhZonpzdlT
RDOMWxtYqGZdXozSeFKF8WVj7XzMK6N+KDsn2BmkmJaptuzXcFOeTaPp7ybgeY/2mPYPxtSXmyS5
H5BadwIM1CukBbIMlj2+GgGNcAlGlBu7jD3oAEFHHKp6lWlmXyZjmQ+GPL21U0fcwMM091kY5Vd4
G+k6cPv0R98TMaoHYa6bvI85qpjcHTBYHTgbxtQiVqKNaO923GOmdL3voSy+5WFN/qedZvGZ2wbz
mK5MAxTAPN3QNheSP5Xosg4BVC2BUYZVJ9a1s1gjis7j1hRWx7yS6D4LbsRW3akaArpTpWW9un5G
67bHT0XhSZxb94it8Q1QFXuHZpvwVdVI/sNMoRdm9rVStd7mUMw39JZ7N52FpJEUv9Mwt5Mjz4ws
IL/EGE3h7bR0XQQJ/djB0n9RS1Rj6YVvXhT9wKX05aG2rkO22DFFGuPSqEEmMtlXdfmVSjg0PunU
IoZLkk80MKYTpVR5Ty1seB5U+TzSAeTB39uMGYshkiewT8Joy1t23VnOpo+Vdcz66hs5qQOOoTU5
0ugw0c65dgcIay5boXY1jCyyvA65J9cmtCPjMJv1KbOdQ5dMZ6dG/Z4syUaIL3nQ3pjsnDbEj1zN
MYfJrku+q2pqyB2HyYVSwvSbYP/16BacGMs5RgrPS2v/3+fyj9YclbbhuxFFzoUjsLmb6ZDfFzrW
Tz/NeQtFP/wqfxn+9U947D9S9fnwv//vvz2WeAbz//En8v6fP+Pf9l/l7Xv+pf/6j/70OXybX993
aV/70/9sf6Y47ruvZnr4ovK2/QNnu/zL/+oHf/W5PU7V1//8b+8/ciJkMWf0+LP9x1SHRUQRip6J
N/A/T4Oso+i9bWNNE1z0n3zyL7IvoRDTdOC/YsUkf7HkO/4WwPfM3wQRAGIZJNjIvi8f+XsoxDKF
ZfqENXAGSouf5Q+yryLQj4WVJabFp2Ju/1dCIeS3/2IUlR67amH5PD+xxfrUxv3JXEk2vU/5b9wp
zqliN7JWXA86EfYamCKiFN4anWwbBBoPVORSKQvPrcPDM5LJXlFt66wHX4pzMeAZKLuy4loN8vrs
KpV9S+PBeHStIDqGY9lfZV5E+NSVSb6cR+Qeoqy/VTbPIMpCARjZ3oyzb8o8eLQR5YcBVcfPVE2w
PQgy7gDUxzskLYmdrvFKTvdyLHNOGPO3sLMnWn0OGcsYbyV6kq9d3DQ3EV1PgFyI/e2Ie7KpCEZ8
rGxIJ2PYwxuvSSpORNK6bDa/BW6cvdrjGH7D9EKtsEkSv2Yne5myxQo5USX/QdjO/Y6Yq9BHuuZ9
4MSJVSldRmpw4I0NLq1MrFRACAmKK+Jsdldh89kWBn+dQmBtN1vS4DmwvthuxM4C2waBgArtmQL1
Dy/2xnwZiLFlskhMWSnJ9GMAEz5SApD5P8LSCJ+ETGw2vMoPlsnQEKRnRV/Q30HJr8+zAFWZPGmC
N/SU8AKsEbgQTuj+vBnL5nmKiyDYKDHG6WbGpUims0BInMe62EZYbe0NkDB16eSQvNNPnX+ZsJ78
fdNPbKBqyKDzyvQnfZ59jiyVqw2bnOAs+Dv0bQi9Hv7KKqS9DkuXHMJL6w3+aaTMBFBgoNt1Tp21
SY4u5lCAd1muG6OMXvMsB2/F3BcdbL3A3ya7oDWwGTyA7PDUC7pyILusyqBBoI38IEZoNLsfVVMM
0c5GKDh0sMn2qlMTXd+hnLYEg1m6kwlJq23GZf3UOra4pmDuzoHs9GNUROV7aNoMA/Qz1/5NG3Ip
rpU3Vp917k5vALpKa+PG3GupsGmq7/gdcNLOFrosIKOi+UZ4y786jkUZy1wNbAzSUl8xYtbAbIvI
EshaXnPvyWJ81s7SnRPkpvHVVQkQVM+ymldHpfkH9vNy740THy+FPzxq2II51Vy5N0IISKLpMAgV
GeiCUXEDjmYlByaRvdGOjLzRMDwvbt0Hty3pGrRwdU9+Wh+UFxmMG5XkAW6SCdvUoTvW1HCI9CPk
zbV8akBZExURWX1Yyhoa9uNLr4Yby2tm4I1bCScbzZcQzMCr5JKbUANL0GTA9AAcUPBR7u3JQ6ew
a5w92mxgcimiEIdZR4j2gfwKMjG/DeFIZKRc2/lgf6Kt4zgw06T5cNWYZ2u6LMe3EdTGpu4izADU
Kj+OQ1edI89mce464lRwwC9WLroboKQYRXQa9cusYSVuQk1Hr/AQYJOxLU9YtWW7oiy+WtNfUOzS
yaZlZ/SCwzRFe37ueVtSzgakakRtp1dy3yGvrmahgmdfEG8uWlv5YEp9uTasTtPQ1OIjXQ9hjpl0
LiA5O3MMkC4fxhybSMA6ei2iOv5Kuip6mlUUgf6x0nBbt7aAsOGI4dXgjUJ5F36RjjNajXxqJ8iE
oUGHOzrvzFt7zt36Su9gPu3gDhIJRn8cN5ZBJVuLsQN1rZPdbV0v4NSpKMtjm2v9qk1FtwOWgzTv
E8K0DfdpSIqEov00gqHbGSz1Z79+MluRXGZPUOfl4/d7cYKwOdsA6t6sXiVLiya9VB3LIs0Fi6GI
iqYcQBLnW/WpCy87hHn7adaxU0F07csTjxJ3IVxl9Q+HzcSwIt4K4LZoh+GCuy5sORbiUttoKjD1
2tDEvtYO3h0CxUjN6sCiP/KwkoZsLlLT118T62SOluMyyRCsDZ0+P+BfrU84PIq7nL/UgslwZ5qY
WTm1ewE6PDqUeSt2TixbE6hR4et1Etoc761MusiPnZ11/PYmxBQuzfp3cg7eCTa42FgaTPbKm0du
Tn6G/cvg7aZnMvgb+hvqt1hpjtwwCr17XNHieVLlsterU3E2o1I8IU/Wr6pMvBOyaAiTUbXLXrIK
7buKZok7OPLqqcb7zp87kVw+GL4yezdVVsrMHPeXSbVyZlfphM9Qvs18M5bK+p2zs+Xd8BNGFM+h
78Em8SbvrR09wsVdJvSF962bH6A2u9wYBpfhL1bNGb0xuWXEFjsiPIyogWAfPRrNPFMzExvROpsz
a2eAHT4nU6BepoScEmbe/C5NfHOdibpiOVzGV6JQBRBEy7qCFSjhCET1cweP46ny7WpjTd0burz9
CHrcuabZJDZQ5OxD7ebmY22WxpdISpY0MC8RH2xgqHioAXhGsRM8QlhVV1XGj2VpGlcaYIJNOhWL
fhRhtTcSYa2hQpb0G08FqgDPuzmi0mKxZrT82aL1pBKHBGHGjo8rIbOr99grgt34sw65V2mHhYuO
5AiF49iGjA7kKObPjAMmjoWlVrlYGpbpJNJnEqhqWw0y/g5j7y2HQbIfO3/cBzCYoZvliOYd83/p
DekD7opib9TufHD7qNjVxuAROvcE7ieW7pupi2wOh1qL5qLY/33Poh4rOADd0duisXKgKxrTOWZh
xc2F87FzxMnSPoIZK7FONRG8HrPZtpqlaM5cH9Nf9pP35dh7hxvQusSJ9ujyaKG8GvrIWg8DVK4I
h9u2NAf9PmM7ungaDxGuTB0h19I0F3Ke/2Y6XXWlNC7poZO56myGvfxmuxE2WFRE+gi0LfasTL1b
NlBhS4lIYMYr34xYoCUqe68mP3jrQN8/tARefm9gzSmeyowS6zKqXHtLFwKFd9aE7RJEU1dk7Ooc
kHWuzUu8QlgNDo1uOfci/08vYnbBDadTdU2rAlaaA68mXtnasoFtMzTTPxBGz9LRdP0OvlcagI2a
6MYJE9A2sGmgWUS4sTDkdtNw9AOly0M7JfIF/5N4KvK4f1CLxbZNc+tuEBEiSOtqiEwdruuDLFS4
lwg/b3DAy/tmCg08PADVTl1t1jcywoS9moFNIOzb07mRNT4Hg8PvPQPsUK9QRqPXyALJuIKg3rJI
SCP70UzG+sUWbCl9TUfUyNr61utkyAbHdRxWxXXDK9o0MaaRKVc/Ssehob2NxHRr9EFx8qsCYuPM
6ou9bGsArVPyE3dFS8Cgcab3NmoBTuqcenJnqvqPRGQJ8RabFd2QRhCzunkg3tEi1/38LTk9F/iJ
6/7N79EWkpauTHiqL7w5bYfzdgFacgBcG9X5E9LZQxbBnBmzUJ/9PCIIYAcQL1IcZfsid/1wbUxV
uwHqxwsfgBx9AcnAEySohjBdEwHPY1Qcz35GnqBO3irLB78s5UOfy+rC4QVYcDhRJuthSV3LXHuf
6TRH+5n4LHtOQlC3ABZ7Fj1ZO3734smcTuVo99MhJU+TnqJC0IRM2nM6tHAbP4MsbPZBQX/yqvhJ
9w4rtbBUGs8HORHOBxbE3pdhafkVhkHTbfufkPBuNgGGy3xpFnR7OxZ7QfjtiSpAgSyTAZxdOOOm
nwf2rl/o4wJGx7OFdvqgJpHhKu/m6xzbLZrO8vBlKa1X/OEB5gxh8DBFk/4YF8C5WlDn7O9urHph
jKIeyPeojGty0Y4X2VvCHqzWhKQRuIfHeuelatiYA3vqVfQTqa4zF7y6+RO1zmF/Po59zdZFE/5K
VhAo3FcztOpx1dUtxk8zpqysNs3qE2BrexjKJr6ULFlxAA71S+PDHtW16x8ymGbPvWVO83qcxvCI
Gq3bnUX5V7zOKT85Gv4CjU+L2jyInyT5hozIyp2i9jsKPco5hOruHEd2Xu2hemK5Si2dnDkSxAfZ
DOJQjWadrtog8XG9Aa53p4VhH/3k2RMIA6eZBO5srUEG8tJh5zjleUJdaD8yy7HssVjwZ8bMon1p
3JjsjiiGqZMD/lX4SoNhiYeQK/MwWLL48MqZ9Ban7JbvYOcZArZtfDMXGH+eWc1LOtbTMcVuy6jK
A3/tLvD+ytIuH+lNRgxDlDfanKozFFAgCDHxkWBdZmXynpc0QhwATYV3oswXPT2tlMP7AWmu8/Pf
G0IxlNtk+X5oUPMNCmng8dKEwQbZdfFQj+yeOFeaj2wpMfyIZN46Hs4SMh2dTG+SumcggShNZVfs
sqFG7oTmSTtLddBtbbJUK2KDo2lEv0Em4tw9NK3mpWGMB9083fTu0JxankjvrJJJaBVxoNl2QgOE
O2qpDMmqpVJ4Jdx23M1DS2gohWtAMU6ies5s6QKddKIbvZQ+NGlPoweR3908jnm7jJFs+1UXkZAH
MRwfMYDqrzFMywtlbNxJDFTW+xqqxFPuLmeK1nOzTeLxFEdttpo7p7Owvsk2OAizLw5kyih3gbZd
78Cdjc+OkAJKZyLLIyaL4HvbeDFoYzlnF5h4yMJ2Q6fkCzVhC1lFDXpa/W+Rqf4fxUg6RGb/mZb1
XvyI/4OS9ZMkuXzmL7qJpGqSjiqHtkcifrRO/SFkKQnCxBOmKT2bXYoiNPtLx7LN31CckLEoSmOZ
/ZM++UvH4kMwJy10LOjqljStfwkk+R8hILzrfZPDED+F6SBo/VnGAtrMmSVPpr0cGlp46lK91soK
L55AQl9RSTPSQ2N+BKnVfHmNjX+5Y4Uj+yjqto4Gpa/6stkq1/BfG4szTs9gyGI8zn641MG8/P+L
8b9C2UFZ9WwBHOefXY2PX9l7Eb4X73+RVf/4zF+yqvWbLWg2+zts59+vRvUbzFI0UriiP1XVv1+O
lv8blxrXr+u4got5QcX8Iau6cE0RYxeumWfjMP6XLke+4l9lVdddQuRc4Y6/cAYWDsE/kBPi1Iu1
DQhnp832QbI1POTtKNZlSLGfb+TDV+JNrBKk7x+Qqaa1GjO96yNpH3CW2djsEOW2vXTo+s2swb0H
TMBzew6KI2mKfAUSdLxVQSgvtheqIzWb5a5l1PrRiKDczdmYKL5k1X5omiPJwCwK9KoZY/lK2Vz0
3FaFvtRlUzabjkceCdTO9G7UOHvs5wYGXMKsPrVWCc6JNETj7DrHoPCsGIhSz812Qoz1MAO/Sg4o
a/aXeAL5cxCqhqXsHBqs/RyW5gq6SuM0x0GXCUM6KK91UcthBmgysrQxqDYr1gWWk7t0pK54nRCE
JARq+O5lST4U+5F3/BNHKEZaqjaguCl8h5WfBI9mG2NoFWbKvjmm3+B28Y9zTjZGCSYusuO7Nsv6
56YgTL/Fi2TejCbTaz9Mt9Zk9Szi9fBZmpzZDDvTeDcyre+AaBjRZiioc5kyy30OTDLXrW0bj1Gq
zFejxDRBp7bqj1PdM3tDtds2pLZ+LKgFtQ7luPzgnPWrlJ+9o3TcLT3w550ozyb5PLJfY1Z8wPnH
+hphZl31ZET4IT2fPglmkX1K0PhO5D4+p1RRcB7ADeVAabB5D10Z75G+WQZNpJydKPAIygynErkC
oBl1QSuSag/dGOPFJwNnLbRseDXYNpGJOCu8hwS/TgOFmxcuqC6BfelVBuei3tmGmVIgDP1NP+oS
UcbqN/Ac5EEZefxcoc5s5tGobyxmZtyoKl8jTtZ3yvfCfQkfb220g32H7mRuoXmEByYErDIOvkph
kG+E0GR+x5M/n/CUBld438llSrhQm3JQH21ajDsSxfqYlui/eeE91vXAVqEB9pB00RW29bAWflM9
oSsEOzLrzntsddNNDNZ+HcJA2UnOBTYr7RdG4reciXqFtbtf8TI9k36kewOfL9R4aMjxN9rGD82Y
XCtUhy5yT7LahWoeYM1ni2UV7gBtHh3W4MWCZwqBIbrSYfzI+0BdqJqQD1B2JUaWdkxOGb65V61M
79FpkzLdlBAePMy0EudiNS6Jf7aK0zfBOfOQck3dmvz50CQZ1VYCE9AxR1wx6NKWznOReM6tm3v2
weK8jUUiZ/0XqCH+HaN+tWsGJnZ4AIH+MLM8XN6Unv+oCqtaJ/Q/8fLjH6IuyZXTFXhhdO/Uqdyo
JDAtnCVeeK3GOhQbQOvxw4irsEJtiXKAebJ/q+Kkuo1jkg2TWbi3aWhTTkiJx8xXgqma9Z314Ita
Hby5htAfVCzePZ/uwS5Xw0EO4/ThZ3H+OLW4+w8sKJwPru/490jiVVnBPau9FWT66N0CxomVYfRY
pAaRUncJVQ/bycyFCwEzt+tdSg55P2CSwkGLD3lfdWlxB1HTfuxzAZOjccW3NNf2uTFqwQ8JKuka
xRDaN0LW5DobTKf7Dobx3TwkFnGkUO6TIW7PmKbyz4RLmFc1sMWzLnV7Bvxsk3WZ64NHspyip8y7
LYocS1DW0MzF/iAwb2RAj6BfD+GNa/XJ2fJS2Bme65JRbgzLejRcOWBdkZmx5f2rblm95vdeE5oP
jhhFhcFf2tGpmgf1FGa5aRPWmprPYS5nRnsTUzfErRrzLdUDnXdKaoouiB+WmK4RB4jiGGW6Xw52
egvXNTrZAM4Og1/cQuoktmYh1nN6H5NV5LfWYcTCei8TbJgub9ytNnF4Q3RHGB3m4pvuAbW3rIEJ
uvl3FEmGF+oQOZzbmIQ40qY7S5TzqW5aoCcyF9Rp4NZN5zq99D006aQIcG/nrrrROFHAVYXyHPh1
SgVBgl6ldHFTTBQkYO/rhi3hqA8g9+U2s4zmYBN/fSFHsJNe95JIsJe89bHUcDKJahFtjCTtfzgl
arqu1FZqbBU0J9BjVhrxCiD/KTacGgKD6xyBf9+BY1IbN5DGvWUU6jCxKDyGRnAywwbLIPZwkxJg
Y3plE0DNVWCFzT2V2DZW2dCoto0jNjS3PRJoHHc5bqMdutZrZk7iSPLZ2sgm/kiMfshOAtwdmS2/
SzfUYQ0+cbR53LWB0z9YvZNcAB9UO7ZM7W0jxA3cn+/dWB0wSOA3pF9npUfdrfMJJqdXirMF2pz2
G4wnVGM1dAbgdy2RGzEa3QgygQjj1Uyt1+gG2T6OzKXhq3TyPVDQU5MGuOwCd4KfMUdsnZlQ2ylf
xeVA3KzJ3vMpy08yk92bnVXaXwfRFF/I7fd71lGcMQsbT0rdZs1+rgcvw3DrMSfg+rnJozDNMYjA
P9YT7PW5M+yvnGKDeEnDAoZ2KoAM2jRCKsWHDuKZUWmeA7HQGGvxaRWkYOANfRal7u6UbAe6j1kD
4fD1NmrgIebTQ7HGEXopSzrcJxab3Kqm5NHWZk13oU+f1doKhvE5CKIfPpf72+zKDWPPxY28bpfq
ejmkB/UDobEYn6Ob2+tm1CO/FKtEk23nfdLH85sR1vSiqmwkR9/4w8rM0CDMgboF22+Gi8KY9qFF
CtuAb7wKaePChmcD8SbCSz6vap5KxQk2pFEc7LU+YTztrlUShM842qp9jqT2O/S87HXonWonFBXb
9LsjQR6yNmwOQ+EDfuirpqKVqujNFVpgceUZMOzBAfS3nuvNJ6wbznNMMOc0amM81cILN3Zdw6vO
3ZYHknLPc1+U+J5FvHi6+Fu5fjt/Aq4yD/iH9cZ252CH6RQMEqbyfYpNcW7Tp0lCrm/p5lXk2Wg8
wU6rl8JFDMHeWGAS8/Ju2w3Nl+1QmeuWXIrpKLfChDPPjXhDqxhgeWlspJjuDbu2T2U5OMe0mtxD
nAflu8v9bE03bbB2dd5Q61uYu6qNUeJmwTmrYWkiyVWeQ8yKu7zSwQVjQLKitoZakqwA8UrGxY0x
VoV9dyPE9LtlUSyxIlxsArJwJNGCTG+d2cWIg/TY39IV6uyKcKhv2jmM9gYeY1MPPFUAovePbdC0
T/jDMuD5I53v1nhrLt3oyte49AmVbYIeEI8eQhveInuaifapnc2tLFrb9vjGJ/XnOFfzB96ncRuw
tNg5INrPOOPsF/7eC6VedmSwqipWO3qQnK0bmsYBoEZ0wl2v7queZ3nQVeYNCd70Trgqu51IZ92D
lfHOuVmk5z4yUvY5VepeeYf64wpraXPmHJLfF6Fwv2ZzxAZAmO3OHoV163ZCnsDnuV90RPkkWujL
ioco/mY3dQ0fWjoD6OcifsPF2F64bWbHmrLDja7VZ9j1/kEVdK2FeMluW8fy3nDBYzlOioK+ZR70
zEV2Ul2qqSZK1MR2fCzzkBxZ5FYTdw/c/ACMix09wN3Bb5Q8Gq6aHoBR65mVfHcqYxVsCsMvThjY
pufB1sXdSJ1BKVVwNYMqfRtMrz6AaYg3U2rvCW+kW/CV9U7F0trmzUjJYWSVt41KeNJVQbitmJso
tOTm3PkyZgGaui/4DtiSxF5+V3fc8Jgfy9eoiN3vfpGlJ2pOuYAb7Zw9q60U8n2HwVvHYXQfiowd
Zic7PADz+BlMGYJ1zHMvoPxoA8qO1KbiOT5iCr8pVf0k2z588YyAKTOntqxjIGqa8DjjmALVTLgm
z95HohlXnqgsoGxG3o3pdnpFjmZDjA+OSryEGKvhM46H7jH1q/yUNOAYexDiR9u1rJMau2wrNIVF
Y54GhyHy1r6J07ACbHVU2Y+hN7F3eMSmk5IvxQhLZHfIms/JgBWV9fQ4YwnP0p0YSnJ1ZJO2Xsmp
r5gH/nzO4NwZrjft8WM2V8ro2eTJsvpg81lTYm31xwTEBF1VCYVVlmacqH3j0KqpveQsfdZjGE/f
giDWzAtJ9p5a/syvQs8MuJ7ok8OYwBjQWBsc2g7lym39hG4+PKAiKmgPhW29FaokV67ouadqojq4
VDSnq9jPKh9rSc6hp/Wsa0OLxTroWcl6aUm7qO+nO6+aWH+xgZQgI+o+Xlea1wunZvo6FePAlTXI
fWkU5FqC7mKz0JSs3lTJclt27Cn72PsdTNkKGtV5LHy+ftXSAgVmyI8Fa7XBPKWyMbcstb/qYTxQ
yfroLStpafXxlWpjAwJ3MWG5U+Fucpoa1kfZHvG5t2+sTvp3gPjN1leBfGah7p+BIAafBjPTQtwu
unXfuIQ+ZOhs/byHgTJn1RlXVP6mvKBjNnLdI/ioet/ZBgq4P43G1kLfNQ/+7I4N0q0xnmsyG+li
ifT3gh4+LNkl6zEwC94uaBLvE8ONBLqlXRRy0iTfsStKtTKw+j1XjEjbyp/823aYqb4a+3g/gaE+
SGGP77KI4H65aWFds24iCAaO/T40DJj37jzeG1oPONuHlB5BX4ktvejzcUapePBzv3kPpyAmjTlU
rxXPt8Webh+pWc6XOEJz8VphEvppK1CxLf3tIqjL+9Ztqertyr75MuewfzQIo6gVnSz6IonsbYeO
qDQRJ+G90XFY75UWv8dpQeMLXBAE9Sm2r15omWvaFmLq59J23Zi6izaVQZvXqGbQHYFgeTNN+Wvn
pkyus8quBW933NRZSY69d28z1GT6x/U8gZ0phpz4gdDXVLXVHcM1Fho7JPzZJIJbDcir/iGEze2v
8Ltnx0rm3j615uZbUjHD4gxI80OOLrrxOcWcSWRjnM0K/SRNA7KBrRQZyDR8dhIv3gdNYHukJvrk
OBSE2109zCc656sTborhtZ/t/tFnCr3vqCLeVaBLnnOcWCe/t5KPUHU8i4JhviW0VlGAUpnhmX54
61Jo4uuRBRTWTTL3aFY93h9KhalbLql5eu+J57LFT23zPZdWCqFRzeOLk5IBA2GHmZ0qW8estwuE
78aYNVyDkuKmVU2WcYdTgY0dHXJv0RhUz72CjjlXDgcDD9P3RBfzHZtr70mqVJ08Yk/wZ3t3wy4l
v3XriRErWXpFVgq65CtGablxzSS6C3AI7huiE4qIXyrfiO1Q56lNk5W+l90QMmXqjBNFwV3n1FtV
B2QktAx5ab13PMPcwRJjPyNaAfvhDM7vYa0FUcUeb6IMPO6u6WCkevGd2HeUbOcHq8Ur3BhZ/mRn
Zn0qU03DO/Fz+YETB5LSnDAu+akEIQZ9ljIZ0hJQAAjbrvmtGW8NSRslPYeXmGDEGnZ7sXZHaGX/
h5cR/xeaZoUS/3zJ8PAOZa2N3ot/lHV/fdavBYP3m1Cosw5nsF9rhL8ZZaX/G+sDvIAuJHT5tw6r
vy8YSAKxkMBi+gdY/ZeiS1MViwAkXfRmVlCwUP8Vo6y3uHH/BDYnD+wrVhzIx/RrefIvYHMarEcD
64LemQDFs70RjAy3JOrYLGu/lEd6YBmi9dhrOFZJQvdLLbFcbXIjzW914wOKQb/wCFmk9m6A7neW
tU9dUT7BD1uroakIVUKAZmHa5aJjKT/uYI+Ac0prNbR7erUx7vQ9veZhSJoBvJoTXLpmaJoN6zt5
jHxdNduuyzmlyClJ3+Z4HIcNOQI6R4EIlvQqsdkkkFYE4RkFRn5w5iC2qvxhP2LMu87c9i417bxb
SjlTigMhAFR1lz70oqo/e2EaNAazAn0ys0B+5JAYXgU9Q816El1CkydyTbQLHR3+6E1oSxlPe8wT
pujdVTUouiRUn4/fuAV0e9orG/xUCj8cKdlgw5l3fOM2Mw6rgVvRbQymw9zkhYWBRRbtTG5GCPgj
WWvY80YmIQVWfU5wjR6GJbARghu6yxtcKaijnf9WlZYdvpsFbA+Ox5ORboe0RgesHZoSsVa7b/gs
WJG2Q0R6GAqZcdLazlq+KCv/jUHIyL7xeszBe43jzgIGWTSM6EX30nUtpjnRtppfIM2cagW/Jwcf
UyQfdtul5zlxqmsWN86PyLLGJ79zefB2HAkKQgB1caqoLwcwXA2cN0CvPOe6yPb97JVynbsdNSfF
VGOfNefOfQbJScFEXaXUUJLj8lf17JQPlmSa3vITjM/90PL4q+roflnMN7tgav0DJiO9BygYvibh
qFz0P6xiHl2pHaEvT3XzS4eNqzkRIbMMQr2jYe0g5k/iYDh98u7qnhWvXyID3liK4mEGbbPgNbN6
pEow/I+67jGMBp6cgJ5RatSvK9S0gNiIIsbuT55+7uQSD+ngjL0lDH/nJGbaYyJsAswZbZBXXLCT
CNY6pYkKvCqT2H7Iy6beB0NiV9u2zsN0g7Gs3zuJ35117oj7Dr7dU5pol4ddxHc1Cg12we/z+Rok
rZ09ANpjC+BDc2MrYF8tSipvWP1j9cw0PkcIbV7xRmV9eqMUCBHAWBAkqE5VGzrjPGPXdHZ7igPG
rbU5cuNv2Hls/aKUb36Y0PFC4wm1p2VHf9Gm6jt/IL0vsp1Eijx69kgJWdlE3c4sTeBow2zgSy+H
NnxwyGkxLEWJ/2oOcf2SUIj8IXvPuVFDj9RJItYjzEMLgFN6Lx1DbbYu7cHBgWo57wpTrnkXOiET
FG5Y0lH+mHV3NcP/tElZzpya3sGdNGd9kOzspupe3TLSH1ESImdnavIysjgjmRKRzp19YP6a3EUv
5jsHZk+YPID7Ed3UVTiQmwXmMAAg9SmIAYFfcTxwMQJu49TWS3CnGi7TPDrWRlSiwezpYfDHme3x
No/MdkJSMP0U0hsX7HvpGPF7alQGxgA/yn5MdWftEj/8X+ydyY7kSNadX0XQngWjcTIutPF5Co95
3BCRGRkcjPNMPr0+VucvVBeklhoQBEEQGuhNt6dnujvJa+ee8x3rknOFzysPeNNP6n2LK7ECh4WP
mF8in7bclQws+2dNzS7IfM+1z+PsxvU1ZLT8MGZQnAmInbUpCp8DYBI+84tafEY+v8q8ntkIOGJ6
192UXqtQAbWoBf6oFa01cu+Ybe6TBet/JrU97unCWuBvU7bNoxGMepdg/T1nrdm7lzB150duNk7G
oU4Fnyox1JVe+Zw38Kr61ISlfqOuDFQw3hhijSjzBo6rEc4avrbvboiIjqqExAST8iLqc31fBGSH
r9aqfGa8KsYYgXFTqxd7NJKlQorY1a4D3OftiYlzmQ02jph1m8+IZzVHtoMXFM6Tgj1PdpuBekX+
Wm/spmkhVCRFdAZn+RG2ZnaAGUSQQJbdZzp2JcSvfulA42TpjA5Bd25nGYnOilTkwBiNIOenksqB
GRIUjUTEVQkD3vnaQGfv56k/EqRzOKxW81ubet1SazeorclWJj/UQWvH2A6z0eH/G8QvBKxmAVBF
pTufx/1RjxInE2XLJbcjkCNfpBm9W4J/1gfnkexOTktLUDV2L2k4qhgffYs80Ur2GSvLGfIPIFLj
gdr6Ef18KOMvTn+ENOO6UFs8nj6xWEyf3lNodP03i0KZbZwsqz6c2vZqJO+mjlgnhd0aJz5u43gk
IUdk1Mu25PdTwsX9pKotstpdV/cUukFaCfuNajmIrjBjuq+N69o8uDm8i1kItFIf+7ofDI/a98az
NKQ8IL4AC866CMlf9dB4lXMKdNu9N1OzFOxlhRGtbJsOVtopORAiHHr5xelrC3AVSd0UUIDlVq9F
uKxHwoJwboLlqoid4ExepKMEqLG/RixCxzDy1ZqEN0bHvpw29hR/aHb0q6Dyfjlj/IMtCFVYcQp4
OggzYKwN2WNc9KP92uqYctui5E6M5tMAcIQbNVhHxDdNfMCmHv042EEE5tIoiI5Yhuv01N9OVoUD
P+3g29WqZkkcqa+iqIj0SbM1X6JSGfOqZDPrHAaNVfc68/P5ClwXu9zQL82MUUqLpYgA/LMtm3bY
s5ODDhNjK0Eo8FtJ+zMOIE73XBDNhhNgcixaCsuiJPEeNIn8HajaFEnP1z8zFctvhe7ynipCyOOM
Fc+oLIq1Ztem9E8kxJxt9gNXzy0omvCHnBLqPJ3h7cFUcS9TUhjGsx3FoH6DoY+LNXUSaKCyikm3
ViqP5TbjB4PCWpLC2MKpQqRinzQey9iwrpXZz/E6HTlLbguzs95Iaejk6M9W80tVJHgyN4VsQMA/
PWZZA8aYO0JP1/ko1O0MHGFazXnt3wxwxS6ildO0xssZ/UA1tU4QoAzKhOE9/Shl6zKo+MX0AY6y
TTaT3RKm7gxFG30XUh6wz12T8zl8F+ZQhOuZMhUHRjsUkeTGhFYISVpbHkCoEaBRVkOHkPib2ZHI
5oUhasb36ZvyZ1NN9VtXtNEJODMhrBynf7zioTRew9rHdgBvXeBRMx0ivI1lJredR+XvynKddlO6
RjRvTN3WLqRlms7RixSd8NzsdsNQL0+/2atSHquC95OU8N04KZfpGno0TWIOAJnBn4sXbHYcqR0V
F0dleN5bMlRdcqBauLrvkzIsNiqUNWiFmD/yEhfeFN9CpQ9vxqSBOWxR8fjpuH51L0s2tUFTI1AF
0oU8ChYWwmnWSX4n/ZKq0EQExK5vkg0MrGDTt1FMloHB9N4JwdPBl5QNKxSTZSC3cedFD0zF3DKi
qYShn+tqqyKi16+hkxS/ZJ2R+dftInuFwzIdJTBuyn3QtekngwJm0X6cwosqS+Kf7PYmjuYm3oet
zmKPnT78+3HFDXpqNwRZ2xcd2DgKA57Rtx2G+XPe9f2WS6D+lXWO+YBmEzUbs/TT+4jd/DMbZv9F
9qOzl8hqvzp4tc+ToYYze0rjfRIBjc1ATOb7oUg6BFqTccGuWvyJmWqAYlArO7FMFeoo8nB6BXiW
ziT5zPQVEwpGYJs+yoybgEj0vmhRgBmacU6wfm9LGEGAzYj/G1CE0WBpzTjAM2QV5fVmhekxso7Q
YF0Yi0KznMCViMEPxaea9oEFk/DEGV2fnc6eqmNnL2TTmHSJgRic+t993mc/GzYLWNdRNuW24SyF
3DJFaHjRMNaUOGG1Ndb8eiP7FMP07blnJSUU8HkYIHpQtQlJuqBOgFSuTFWBuSF1Esozk5lUEUSV
kkAjOxCFfjaY6sEpmEv2uBtkiQV0NB0P9Fn36eTjqpkAhO+GFhxFO1LOGkobPXYkFX0EESQX5oeh
skvktiVQJ8vuretMXpztduGplVDOk+B5A0svmIJ7jZKaosyZM9k2PfuhvKRsXwI2rANycaYAOVOI
IVxIxVnfc1IBpFJP8SpfQmY30Yw5+LYs4s7eSLPM7GubWHlwcsymj27hmXXurRsHwXBImrjdjFhM
71tPV8aFLVRSUtQuJIEuJDFr14yUPx4dnErJWxyWdXZw6mCasLKoqfnI5kl8+nFC7WYJCCj40G6Y
B9hZQtNjSGottLuGaD+Njn3TMGbWYxWvzYVBRkprgkVquT3pv7qFML2uglJSnuBM/oXHdzUctDLh
vk8ZQquEtnEoiKntWxJfDmMgmkyUt1l2BBeZiF1Ul0hsoLbIQRe2N3jrOTOLdgs6jqy7EfXGpg2R
jKcMxPIJc8jY7cqEkNqaNhcvOLEFmyq5ilEvJ/ihbqa3hkEw5H3UjNtlRRDvhjWl9NYGPS1491lB
qvKUi3zyD4HyI/bnTuZFLzyk3OZojy31FJ0Yhks/UMlCJDNu+uw5cic7+WFyDRf3IT2hm9wtWUOz
IoLSJhq3J2Xj++8Jwx2lGxMrjE3DP4dNMJQn7Oyh8nq4FvacbvF14USeDa/debJGAZtVbZzjTL/7
tIUxkZtleBfpkmeiHZQYmkYf+4KYkdPCh6SvRLdBSG348fgkB1dokMmerV8ZbQBAVWfZZjymcows
33TPG/Jo4hkxNkgMuKDbNJp+TiGs7GMzmKSdtOgbxMy+e+zMyl2Td7B4/jtU9/ZWxXIAMOlDF5IA
3BDJ0udw5IplagnA+gZqclwifmH/o/EUKztT0A/OU4hI8IqW1iE9xA12DTgyU/jSkObi+1AzJJQ0
Ds3bybVSeeOLHBGPVxNXsdmvGhsIoFBvi6X1ct3WYtyPYe59Vdz64+1Yyea5MW1OTDop68/McPMj
READl7MXXOiDZTdPnajprtLQgUlHFM+6xfJpPVRxYVPbnWSsTiYx/7BMPg53cOszv8v2iU/eP0Ba
F7ye+FaxHebmWIp8/GSvHL4gZLevUxXCODcTU556WJPHLvcpYKBBIn0HH+bBFawzJSDmm4TAht6B
SptXiZFe/a6ruC9ZKlvaNqPxpQq1f1ZwPMCbaVayq1wFAyRqDvsbWsyBUrP0Ze05x4noN0OnAu7Y
le9u/88aV/8vFC4tirQwb/6P3dFPn1mc/qfr51f3V+Xy98t+m1HFHxYqI6g131G4nJeeuX9Il1ij
pYlp2nXRIP/ZG21af9BphF9Z4LAiKeMgOP6WLtUfwnMkr7JtD8Aa+ad/R7r8e+WVByYWczTGW95N
ir9bo+vKUh2BgXrLbf3ODDIERaP6yGzyZDUTpNHqk83d/9A1uBv/8kn998ogrb/jBZQQwNZ8xGFl
IdS6S+HSX3ywCEs0qXCZbc0l5BG0LrmiNpr+dG6s2s5r0SwSeeGWGe1ZoceXlovhJ7facOuXI/a0
qMWevXCoxivF3Djn5tE5c8InAomNAKMS135cN/6NFTdq09XQVKjOmcPpEIhyE9Sld8/Y7eibkgPD
unLdJyCc/toLJX+gNxcEunnk39rAsZfNLylLbqw0/7J4Kpx23qWuRQzXYVl19YjKPJmiYnYpM2te
cmTyIlVjPHmzTfKdfeztYEG4A9pg34R6kczg1j8ncWVvKy9IV2Yyznh33W7PLcU5+2gEe4fgKYg9
VPH1WBs4nZawtz7YVMRePPKyDRuNuBvITTiFdWZjU5V7G1vaPoyZYWsD5YZI3qQ+VGAnFjJpKR+Q
bkJsGiyvuYMbfGqNNR2mPmkuWFQMTmc0ndzTHNj/yoJJvKOkNJyKHCOf1rhkeakvh+FtSSdBZiM0
9phbzWtXGc62J1668mV7Vrl99gk9Hag4obePPMc+qYwPtxP+jejs0cURxpIq7ZpOkqVJuvhMhnyE
nJWN47VDHOLL0voM2jbbp7iB9phgVLdOKlVcchYHxygdUTCg6T/RX5CQOx9CepY5fTYNCvXc8XU3
phafae6KrZvjNYEClI17bfi3lEkOF9T1cKdx4rA1ZmiVEOXZdfL89oxGsSwiLw0Ww3c2Y9uZlwmH
RYkAm3nrOoHkuyuNlK8ftPzO70r7GEIGIHsm/V1vSyTotmte3dBUr5ALxU0J4hZfg3NWZmWtmuV3
js8Sp6Pw7Rtrqv2n3i1icmFdu8EO3Wwt+qYRKPwSHa6KqD1AM33yJDUXK8ep9aMKG5ZZveM6ZkGk
32iiDUgjsn4Nc9ZHojrL3JUuqQw+YpHTXNL0MVcLXnG9s+c5QzQZpN3vsjgmlkgR6o/cDtoHYS1m
OC9poc0AyHocrMD7NXOieiR04z8vona1mqLO+EhiOV5iGhOeLE18g5DyWHlXO9I+QhluiJpjuBMM
O9Mwqj0Fywm8bBGHIQ+oKiSijm/8RzmNMYG3RMpLUpu1+aFUg0fBcyYi4qZa+HJu8qMZ6/RuyBIN
pKBLn5pYOoe8qI4NZg/OEcP3vEzb2EaGHR081jeiTfkVj4TEptCJbypNCd1ct7QcBCUae1hZ/dX1
o/IsnJhHajea7bM7SP9nEljB0cBosDFoNFvnxGmjddgQtdICvuMGZ0RzA38uAtuf169WkFbbtBvM
qyhm5zPAkrWjUiz+lq4JnTof8ofc6NVjAdjwk7pYl8Dt3O2DKOAjHFXzzDmu2Kd9Iy7tGGZvUeJU
LzDMrGfCLPYxatC9Sx7hwYbmNc1Cp9PDvoQZQnIrT+nRBNJk1j/R8PLwHFk1DpAMf6r9LAscf1uH
V77Vc7APOAp9B4FFtN6eMCduzQhn10EOxkz8FrTkFlbDTk0RigM81IyGv64GlhyKimMHTg16nUzD
rzcjBrpPfmkjDDesg9yQ4GXBfI+5G084loDWw8qleq4kp72xrC7bdl7l+ReCqtlpJjnIBE66OMSx
LtUxqJT54RiOj6I298cKXsErseM6oOS2H4xNkg+xsQ0CepnOgGWDT2ZmFNKg9Ycz/IDhpUvy1jsG
nCoCpjw935tVwpETeGm/DcJ4/MyTsby2ddTIU5Qpn+qV6X0Cd47LmWKyPTQy4zHvrPIXMMb+SEQ8
2g6e7OnE6Tp4NlM/tdXGnbL8jR//HG6zuceIheDhW3sdtOyOOjbcYlUNvTvgJalawGYtrNyVPZTm
+1j21iIbaHOXRUQ3MaRU7TtWlQaruS7t18wuxVsVg5sSLOt/xh0oU8ue/Q1mvnoH+6W5pYbF/2po
HbkSWfSTveW0ApuWO5NcTOeg2E8h5zbgCLiTUZCR0ki+Wk/BNLrIEjYX/aqwQVFOSc1fINOzZs8Y
zaiN+O4I04U6yXC4NJpehbmzuV9QZkFVUkF0r0VjdDoQFq6Fo5VAB3GAjFOwsWLP3mwIzBQvPHoC
TFMIcNh7x7581nE7n3UNC5qvLF/D3W53tk4xsVA+to/RxnHIVvDSMEyB1kkjy4D6AiaXjhGGbcfm
cigN7a1NPTl3uIipy/Uzz7rFKuVeGdXrdVhR8J5NNeIF4suZerNhH2kUnxV72SRfEy+mIc2H4PFA
147pIvbNjbECpy2WC91gSGhruQ2pUf1K4KqEa3ppcd0VhBq/6+lP+U2jFOLgN/C0ctCAT9tCobEp
RAO30FJXB9ykdce7aDD9B7x14YvZOhRBSLxKQS1Yj5URuE1cvs468vz60kRhdItflMtWuob9nBZV
/7OfILFFOoaFD7FwwjkRuWJeK470K8t26huAR5eJEgAkCx7IXdXsqZIH1+rJ6Kkfk+HazyUvjrDy
X2Vh4OKJU+tqj6bbrwbPwMjftnTh2i3mQ3ijc5ZRG0RGg2Ue3RMFuVtmMgq2KN1ggP1JuBvjhlvf
arCSsM7gWthJyfvxQncHls07tcVQkNJ2sU5hUtzZCxGRBUau7oaoAH3vNqaVbTSmaMwvLjXQhVbq
jafcwEmOHxVzEIPQNwna+Qp0eUyPKiZi7UqY6avOimGooLWK8CijjACMBE9NU1BX/2LtoADjqrj9
iTurnnZZuySJ+7osDx675wsurZ62SpXGBB4yOD/cWp0c/L2ZBcMxj92SP5r+kHalsy5nuzFV52Zq
ZyxaqU1HmRc6PA/LLu5eW6eRr0Ml0q1HeQm6JqOKC8wKxDESjbLjbVIJwvil9u7tOhheQM/N2H76
WJ9CZZUWhWdMX9u6EcVzFWYNiJuh53rKJt+/q3BwXwE79Ic69+x/nBTJkSSgX131RmlaLdaj2SHN
a+WO5TEAD6j5S5P8Ij8lunK97GHiVeXo+pevZRztyIxnFk/0ZHp0iMOzRGhGpLscmIdzEGCdLp3h
Rw0uy6K4RJC7v1sv5G3YWRKD4Xth9xUAV+DM7drcxOJ+cJpLXQ3pcJtnNumZmr0JcGVUJnLLoTEF
t6EYVb6B0sK3Xk4zH1CifTLbmoHY2RERl499TW3IqQs8toNJL2V/Av2Mld40NUMH/W2nrvdSxdgj
RiZgGqRW5mTrUxlgSmJak+qJVIR89SLhojNCqziZNPGeMzMaLzM3Hc0tXXvPOAT6/DxSh4bTOx5A
y+sR38dGsU5mZC3H8oyX3/hURgXFBVMTgqonGKO2g4R5x55EYfpshctymu/Er0/RFASvJMSSl3pK
+/gyRy3wI6cdwmNa1JRE1ZXxS5g0O+nAxNcheKocp5FDOvUFUfLGalaQHweT+sq3Xd7Y5gwjm+he
e3S4mR+CJpXn2cYb4TtBewGun8ZUFi5Hd/7pBOhwSrJctcdrCesl2nhRGEAWYDyCnuJXzhOUWrax
/5PzmLmYVP5a4s0p0xdEIAnjOsrEHvPPxzEW322XxnZL5EWk7FZCigHzRwSkN8vPHqWT82D1IjSF
Jv5oqPy4/9fnwb+XHy9v7wqhbKY7mHhi+d//chrUQSMzTFvttg7I3BEQzC98+On5X7/Lnyfav/8r
fbmcOAXv4/h/O3ROzdxLihPxGYQsk7q+K0O65CxDHexoVv1a9yXcOOnn0RcwVENuIMGleAPYH76Z
4+QcJ4O6SLfM2gcde/7N8pGtXfxHV2MopzeMKOWaED62sY7nYnuHQEsu7c9/xKKA/O/kKv4/F1i3
qBv/y9e94B1/YxsXfuR/+c+YMD/rf1Ji/nzBbyFG/WEJ7n/CW3SOfzjFfsMWrT+wgeEhw/bKHdJ0
iP7+B2zR+8ORqBRguHwwBBxV/psQI+0/eIVL/kMIx/JIsv87QgzR9r9dfpKHh2Wapu04aD9ikXz+
+vuvenTm3KcnqQxMHgyhzSF4otAPJ3qz6ZOx2/dV9h7pjOWqVAoUVZZdpO10lJHyX/Y+Z9q5iQpb
vyZRFIMnmd0b08+94MjIQ/MyJKIIuHPtuiB3BrZVhFkJaGnI4ysNRu+ocRLvQ9XPr2Reiu+58NrX
aPaA6ULHa29dzxjvhFriOmR91nZFxTBmfnka614+dA0pDBs/1IlJn73aUhMTkviFVSYN69VwwV2c
S87V5ySFU7OKIUo96TiYxVHHtnEGCMU149gJ/SOR27treFbB87gE/jLOCWfXx9yBv6RNV/gsWBhX
bPdeAghYz4SeBn/XWSF/tlVweLHShDLjMJ3llx8GYMTdKCsoVhpDdsSuvs4Sc8cqabr4AhfAs9d1
waIbjn7m895WfW+UjIOsA+lU8JlKdn3m5Te0i+oeVgacczCSVNjchu3UfZtpbDwEVhqMSNHB8Fma
TmauUMx74l3GVF0xjuDNroTKyl3g2QYyd9TrewzI09EdnGKH7Zlzd14hLekBA2DZecXFchrnmJgm
NPXMFtYu8xL/IDueW6vR+sbO7FX8s5zEoD7Srg+JgYVtVfgCzu7YCr7dqPMlAGeVcbeGpHVklPS2
UytKAg6m9+gUwtsRwKy/pjYlkJpQYL7vaBD5WWoqHsy2d09GmRBrZCV/76pJPg9YTm40fH/G2kl4
xg5Rmv38SJVThnmDMr21l7jOqQOxeCCE7t/W1I9sGVXykCC4nZ1IBXoXO0+Gk8Nseo+T2TtbiTFs
TcarjyzqQSMD+Xq0hR0Nh4Io1H08G2Q3oMoJuUqc0b8Kju+3pUut6QpjDAmwWlkXp0IUEqZB2TwV
M92xaxiKVvnAR6pISGH/NfzkPg67gS2F348X+rYeMzEHHz77/pOh7aXtKHPPnjHBtJO15GMqTP9a
d3xQK8fLEcrKHpkNZUDhKdSsV5D8i8ab6XFkvlupZmYPQhMdffduI7fx1NcPi6DA6TrZYuxibVJW
H2WZBZvALbJN1fbGC57Dcc3+/IQtyNhB8S42zmSTNrcJtDv+7k+ZLqjt1yCiXZX99K4ovJo1jxdd
bKGGrzSrfhKgrK6ZWz9WdUneAbErsPQ29bsWDQF30GwPt1kVbjyHzhGTeq0VEvauiN0uuw0wwtA0
4Xmju6P/TgNbBMi0im0O+m3RAEATMOk4CnTOCfgVOo4FcdHOINH5c5tdlGe7Wy7D/hlYS35jQAlb
1SZFvqlNCc196was/0L2rhSyCQPfSGiM6qMDD4NvQbUQbMY2jH5i8xdiw91EjttCzK1/InIVRXur
48OhaDE1xl2uOOmCMmgdluRWiKVwtAaw+oPDMX89KE9/xVbe7TozMXYcBh1+Fu1I4Nqx96K3BbNr
ZR5NGkchNAmQM6GNMwIxIHj2+Gg5vfdqNZSIZCr0M/qdo4FJm5N4RUCq7Wg5TmaaoWPxqJKaoix2
XNZKxnV/zqSktNEL9F0gVbDDXhJ/U4FB7gcrO7DHuRXTbvFKbGPLGIA6ouOucqsHm2en4kAWewhx
Run4QKqi2nW4K8k5NR6eLpctmMVsTcY4BAoqqe0J6qmm7g2ARFay3ExZdT0KEEdvRtrpk5dVU7Uh
zOPtGyQHroewuYPW0LH4Lu3uRzjm6daS/mFGWjFhJFxanKpvtQybMyWzhw4M12NX9vrIwU4/THEV
3rqNmMnU6myvAJDeVfmlBLbAeWC6w9ITbwjB9s+sGZbKu4GW8WT0KiqsS+MqGhy7Z4tf0+2Al/mS
RNzh17rzzZM9pO+BT5LGM7R+qeKuuOFj1vfoFPZH65B62VSs7EoSFT0njqibLlHP4pRc8UyxQNda
20G1/rqBmHQTgXmcN0PQxVuKYs7pNNvwCntoj0Y/n2ukOAh2KV/djP1ol87Z/BjMLWTaACfpK3F1
CxWLIjVoZ9bJw4DiLuBfdHI3Sb4qHXVHs+/4kkAmxI+pHfIrW97boxvqrsUNtAszPR1YtLs/TWTk
vQv/odyqTBItzdOcUjlzXOBwVm5c4PeTSrVDjL0Dj/uyrnbsAd3dhJbwgFPbgVJhhHBfldJYhqZw
H9jLVBkE6SvD5wytVsnLbLEIX9HGIk+U9lXdmnHVPIbC+sLEhznWHPQP0rGV3s5FUj6PTLC4Ohg9
8o1f1d5lLFVyw4YCT2bDvdWJsk/CejE/Y51cExyjtxZmI3rL54DVbjb4+gPCYJysKQexDE6TeXEP
acVsj0MVz0/gaSXLXAxuJ9HU7svSJPY8JnThUMM97wFS0UYYphZgiCb85XVtuKPwGI/pJEd6ghqW
HAhn/rh1WbC/JLU3PHncaj4D7HrcdGWfeLTeLEIawcDy2ZuS9FdqkQbrwAlvwDpwEMWX+R4hKLvE
d6rFNlcuJZH+bgwNRSLOSU5z6fRvfhD+oF/xwKWlqA/0ASRKKFi9ER7yynwUpOaoqingHVTBFe9R
RYK4StaqG+iOTsoJxkDNRXLo/Ng5j3niPvY56EWDbcY+IWV25BDI0OHMuvnBjvhaTBZf1IQLWJJU
2tMlOqFV1EZCSRRZzNyRwz1WrYZ5T/BoxZuwK3mmPJMmS3eEjTCf5WZ9l3r2+KzLmQCupuQMycNd
8nDIiYVjPKnR2444/Va1kOp+aJzsWg8ULxHhTF7Nieh6X5PvrXtqSXCO6v2gm3wbMm4dRi/331wr
m26X4+xX38hxNzQQElaD606PtR1XcOgB8ZeyOdAOHlFW0007TEYVectmPo9m4X57RHvXZeBQ40oh
V2bwuM9lZf6YctZueHagLRG9a3AETL0Rn9MsYIWPDWBEnhbDcqKnnnRkCX+dKAvcNXDofmQ9Ut3A
RuYcBka7H7IhvkOSLXcmyLGd15p6NydeCVjFXxj9OFbNwKawrBm/UEyau7gk4ais9mCKstlMJhs0
RQHCyiMLfYEiQSCgGy4MnfEm8XP7Nu1leghKbuuAKm168fReePFlaqMfvj19lZR3e2HY7DCJclin
A9J7KMoSyacqBY3PlXHmnph1ONiS6CnD0JRS2zjmSLxDR4Oe41fzecm/76ypNR6UmCzxjnFMeSfK
GHAbu9Qd7ji0298MWUW3d2gFe+EhVe3HoTV/eQ7sixN91Mx+tdL+V49fwNzNJNo+GhTORz91vI09
d/ONaAx6XRLngWFyOiV+ghNPNPqC8cFnmlsiGSpLYhzooQkqbqgd6wkoaXjImhZmXOoHm6FNcAuX
7pU7Qrt1kLIubij7epVBAHkrecVFZnQzsRBE0albNVGPgLr7njJZPxa1rC9cr07H7NVOu7qa+nuW
y9josGyrG2yzqJOlC0d+GzDhYtuAv7UZzTx9nE1XVnBYSxqhdZRdrEbPYm3CAblaBROK1pUMVwyr
nNQjkjV3Wra4R5qsAR4IEjSe17qqQ8IwMxmBlaYK7FXoiC7jsmxBYQjbOJFsOSm7a46FTrNrD/Up
3dDUdCN717unPtG2GMCs2ENOzLMvNcXmj7Ds1I3ra++9i8zuqGjo6VYExuCeZmxDsRCTQqWfB8+p
vyFOkW/giZjVNpgH9dRgQGth62FPHBczOH19amdXzh6aHp0uOG41VRbE2IDf1HvuWp993AL5kF2x
iZQd7VNVZgTZIWzI8I7w+Tce0/AQ5AXVtEnQrHVmHEUZHWwnvs6snVY9IsUmTcL2UQw1VFr6sveB
k4LXBXGykF73xnLE8LzswAcxrwcCwwWzIX+Tk+vk34KS3U0cGiBbCDbzRbB+dnnkxKlvbPwiegWZ
kK6HKHxqWRvAVg6fjSVDzHFw2NVJe8txnq7qQd1gvKw24M0PFqWkOw4jP4zAumgnoYTIUWuyKzwb
RPgBgRkIPkczp6nlBgeAu5kH+nx1EbVHT0OizgZ8j44bzFjEqFEHBN+uNQn/TUyd7NolKUw4tN5l
qdyIdPzMeiqCuujQ+lW0of/2du48fTdYALrdSMw3XHv2HrgpNTns6VbDQJCKhIi0TkmOPyoolaYV
sXTYOrAYwizVLd1bLniqMrd2NEtqhlJKWvbYAIP7iV4wWAopaHFKfzpWmB6t9he4ngllICmfr6pT
D3uVQSTdsvuDbQAX70zZvVFMUib0SqQcWJKWdc6IxR/wv+z7e2yVGYUiYem/pFjoP1srDM4Y6Aco
kIj0DDTOWziUXbht2acla3PmgHMSlhk/uGU4ksi1rPlQjmJc8eAQr2HepI+tCMsFzm27Ym/otDl5
ntcygyqKvITXl68EAB6tiZ+iaNVT22rnzA1Gr7K4VIcxrT7nMrZIsQ3uFtQRQmbjb0tT9L/k1EWS
6VQo8hiWwg8foH1HokzfJwUheZS4WVdFHfQfXFnxOnbKmHK8LGK7NLr7EV/q1ok5wsnID0/JLMcD
8DLSAgqA8zaWdXk2Q+753IXE8BICq31HS473sL67nCB34z0jwjd06pDEo+c5sfTx/6tv/yuEPrQk
/1/S+W6/4ib6JzTf75f8FuC8P/g1kbskH8kd8E/g428BzqQHhf8swu+f/EhsSv8hwMk/HM8hqel6
C4fuT23utxPK9P6Alg0e0vZN315yof+OAOe5f7cjuRhbYRC6AnEYQ6/5NwEu7mEH2AW2npL9HI3P
2M7zVT0a4ibyWPvXXoPIxGDGRpJheYtLPbiYbp7ugnSszjpJKAYcBaf73qKSEw4W05eUlN9RGTt4
9V5iz70ZzTjyiM9BlglbsAegWkG34v2r3uYYbCo4uPSITTk6ZBQhUGDYt9t+uYVV1IjexphA2xXO
wd5nZ2ezsci0ZBFWQDkZVpL8Yn6UKrXP8RhThdeVdrMNyJLcDFSAM8YCu+MI44/GL9atNSMAG8wf
7EnUWgju00zI8anogD4sy+ICJ7BFtIVDOSsskhlYD0oP4HzNkZeWPov0A+UMyQuGkfdhFvFNXMdP
AXB5oN9ZT++JW38S8ADVLavoARiLu/R4pTciTiShUqPZMlyxKJkAPfWTsSxpxbE16nRH5+a89fno
tlzrEWZbspwij4aHOpfc8H11o6j/PEvarPBo6C8ZYpUB+BA/kKpJIEBhKiPDNX2MVKdccOoCVEJ9
oHQpdv8re2eyJLdybdlfkdUcMvQODGpQEUBEZGZk35ITGIPMRN86+q+v5XFVT2RKRj7V+E1k1OW9
0QFwP37O3mvnIx1EiKSXeZ3CopK6heVAktHADLhwvCsNbQ6WTEuDeF0UBhr1Zp4ol8pEeM+043Qq
UAkEgTgF/0IZQaQCDLW3uTUvHUWVKb/VIpnaCwJbhyso1Rik9HqKbmuPFCaiFMm4QrDCEnaFTqBA
lYV8wt5ogm2MLN3Yv5NjrGzsPaerXUXb7pLBMWinpqDc0SOvTYN4QLqzc21pMZ7guBb70iSnUsu+
auNg7iIJmr7KyBbjK43FQxv73jO9Vyd0em8+5rIcb3uwwFxK/6y2JwaHhMGpGx890P60HlLLfB2c
yX2hgOmmbTN1xj1OLSTjJgEMAfLv+jAAszmUDHeBxQ3j8trrZnxqnTS7lzChQ2gcNE4oMTE2THyl
cTcUSGGdpcBjUlE2PSRi8OCM5PrBzWMF2ioJ/YhyRHptI+rrwiz6XTw+cpxAGjCNO6ElL/WE+JVR
8ngz9PzGtJqzLzQbhjunRtnv2AwBva667SFqwYw2MEDO630Oof4aBRo/mcZpirDh9ppS2UJc5jg9
T/UyJ3u80qo2xcbNSZLildgLkl1WWFazE9iaPr0jff6Cj7Q7crisridsZRdsomSdZ5hXkEiWNgCQ
ub6sVkm30DON6DaTUoPjAdL9igyaLtqZk0FN2empuK/SQr4YOWXhdk4K8IE+LRwmt6SnGV2DjkTg
+r1yGmrKi8kz5XABzNxNQ320vOWrDbbNepREaQPBr+of6LdrhGX0pNyGpty4+N3GaIfUeNXgT88X
Saa8vrAfMbLBfM/17xatOTIJ6zYnWpsWNJdCdb2nQeDOSIE7WltYj8szODKiboa+fDXMmVOdQpfj
cUG3t12ZPGS7lBLGIC/cIk9QOEPximoRopXfac5Wt92XofWno2H1khGZXj0XnUPRF5swI/C4zfoP
ITJ6VXNUXHcmMwWASNFu7BUIvAI3dlszdjuRQWB8KYjb3Yqudw4zTxErLNGmHkKWpyk1DblF1u6g
MSiYTPyIx76+X203emcUADgeX/OPbppBPpg6L2ygnorDwkKbiSScXvtTqjEzIg5ZeqjzktqbH0gv
F2MopKTpKFr+1Ys4s4ygrxj6hykJbu4hMuc8CsphKmFVl6IxL8pBKZ9U1PKwIexlfcrQ1ZQbK8GX
RffFJZhGenbn7pmnxuPWk35+PTu1xvYSc8A2EjrJKylvG7NR+h5fYQB93PlU17eFLIsj7jpksvY8
zxuNqFV6g9yA5SSby8HN8JPCSJr2C+BuRKbd9OzQvkM36yMIWm2z+TowBSFXiRNUAfhqbgCAkRd/
BfbFW3etoPdACGYjlPUONsqWKnv5ruP6g6GTL/6JI66BvIXoqGrTiGSlc9MSHrvHzm2ZoV4uGNXs
1AFezlipeJDMrjDKAUBNriI4h9h7yIDBqM4Cn96KWu+uphKgzUW2oqKcGtOergubsA7LcXkKpFZe
1UuRHqYIysNGy2YggzXLpD4l/QPUpH4ni07/1vbrgz0Kz9pEUPAe9Tm3kfppUtODnk4SuZ7VKHAy
Il351sWLjk6hmd1XevuDv7XRhsSHvF/HJBxal8Yf+FX8TXqd9Vt9mQgKJSPp2TH66bH3Y6SENdKw
R0Td/hWcLSj4mmk/GLK1XzXpl1cs2PalxB0JjwViHmeK69Uv0ABjSZ0gQ8IA8KG89TywSOsKUOtF
TVNzsJTJylyl69ykSSkVpcqHV9u2JXoX2aEx2BPya31QOC24VjASLfcWzZhnJ7FG9epQenPgovE+
tWrrOZsz1juh4zW6bGu/78KubPtbTQwFrarR9F+bwmcuQnA6zB0AMNbB0QwVJatF2APdhHqNsrzL
yeohBtdiIpBl5a2csR2G3iiLLwDN9Nsu43C/KS24WNtuXCpqCH9uAhh4w5eWk/PtYNKwqmlvWVvQ
FPJRktb7jUmoQ5rtIEUaAolgodFpvEJ0NNt2a3LKueVbE/GTaDptukafZrqOg3yXBHtZQRlPsQew
Cxz5oV56xHrdYAkipukuyG2iJyzY7mpopP5gX7kWsw4+g7RrVwFQjeYHvHIyioSKK5JJS66XPbXf
EasXB5TH4vtAgGkKEk+lHfWmSj5iZ1rBkCEwJDlNj784KiQJkM34qqUFqlJ9kdn1aNTP3kTK+qaA
NGaEHKicq1IFL2XnDKaENCbdpglGZEn3tqqopu6c2jRCI7uZ8wbFdqIDnokIDGZNUVlPhQtFf1dh
Pb3LzmlQWqSSoYpzSlQGoONLOuRkR6Fmow8U00h8W5KSgUNO7ycONc+OryApx88DisD3AS8WjzTc
SkypgxKApefcKvSnbYAqDr8wAT0kW7XSdnFyWq4fRCr6ahyG6GVUcVitCsbqSDvewCZrSPcmNmsl
P4uCFJ1sTqJWR/rZzlYxW945cStX4VuWB38ZGqsd6udsLmT08nVKfdCRGGa27PusJ6QZmEpBFR36
GE5WPcbTUwvLZ1vg3w8sFQbmt25RbKF/tKcYe0y6XZPE+j6XnPoj1Cl5vX5JyBYb04gjuqvHBxmZ
wI69BYXWxlaBZD422HofRSqnLE+TdU/6F8Y8DXPQG/rCWX9N2pp8M+zJzp01ovtZU9AZoXXOQovx
M9Im8AeE0INf5afmnJy2qhC1ya5R/rnnbDW39ptDx3axRepMXEdaNA9ki0wvkQpmc84ZbRLUFFK8
6mpkGER63jnNTZPnZLdzylulAt882rwgNghd2tOGK09CRcOZaW47QTnm2nt3zo7zTJfXVoFyrEA6
kyzdaqBzq8g5vSF8ztaNWFNTGv8uV+F0yIDIqcMdgLcduW771T0n2ckmq4yAAm354qmoO3JoeTrE
OQGPB4/CMFXBeL47yCfHGK3jYFvmXTkToOeds/SsZsAJjJRtYZ9FpguAjeA95IDzgbuHND6ksMMP
GyNselDBpFf4ecEg64i2KwCRE4l+9ERJ98sk8Fp0HMmhOKf/aVLEeKiJBFy4VZR1QCUF9iTQ91tK
NuOb78nh0lChgpNJXAdoKlWCnVMHGeYw5yl0K0IlB+GP5C8iCpeITJ5Ne04uXM8phokKNGSRyL5l
0ySuC0/PrGBR0Yf8ZqQgMkKCI9AbSR6QVU5OIsl1L8yHGP8Nmb1NU+IUx8YyLg0VseipsMXEAXTL
qgq4XKgsRgRD5DIamB3QljPYeYbgDdnPB0W46fA5nObByY5dg2lmI855j6PsjJOlQiBnPYm3qZbD
ylw4NzKMb8LanK9wYoKHU0GSvpUUt1a2Vne1cDNzy0CDFG5Jd2TT1EDHOuI7HRbJb36hE6fmMXKH
w7qeaOeQYdl4C3GWPqAaDOAVTO8ifhxKI38zSSZ8TKeY8x8j8vZmbJpo2ptGhWcT81Kfb3mwMHL3
ulNtexWtafJYhHOJNxJ2yWHyKAqq6nEBf6f6tSuiCjIjtjX60TEYhC+uGCaR44m9v3iRCQld80px
EXS41RM0ecR/YrShWIQjgpqAcNCqs1a0HCoyNO794c5VMaIFF+DJd0aaWxEhozHJj2CiVfTomCtj
5sSGu0CqeEL8fulyQSOOX19Exmo7+3b8SIDh80/qo39jcVJasp+1Zq7vkpvqIB/SdV+47ifQv2fx
wyKIXPd5Z2T3zbT2eCRcA7awIS7TlV6gUc1J8Ps3VaGsv74pczFlOCM+Q5iGClT4WUdkpka9RiKf
93RmiyNVRn8XR1MdWIDXUFSiX+RI5uLYnNr3378zMql/eWfaJoZuCRsSlv2JgtU4zsTkFMlAC6qS
UkfYIwNBV7vqGICROAe5/sf/tOL+O604GmHo1ZR28TfexC5tiJn9WQ73z//sr46cbyJ8U4aUv/px
lkDd9ldHzjf+bmAJNIly4e95GrnL/l9Hzv674+CL5N72aOXhH/ynJM78u4+G1KYv5CFnQ8z5n3Tk
7M8dOQy+lmtjcbRR5sFl0FXH7idJaFPlWORsYzjYkb0QVauyhibvUI4sV4Y/v3muT8uaw/PWkTne
obp/n03zNUN0XopCf8BkArWlnX70SyrQuDH/7Gd3CDTNwAeA5O0xb3R5JUbUFrWHbQWcJ9tDm927
uBCCidbaoZKat4nj5kY0uYmPfcEAVDtvbPCwyoflobb197Ip7oylAnROhUtoRYYjO9d+2LF1Q7uA
2XqNqTKpWww17kg/m+ePgwDJfBtgLl9TWRwgFx+JjqKVB2RZQAeJ72JMxAF2J7jx7RJvDCtDdeEJ
66rP7PWy0RoaW5jW4QULu1Qo6+Ul8uMnPc2/TUn3luuEXAA+XdZrWktOyNkpCnpywLYIKYZNZtrD
Q7lg9u5y+9i4xnxhQl3crdFSBzEAWPYUI+39jaA5gi7ZMVC6Df6NQhyERmehfXdtfes3CXx2mLEL
A+dtpbXVtcByvdVwdUOQY3jk2p24xITTsJy3hJxMpDCyHDaX6GrcU+8uXzss6SAMIHE3EwQ60y/4
E8i20+D62nXk0hT0p8bdpP2UBbAZ7OuVmpfVv37POJTtNb8Vt52O6WSKia8C0WRuYD95gC6FHeYJ
4osJxcNlW87mAyqtH+xfKT0kQiomBDNvVr28AWJBQZQzPpc+g1pS2EldzweKfg7sK4g4dMHFR4og
5iBq/6vfF3ng4uBA2VMsCWhpQZu21AnccLkBKNoOetMlV6konlJspQLd46Wn47gs4zl9klEng1yY
eYhKIqYzFRcPUw/116Cm2644jMIpTRBuNfazsLIIJ4JGekjWvnK/+u+zXvUh3cwSISNWu7KnGz02
8omT21OyoKCoCYrG9fKSrXYejDpGUlkR8zdr9peimvVD1ssHw2nmMO8ZpFCNMNEG7fJCECQuSNd7
oHv0tBKDUVmQCR2e9+2YMFeHXUDAgw+NeD/PMo6uM8tsO7DnPdT9KMXOFy9dc2djXAgNR9NIDcmL
W3qTRVjb8XRRpkazc7kHUU7K8RIBQHqI1d5cJMkTg2kJp5xhvp5FHOaKzrqisZU9yMz29jhXlw1n
sRcjlvNj6Zfx5eR6+sHoUY32tvuMl9jc5+lYvhQZ6lAu1RhOBM7h+MgQ3viDFn3p6kadEsz2mPYy
vlyXCW1HNApmvQbIwWCIuncGsVVAewJx37z6N25pz/dw8vygmW2CHKeBml660Es861ZHqh5AYIDW
70/p/WQQG7c03nCrZysqADSv3yl1D5ii0GpOoj5QUtLXa1bjHvITNDGNdvySzOTz6D7JEzISW2jB
uDn7CSm623jpwUwc9FpkYKOU0QjD9CdteF2k7z4P8SAOhJDjVVBpvxpYReSterZnSpAw122XqxY4
3LOPCuKI4ghVA51w86HgaHyDvg0SkF9kr25lvsLA63e1qyLn4uoAyPqu6UfzfWyM8SGd3AmbnyTb
m/MQiOiZDAhOOQqj3pxSKtz30ZLlrWDPv0RBPB2Ya0C/UmNTTQClNghv8+yiudE67yrSSjOANtRz
ZAW6UeowLnFbUZWC4gPeC4TcyoJStdWaMRFXgGWyu2mNmmNk9NltwkF3Cz/vCAVu3JeY214rprJA
qsrupm+XAWUqbEjanrSdGKFux2zNnkefj1FMy/oQJev97NBhNZHUBPUypRdNNtyzD2kXAwECO0d3
4lNXl1A2Cu0pnskLWC3QLrVZ9bfYmQjn9sgaJoyBVGUzBZWZ5PTX7freAQ9P49weNp1Btq0jhLmx
yJcOltVYADI7vgEsXRuCHrc242uv3OvIAY6z1oO5RdNBAjg281FYrMKp824YCUottzAAifn3JSjC
1PQWMGVIWG2fYpy2Btz6MQMziNw1HAdIeyWx00FdRS+6XbMrqs8AhtQK43Tyt3Xvm6/eyNNcOKYL
s2r1r/M8MbMtcmYbTauFLVdjtkBHu5q6J7PxPhw6G/BmWH2NgwcPM/RM75YGtL+ZYZXi0/SYypgT
WMPRyzWgYBl9OaO5pvGUvZCT7Iat6UBJXJMXOKR7wCGIHdgTqq2r+V9WrFO71m9+1DM3lCuLp7HF
/ZfNyxRUhX6zjisM8pYMocbNniXGvYtB0/wtYpIBItcSQeuPTYYuLD29X/2ozPWEePrrKODD4yGx
krDgdE0Tl2YKMuT0co7iuzRpcdfpMe0gy7xPDQg6SzRyIMFDhgyF2TFhpmhcM2Ed5Jh3eMxjQo5k
jJe57/Gdz/U3XWMVgg9DgyQK3d5B5mQe4LX8wF7mbKPeqLap5fxPufv+3yl3yQnEF/Hb2fP/qX58
K79VfyOt8G836ff69K3724UkLe6H/LkC/q9X+kcBbP3ddzibuQbWEGXhwHT0jwLY/DvBFpYrbHwf
woHX818FMHAO/glgYRActtBN45+eEMIOHZr4PtFu2Eb4N4z/pAA2Pp0fmZMbnOV0XCHQORzvXB//
VP9KCSexTudun0w4/DKnPFUoUkKLrvomAV+xq9fiA7VIg4QmP9WGZAqDERQvIr7PtEbK4lUyiGa4
ndGUvoz1Mm5/OlL8mxPuZ9OY+ojM8nXf4awJTtn/VKJbY+TozDm6vVdigMBUjrWWniq7mn8c2/ab
bc03rhwCGTMnzV2kH/9fH4BTgslPRUbXJz+XmRuNB1eIAOCYD4BXGdwsU9WNlUZUpg29sCgi6tnv
L4cEhwTFofzDR+By/3zsPf8EpFvCnyZdg9zAT6d8aSNKKcqi3XcD2n/fEE8kh92kiKR//1Vt9UI/
nez/8UYub6OO1wSc/HocwvYtOTrU7b6qmZGCwFISyOatbiEBAflPt4sb1WBMpLUZJ9Z7EenVUZvN
e6cy8EzTz2Yoa0XfZMaK3M2m/mCR/kCjl3rOJ28ABlG97LuSOkdr7Jn+oS1Cx20a+uvIEARx6Lto
MO8AaRXcf/yQS+t+kZG80DuAG8hEo8u44rikmc2yl86aXC/R8zqxtSDPfqoNz9kBcZ5vsLl+GNZK
+TsWp0oDOsBM+Gb1/PcxKR+sVbz+/pf71BLhh+ORUOdRDKxKf6Ku4E/PkVgrDhspbBTOXF6YzsuX
jPYdYzgCIUxTsSeZSYl29P/y6f1i0/tbNZR3dVr18n//r89mQ97YRiJBLShUICXLyK9vXDa+aKTv
ZXtPJrC6ehXn4a39waScDWKLGJpUrOMWrSSjAkrnXUVXeCu8igtazGZYJDE6c+mzk/NMAdHJA/LN
PRCB07IvsqjfepzhUbGCNQh//5spZ92nu40DOURzenf0sQT2tl9+NH3wbexbSbGH/ogpRDsHGefN
1hr9B1h7dZgLQCF91Jc3zexdALG6mPL4ciiwUkWle/HXAmTPu9o5usKlIyoHgnmIlQjEwrdB551u
Z2v9/vvP/a/X2sbGBw+ebjBZnkqx9PO1xnut4a7mY08aWj7bZlHwQA7/9UN3CGy37YBwX7ML80/P
57/5wbC2Y2KFu6L/i7N0MLGaM/Qu9tEoG2YmBPP4nDP+0N5jR/qXy2IBf/Q8nS/HgvPr96sK8EJa
WxT7ZBHVXjBCIvQiOf3hRzz36n5dazi/Y7I2TWGgyTI/XX3KaSGSbIQFYRYfoPE6THQSnFIM7Wcj
bB5yX5vYW0aVHmSs+SVqqQ8D0+I9wRWhU5HKERHzsjXskYlyTxcjWWP9UEhu8jybTCQQWoo1wnvS
XG3Z6a64MdHPXDA394J8HrLNaBQAzqypD1NQhEq+v9dn1jfHICtVRdSEsA0zhrWOASuej5bBfePx
4L+3W6LSllWbmafyp3aetUMWx/WmwZm/qwatIg6vsXcmiFOQskyGkXHAFslO5ZqenMy6B/oYXUZN
5uPYyD46RLgHRFjAK/zqoM2+rsat/q7A5tPFkbcZatbc1hIMsUZYEjiDrE0VS1rwTQHJm3vQzuPn
dm3W3Vj4Twk3B6irnM9tIQMhbWdKRjPEZPlGV93fTmr1XhZmZGhPiPbh4BTMM76a3ObNCvpL3wyS
hTadKeg5TelJQkUOAPab5IzSPaFr9LXqqOup5c2HsebEwPiQjXh1tVAU2YeR8KXPBmjMX/MGJdpD
Z+bvbs7uOVnFMZ6mkXkHC/c0NCQLsoEE4KlgdXTam1BaejvqOL8llhc4TOy2gy2THWtZtYfhebJg
5quZVbrVJDtwsfQYSOzy6BTNY2b4T60Cs7dD1wd55CV7ih+LjQX+dGFxaSrZPRAXSxemGW4pMPaR
qE4dppILVFpKKEUGmD9zNWlfAVZqM5dmgbtr2+Kj8um2QRmAhjJerWX+AUKZXgWEZRKv+KJyKp3N
ZF1HFnegV41egPn3Jo9IUzMQSXEComFiDq0eRA33OfMGjC419RXj1Ga7jPmHFmvcsVzZRcQf4Jf4
K711XsYc1VAVe4Qe2iXA4Sj+wFLKTYBoTFEJPLTdNaFSoLSAJEEGXssTUVHFLUYofeuOmvdIlwQz
Q3JCWFAf8Fd2REsKsmwZs3aUp0c3G6it1IWhMriRbteHRDLw/9S9u8CogXXA2EhGBBU0SXryImpG
J7buLa/w9/1SnDx9xOnLHW70PBrnG7db+dwRGatihjSCemC/KO6CTyGTYF/46xHAdXEyDOue8xdY
KqWksO1mva7IvNgMRBnjnOH16rKxEOlyB1m4jvEU8bgwDtTRQI7JcdI1so0mGm/0MJFQ9Onp/MH5
uFQxQ7XusIEue3K8GR8hDHgFn48wi74I3oqZR00kzXXt+20InsLcClC64dqKC8M9o7LgutCszDg5
jkcgJfE2y2ERzaSmEaxRfCAFYcESRBWufA9uXc5t6gKXunNvFu1bDY2bfk/20bp8alC4p/NygVj8
o5+po72RlaDKYt5AuhLwJTtI4y4ZR/0eyQ1OCSIM+QuO+qQlsTVsRofzsmNmx6L28gBvrhewUOWh
uzZvDpG/593J17mLdUaAO8ewo0uiUT+A8UZ3ZlbvSook1IqrHXayanZk6wWspz8q5TO2TO5c9Pyw
22T6LCUgA1vjdUfW2hxPauCA+u1Eceqpr9RytlT8ELDlbs6L0uCwvCS9fMtmPls6uOBj3PXQFs49
5x04PfTWGWRnp0XD7uVZHUIEBpt/nSYSVbCQmIZiiW3HrcXN+RtibvxQj0SbOvdqKxCued83fLDz
NWhM/yYtNbrUFZiPfDp6MSZio1K3TUUKQWQ6JZzs7k0n5vnodNlH3sRF2MGdDzrgOH+tdJ7NYuIk
3lO9OKyoZAmGrCbTrfSWPpw1nt+MJxO/0Mp/5dkaHmQZXfbq6swad55Dk50gUD1wMp7DmaHr5Xkl
BhdGIebGRTAxc+UJpswCOPMkCvQghMdVLp/Em3dy5m89yQWAE9PsEKmvOzyR6Q226zzwcEMHvmRF
4B7m5dW+YuV8KIKGeFRd597oonBJGFRYRDdvclD6W3WHzSv/ZtJQprPSQHPhUk01N11H425bNNxW
6EeQU4xcGsunoFBXF03CG34nayMSVn1OQdW+jXnBduRUcF5/C7U6Rm2CEjQ3rI3m1+gqmasDskpP
mGqtTUzixMYZeIDEmh9dl09tKlVH1hh5cC6HB/xp4TB1+bUWFcuzjjbigEm+Qs9GcYXO6nS+VyDw
nmgEfVTr/BTpMMVyp2s348hPrXYbxFtsjD2PABpg5G4CZychZTp6XwbCdo+lHcHcgFy5IgZwVFIN
t0tvJjSGgWOo+twRO9QuiAHw5QdsJ+0Nq2R7Rcxif2FPBD4wfXA3s5XQU8X+sMsHsgfqGhNT1vb2
ppbTMhEpTEAmSTrxKUE61lFO2+luNIg87Alk3/sCYRO66Q+o9W9RV/W7mZPVd83P10eAAhDjKibF
cdM/Zugw95xz8L1GhvGGbp05QLmgE8AwFCSDEQU4LvRDXNBPXDkmjXWsSoNmRPLjJAIUHFF307qY
KI8i/ElEulx46gCXJ9TJ7drdWEZi7wQsp0vdj0+DVsxBJiCOjznWHfglcpfDtbpaOx4nImxPnjrm
oaLIg8RI+R9Pyh3j2ORAnnx7g7AczUKFC2WqC6xcNm1X9N/1hhm/TY3SjhzQ8GOD1kS9bnbv2UrB
1o+ElRptxSyD2LzQFPYFPpo3VGMI2AfAUKPlTtcE4gEN9Sy5RymcbdPMjnh70nOqnhdjeMdrr4xg
UsMYSFBxLgs4DnERT+/Q4FG5t3RIp5mGPweo742Ywixevg9w3zcaDVA4CsRb1B4sBY1s2i13Qwdq
qEo3LmaTTWTXps4ZLgVfn1oHLUuyrSWJPxxjm4G3e6dN+VbrWACkPuwYThBKGnNN4+Ram7qrtGb9
xdbC8GC6RG3gbby0BF3ha+8ABngGJkY05kwvOR+0bw72cO4nw7rAUH8POw0gQacTNW3lQRWzZOrZ
AJAzNbRDmxJHJOeSp1adfHBCg9BcWZbSIf0w5trfJQSqY1ZkpWHUsDxbvd2qK4wLq2AHIgw5+pgQ
cG9NwytewFLbV/aqv434dfld5FtFkjwa/bb7Hq++muxUQ7i6ot/nNUVwQrr7Dn9nd6FzhssBZoCP
P6/jtpYfEQJ8tDGLg244faiNtQ9dlab5+UTv+BR3wuIxxW4Gp1k37mlid7DFoZV1Jfct4clk1cTI
eqbpRH46gXjVeJ943DERU4WNBngEPEH8oT7n6On3Bt2HvXQNjoXs1hufMnswklPu1G/ANKiRHR0Y
xpyRUSC4QxM5X9L7xjKqC3hHIr4je/3YLAAi8bPv9NHprjAsd8+Dln/J2NPiXuxbc/Evp45FzZyy
/Dqb+DQeVRXjvJ7qWi2nwArW63xgxxu9vtlNjvdkpSi4lvJIgTHfrWLuqAKt66ajroEdd4R37nJu
RGbWmxNmgLl89M0pHM1k3fXYPyDRd+6NPWXJnc5E80uq89tXlMmhkYuLwuYOQy6GT1jzagosflN0
bvzOtvBeyLkHFq2lEzZRDSVTx+1mquZVGi8MIjETLh7rWoQ+OITIOt9ommXiNvTVIl1S8Y1jQ+0t
+5UvS41prmODA5bIwrqrD0Vs7CMdcyN8ro9KSz6Yt711HfsQQUc30BgIy1I7Ooy7VJH/T626V2Nu
k5vIhoQaUxNwuDbDzFq0kCxtj244e2aFI5nRIqeWdaZBBN03DwawBMxLOC9Mw3Qbk8IA8lvnYld9
te+Jtrpc6ExufPx4t7nbMy0hwWhb6kaoxTr0B5BSu4ITfXje5bq+ro7paFFGodcLYs83jpg7WPUh
Q5AqYq1fS7SeP7p0VtQKXsDzBwdE3wDIT+Nu8oF3fSsmyat05YdKYzmVAMKOBbve+e7nvBn25BFe
clj9oAnBtyrcB29OAZWaRO6yTcqInStrtHfVqHJsAuARLY/XDmGmmyVXe2DM/TnU5riV1FAsCnFz
D2yYLMmeOV5iaIxU9OQGsKCHchsWR6mkazn5zdqAthQF1dVirsDUWt5+KZCcZ4ihNqlm3hbQ/jYD
7PoNsAwj8BO6UtztbHEDl2is7Pvz3ovIVnInRU+/P/g7/6694HquqRvk7em6q9orP7XKyKRVaogF
b2jFoTO3aNiCanlrG5qCmQ7vFpc3vJSBq9yvMHATsxxYapoXp3312uZJ91K0aaRb7FSZMQhdC2GL
POVjfKeb88qcX2AoLbohSPACqIn/nVtquIm8ngK4j5/PjczzGUkY5o+0L5MPd+6xdvTuPeS4KgAR
ZhxNd5nJwp5LxmfEizqjKkoxaG17izWkE7nJ+dqh9tJ0469D2GBY3sMA81GLuqtKtgi/Y1UFJuRT
u5x5Ayf2oovcMOb/vEXORMBiUCBoBer+Z0EWcLekjM96S8mRwxNTdCkHOhJ4aY9MkJyXVLVS+X7s
/wOPm0EK7R9a1P+mKaZyyoVrG+Cd6ef+elUt8jGc1MyHfSaYbklzTQ4EbLELuS0ZFlqGKASZBSzE
1PpDu+rsmvvUSOL4rsDnFgsGvaRf35on2xjS3B/2XgttEHiKCDK8FmqsTJr42mBJYN4fRjrZ3fjP
7uqxHB/9xtwv1my8/f7uVu3WT5+FKwDdyMJhze39qQ88mAMG6XrC06sWAdUwIOWKElrOUOccGz4Q
q+vv31J9vU9vSX+UDAbGE7pB4f3r17eqXue4CVpJRpYXFu2CgjHmT0ZRP82yGze4XZh1Th35BvFY
Hn7/7p7qdv789sJ0sAQiClZDAxBm6nH/6XFOupGTXZcm+yRJnKOfjvYxQZATzDZqmS4nC2JCBxOm
FSFhlm0R5I46/WAYWnVjkzjxOtmlf5eNw8G1hlvpenPYur27saexDSeKNNzVs7zCml7t/QlVUwML
5VhZGcLxseQkufbVDjU8hc8ItIg+wT1+lOwiGypjV2e4wrWaLC4EWw1OstHG6lenU2CTmrNFbzxe
zECkWf3bsIshnJGRaV3SN9OoXvNbMCc2elZh7YVpcR4kJpDYTKgaUZbHt5XpmLt11MagqMgQGhL+
IjG1k6EmG8bUDvfL6Jm7sogyAIvpdB3VI2AaB/3+YBPytUnpCQRVXoKDcUyHnjvIp8At22pXNXZ6
OWTY3OlqofqacLOjzm69g48D8qgRWs5e+tj0NtSa1Aw0dmICGgjAyrXV+DpMEISxvTl/6D9bnwdR
IDFJioCzwp3NyENp9n6+2H7cdr5W+N6ObpV3gJBBp6CgQ1dJnS4CFWlmlvpt07bVPmome2utix2a
jbqAQEADryNohy7q6KLzFVmQFsn3wsws+FXwPXMfiKvDDRTi0M5QQRg0Haqu2lGw2WRG8Wt71qo9
LfVkH3318lnd3/aJ+eQIOnvT7NK1cwYrHLqyOpiZ9P7wcH/euRixGGrG4jKyUNqzT7d61DeGY7W5
B55z3XeIingc//Awf14/zm8hmOY4xC6gj/z0A1OGOUJzY4/mTNZgA2KrG7uR9k6z0njrrZbfRnP/
8KafVxDe1DKFbQiqGTi8hlLd/vQIg65xMzfpxK4ljj7koNFtm5W85jHODZozHJ80/GsXdadHZJDm
8g9LiPEJC8rzg5SXmQpqTPYuRKG/vv+CNnzMYOPtBkSR9EAyydUmZxUnDG8YOf5F4/fenuHUk17V
Odwvd3z+/TJ2njb8soypz0A5gp8cRgChkb9+Bh6bTpid5u4yN9eCcWnlgYyKDqmcjiypG1N/m5a6
/DZDGyDSTdg39cyEr+pN7xFG7Boko+i2cgLlN5QrSGIJX6RqpRP0SbMr86R7mHAGEEsm+Dp9Io5t
a7tEwEztC7SpGLFNZaT7ye/vLBE3G4KEiovff8cz3/GX74gJA6Gri3abIoHt+tfvSCaMa7e67e4G
nqrjZHXzTm9igwDTerw8fwmfELw7fYqFAkobWw55pBpgbQ4Kgz7dmkKMtLAHbi3S0g9+nJCVV2ca
z7UuQUCaHw19r4M2urTrgTyC9rDuc9DBYdOl4+W6JvJQtC5Bts7q7d1ZjHQQZKj9X+bObMduJMuy
v9I/wASNM4FCPvCOPs/ucn8hPCQ559FIGo1fX4s3MhshV6RU/VLohwQyEArdyWhm55y9117h/e7i
Qbv3hoVuarP2M2oD9hhJB31MRAHW6X3Rd/J65r/ct4Q5RWma3GvUToRxq/JWL+3z0uc2m9B47oLC
2SyOWa7ZBtOVlfnDF6P5lzL8P45e7U9idMTlTHvpMlo+RiXHdj4tGUA6cbbQE95jgwSeOxo9cEIi
1BP1UBGFhGbKgZwz4LTMPB1vrIGPCVgqIG8Kzjy+LkBX1PKbMuQxy+spvUCqidVQQzgxcfBd8Ld4
lxMe71VXCUQJdXHEl+4dSEH6uuRteBHnsQlHnPGIO0hn31ldzQAFL4rhNc8YWNBMzQbAQwVqbsFc
9esF5fy0W8FLWImmpu3CWkDi8uOCyrNBo7gt3T1OnfGGzDz7zZoVBQdvnGjdMSDOswGrPShI57ZR
GTQ9u/QCMnxw1A6OkzwlBBJ3YvUEuZ1WWsZjVyzSxYnhQtizVMvC9DAW9Qwitib6XviSDQCSLMix
IAVip/sRokcq6Ns4D2qyv0D9wZsT+g/gDL+pAetaSy1AoKrhowRtp6ukzoLbwQ+tXVoi3sZlT7u9
Ttttpebh4NEAOTiUV3uKQBY6yIbdHJb2b2bff7d2uCU68C7YdzhSfvzm9Jyl1IOsnal0P1B2BLfr
s9KPIFqUSKarX/9Q/k8nl8NPZDMNcF0bUf9nJHE1+pVljgM7LK3rLSwfaFyNTC8IrBBkrpD1bZtx
fk1sXHphBbiWqOQ7ygS+9Hnq6DKTUIjQcXqZwvhSJd5VvLhyL+ioEumok7zZdiC1+BOMF/mzxDGv
KRch67LPOT4sxdNs+v5HI7vlzlpDHES3TN9F08gjVHaoXmquL3NpejtSn5M9Snb1pKayv6e5gg3K
Sqe7liiRjWPREysckEe2t3Q7HLjTFY3z8Izq925Ai3QMC83OsYTjVeWBAu1Rslwpk21ZtkWxl+vb
oTot6YdU05OrWVty4piBWB9UG9dC4Uo64mr4NfJriyBlpHo1+XGxj2EXA2Z9maaNsQ978n5BDhh7
fHNsRr7wdin9RW6gPBDLbx60v1ktLJLQPs3+11Pyx9UiPa8sKsKAofvQAM1dvj8cXBxOjdNsfZcH
4tfr5efXWw0buCwCcCmwUT6JSryiZgq7NO6+rCouIC1PAyOKEDRdFhzJoux+8zSIny+WWPfxewRg
VkIKp/DT8xAwSgC4lTh7esY2YFOmcGRle5dZ5Q6HejHTCwxU2S6RHvCysT/2ku3CKzp7R/Ka2Piq
zul0o1GeC/5fOHJQmRM/tdk4PQ0gMRzajo+SeU1/X0m2a7deD3c3xq+2ZOUtMvB3fJpik9RuzHSb
ReeJ8p1ZEYAJjwkcvE1jmyCke2wCDrsFvlg5pcWe4eQH5ucGjJT7UfjlO1ChbmeQ7bDXQIUuBPaX
nRhnYsKb/lEurHVhsPOfjta24KrVB0n6he69DfUFcYNgoEo/jqcpDDklU5bgRZOW5oUanOFAYCCn
KeAWcji4l8A15qitiHc212dVW+wfMPiAGSzsb8XEOl+wSGyLvpdHpricPQXbriza7jkDH7/ne7OJ
f+ANtb7fkELOWR8aqYEjoQPRd/q3Jes907Bje99gMtvQhQMio7rNTBsn0uupm6eWPHOywudhYbvI
hOI+MMzkFIlZnqWDGVyJjmbJSK7MWTgkwVFCoL8i8ZrfKeEGUcfhQAIhg3bm68OBsJn+OhN0bOsB
Xm2+fkyDdMjryVgWZNtC7kbdeAf0YOGZBUdiB2wjOJSL9+Rp/2vFbHRTlI51xtM5gbAu7B07GKvY
1cGBvGWuLBnX6NPjjtcUdb3ENm0YnAKYpMFkgbrdpKE9HLKUn+PXT9fnzRjJFtI6avYQFNCq/vzx
aYYJjKkUCMgBMCSoNDQQm5oZ3G+e4c9n8+lVHIuEJh5i9ydlJw1oCiba74dFgI8fF6gCfT6/QdO7
liGkLJDMv3lF8XcfDEYSZWF4suh9+mBd3Sd08quBbLBcXsTEnO+zwenP6KKhfoBQR8oUUAcTwYnl
JX9Uc6kPE1LuaE6Ai4Li/7aUz7/+rj/vZOu3wL3Eo6gA+/9TP4YQrT4LzZa2VJG/Na2rv/85LyqI
e2qAKl3/+uVWYe4P3RBegX4Adg5BdNeq3f3xtx0tqre4LuQhyPzrnpC9bW249a6JHQiNDJqg/Hvv
Tpk/tWZ1hqniqc88I5poDoxW8W0IFA+smy2/Of9XIfNPbytcD/915YE2/HRVtbFa64SkefwYE9KG
knmT19GdI7uLLrOF5r3paNtU8oU83ZVLzU9kYPPHDdx8ET0kkJ7RR1S22CeypibDzLOvlRhINs/z
r548uoM5bxeHrj2RSba07yzGAmOSrhC1Mcf8nuxSH3GDvyQpWfLIMVehboGBHg82u49TDZyn9jqO
pkaLyhjQJqHBJJKs6o9V6XrqBeeL2f+mKrJ+/m5W8bXrIMUOcQt8lkCHYpoHZqnt4dTO0FAo8aMn
U1SqCimJ32H/Tu2MaXtFnNU0maePiRoJCmNHNlqAPw6fw7RZAGCdt+Zo7FwTYeW0jpoWzM97STjX
FVP8AqIm4qEEMtNv7gdi/f3+WtnRcnQD08LKuJoYuY9/WnbTQGu0Zz5DA4GzKgzYwAUG2donUdty
myj14GiHbr8TuHYio8z2vTLb37yNnxc/bYuQ5YUn2DRpKPz4LqqchOvJx8PQ6v7cUnwxFishq2n3
/PoxOzUVP31eH1l4iAUKlyoekx9fCeFgzDWrIN8aM3meMyoQuljpMkP9US4SUQCknE22CrK6eWxA
SxIYb40h5paK/FbVpn9YTL0zMAmXXI3przA15fstds06Zq2ZdyMJu+xt5Ox2iXLFiBn3/fpD/N2P
huYVzbBL28X9SWxdM+y1CJhqD6msxNYqoYH1NTDqSjKomSuaprDHv60jRl2g2Bi79ENXwW92rJ83
SKpXFwkuPSBaH59Xf2lBSGmFaA/Yeb7bQOI2fA28GKbSjdK/ezXrc6uHherTQQy5XRKPgoP8xx/O
bsTA/dZqkfwCFy/aRm9XJe8iLUKwROKieWIGhduPIwK0yE21NF+auSmuvIp5mGMmf7SB0BB8uuU4
UapRCwCUghVPTlxMLZDb6ubXP9PP5yjvmDhUZkje2qX69I57d/YJWOLRgtufHRpJGDmEhGI3mowc
UX/hpzLL3/RZ/2ZGxquxIvD0m2zbn5+kkquDajoLjEiOFqhrbIfZ9UyMYePMx7QakCAldcUQeDyT
KDouKB3uTjIbSkpjRwfF3GakjhP/zgxvKGDpsQDEOWoEse8YALU2U9kU9MvWdocv1sKI4iQjqAWz
Rov2537w190sc5E4rYpFxxozIGdkc1YN9ARn8Z1DUsgUZLj9VHbWEgkDHWzLdTciFrzdp/46/4oV
CaOrqJdy+25WSAtOckDww2aETPXrOjz2soGXm8nUEPGbbQBgalup9hi3ftev+Nttw4O8SKfTgr/o
rBvYXxqdpDmTUuywbSTwlm8L8BFUGewbjDgGSKot4VUOc+EstP5AaUbD3+WHrlUXbNWIw7T2enXu
k6b5515fgbM7y3TWIjOSYK6GwXo9qYEdKM7YZKr+vEIhfp3m/Ai/XpTrovtx/wvYX5n3YNIwLZq2
P36QPnFQLYOLPNQ+h/E4q3pLPCCPhJNOF0kfUm0QLPbqBLG/tX1A+79+eefnm15gURjaVIfYc8Tn
AjEMZpr1c90czBLhaWP18y15elCbSsRjdhc6z3WLWzuz0+JspKjYFg4n5Gwg/aKHyKi1IDN0NP1q
mywsU84uRJg+mkliy99M0tgL3XyBdYWJepXsoQYQ8PXRe+e7NMZ67rargM5Fl5YzIjqY1SqLATKO
9rTN7vpOOc9m6W6xMl/2EwkLrre4e73aRKok/OB/q5vdML87Mi8PdYAnpfBR6P76W/qbmwWYJ6YU
ghYPp7K3fot/WW4T8laCSAjh7ND1nTR1WH1RUQtElG3GY4i1G4dgAb7HLEzSs7kxxNkzerv27KRc
XNZIhbYP7Q2n9V257m+d9+jk4CQZRrzWiOCJt0e+58NFO/z63f+878Fl4EbBc2/SKv48VhwHo5UV
WoUDiKeDiCn81q2i0AySTwKOMq5+s+v9dHn2WVPcT5ljMl3hYF/f0l++rxRMuO7JpzmgBmuxOQ9Y
gVex+0m+KE8/74iOcmJ/wfyAz2JclbPT0AURoTyQ57u+2Ln4PyLcDb/bPD4flKc3B2jF5nk7DYF+
fHOeDvLcKOqCirBD1tLzHqBqIpxDYVqu38qvv/6/ebn1EcfcYwuKiZ+OnaJ1iYZk2KHcddX61aU2
uFA5krVzAkieXu5/Le/r/8No9bXMYQX9Z3zJxXtfk+9VvP/Vvvmv/+pP86YfACKxMPlDIiHQzVqn
Qn+aN33nH1g5sWpzi6G6dldb57/oJSL4h+OC46J9xhvg8sC/+jdPWIAaZu3hdhEO/wftyz//64eB
g/z0z3/1fn06BBwq+4Dp+1q38Dcxz/m0IiEAtv4QoraU7pEMhBsvxvQW1JAtAb3Hw93UFB8d4tff
LE0GHfzNfzl+mCEFQHhcwVWNcpeh6I+vnKSEDHpLOe68OOy/xxxUTLQdp4+UOwmyNc2F+0rmU3LB
mCJ+c5ZrEif9soWmjmw/aItD0Sw0zDiu5rBUQKM0FwBDSPXsMu1wLCRwxiNT6uCWMouaZjSndG+7
sbVBF0xEqDf550YyePtEwrZCNganvFxjRYmav1H0SreMwb6C0qu3IxPbPLTFZlhjSf2uvtdVVa18
gJ1nWObFkAKfd+Y+v0cP4gEUmif7WpziThNRXPvS6H3OWOJQ7SB/TMKA14v1LA+z7VV32sWn1uaX
uZ3Lq6Llq5jDRSwbQM16JqJxTV9VaxBrtUayQgFwngZ/zWmVo0huwHXB+VtjXEWmY9oi2ZrtaoEV
sNbAV1TByXMGQvnec6cZzD8NqqRsDkJZqAuaztnGa3IsqHVCZAtIbWvCC7ADm6rhRhly+Ihnay1o
mhCmZ5IP4behVSjY4VIYERcF84mBJrkpicUaWx0L6b1sOrLia0cXBHJa5KujAtXqEJgBswHbVBco
H2t6aiTl2obrXc9Z5dyYTMLSnbVm6nZMEokrhG+SyXncjO1c387wFMcNtT9pLHgqBuAWFUG9YFLq
Q+OM8+W05vhCZa03+Zrty2RpuSDmu33q6oDo366VBuFSayKwNa9aLmLlwUMUishgJo1hcwvPGMV7
6hQV6DY9kmo91V214WIWDkwTR+fI8Jf2QpOayzPwfkDVEcGhwN0sLQYQN2Wgb/hzqkPfWYvvruG7
5i4heGw3uUN4m3pKMioBeOZuxt5jYEnmBCFgE9CSAIbIdEgmsyGPzbTsg4P8m+k9qsJn+CA+AMMc
4+zWm+o4ipHt4wSB2gibx2/1WUwKE1FyjQuXZEyHt662WEhFZ35JzCb9Hg9++5VvJruXJFjdIOog
U6TTJWJwSBDpF2C+K+F6JGzeylcGCxc2FG/WyKssViqOdlyE9DDIdnlT0LrPvSX35k2MMj7meM1B
QKS20Dsrm619Lkv9YDWLfV+LoOi2SlgD8yJyRuAVwvz/2lU+xNCcMIC7KRbhmwxIaQATVQY7J+gb
mMdEfGyDMPGe4djRJxpHMe8Y8czvJJrIJ4RnCPKtuvfeuyzvVsQrGCSIg5678UrEzptOdOK7ITPx
kA5t9Ty5eXznzbb/pR5LC6U3MXhwBpVtPibEuI6Icqai3YFEqB4atGY7IkxXCielCqYPhvlyK+2x
svcM3BBpe31piC2jZ/owKeTwXWoy74OJO9LvTRbBbQLki/aXaSLzmaF9r6YORXFilhdLUcwCEHrM
LlIAFUSbUyrjRrdakgpTBMVzrg1IeCZcVxxXtd98NU2GR1sPDvRx6bhQUSXlvmYntHys0Bmfh4A0
eIZtHuS3RlWmt9YA33jT40IH01MLdZc1gf3MT+pGDbWxF3lBSxoa9oWHZLTTrdM6ZLHbbnW3juh3
S8uwKGq9uftiS/Z0NjNTvzL/8t7YzPlF0VGRKid9AUPCCSpIFx1qzCJK5nZoI5CvMxAWUw0waGbe
qdHiak88jfcxyENjA2iQbWGKY5f4YGOZrtXgqecSO8rCxJ1YFmA3odUeTTREr1hTCaxNRtdtdyTn
1c5WaTO/ykNrvDXcoH0K9EyVIOHjBLtY1c4XVS3tN1wm/Zq3NLKlZ2ZodIijiVrZtCWjpygJep2c
idiwSDix7eIaBKyZ3jbANtLdKpM8b1bAzUGWNhFv2hglAJxR8HTBXEFtDWnYeIePOscbnUBJAiNZ
x3tZyzaLlPSdvYMiFZ8OLo4mignTcjYsnH7aEkY54xsB3VnAmDJDEihwCUWedlEnBWKNRZ77YLzs
JSkqwRAs5wQKtyhZgviKldS/+ZMh6AP2/jPKruocFWJxseQmG7EpvfLopZoTtKhH/VIFgk0vCTJ1
jd4mIHSCVI2npS68nl5Q2nXcxR3/WwPj/GEurJWca3pVpFqzaHnk/P5Dj1N613s2zKmMyDO6kaG6
DkAV4v9u6WklTfVSN0l/nhRBk21yn2MHY2dSRMTlEDZXm5B10JThLYCzzjt/x8Z3PaoU0AHdLB2t
ATp/JIS9XDvxKBUWnrhJNwVxNuQdt3S8jjEYZJKSxyB+x19F13FEmq0vYQABOA28KX0x7RlQckWk
Nh6weQ7GTSv4bFg19Bd7sb1Htt/2du4tMkNNLPUN5/OlZ8G3wo5pla8VJg64SnKB9pOYa0Q2EV6Z
ubFG0SHMpSPIY4hX+02N7nDr+MZ0Hc+xdWv60v1ua2VsAhQcTy4P0tfQM2JnM5hehimnPFhOprFW
NENMU46IlW9LNtH8cDvpIwUPDQLU+NFAuzgdQUQNWT0jWWnlZTdN/qs7punHUsRVuhFpB3FNlEXA
F5enCCXp40BgP0PdPnVEI8XBFy1a753TJbuDo5cC1orbSqztyn4psTG2BilGAND8GxNyWreBHezM
Z9hOUTAadu9sJZ6X7WyXkocAK8Ysjfy9s8L4GobDy1T16Rae+LxNc9GgYZLAxLgYdMuGEs+fLnTq
eIQm2KnadJoosk0VMyxHcGOgiOCbIN5c97uxNVZZhxV87azBvqjpHbkRc9WEeDtsqMcOVRqsVvHa
eXH3VMy280dQwFk74vZrkl1oSSJYhMUlIXJGf/hAq5h3UTf6hN5A8w7uTdtL4v04gU+NgoI0aiwm
Y87TaY8EMSnESiwagq/EzgzyIo0C9M3NBY5e50UNHSuqEnXNRQiy84ZsbHHsS4IBo2AJOC454MVH
X5DbyT5dJl+yHgfJxhid+cbLMkmSj66mXZrppMLthtrnspgrfZ51mfFHnPVjEGUu082o6ANzg1h0
eLO7NdWghLj/lqC18fAE6fwd7Qu7QAgeVkUCGftDHbSOc0wm4KgcVAuaBkxVHMYGOu0zHduwzlgC
aCtArK9sVEgt92ZdonEqlccsCIJn15M/V3dng2f536oYbc/MMDQIi3Lbd9TA9kCun0vj50XN9ENd
gzlEhHFSEOkum2gydb+x1vTMTVjHC21EYXzVImlfCYKryUDcKMfAZsSsGZN2UO2dzNBYfIneGZeW
F2sT64YszYTtwU23lQ34xXD1tsrm+piELiNanQfOHV4GYwd/OdhbsifYHgotR+4U3xJZxPzBH4G/
B331NVws8cJKtD8U1OMdwjpmK33jh7f+2JN7kM7K4G8s/XuYVlmzM4cwfTC0IDZrVHx/PBTPs6PY
rkoccPUhkLl+iZ1APsp+oAucLe6st6OXQKoRuh0/Qm6DX2mL1R4ARplWm8aOMXxVVDcfdiAnVAAG
bDinhbmIjc9yrpS0dYQEAKdXYrEKmbKrOt2KUauPjCJ82y5d9aAWNhWccXEL7bHSPi2ZOkm5VA40
ao9gi+n0EMepz4nfXImPZNtTB3DSEhNGK9t1tJ1yjNVdeV1xm68QaOVwCN2+7HeJ8LKHtuiM+0Yv
yW7xCUlcKn8hRKXr/Z2ykNg0YW5Dw+pGZWKd8ozzoozJHZl1BqrRT73wsYmnBaRHDKg44qAsu23S
TyXwLtGVZpQsHkAswG3ckAxH89X6TvMkhqrat9givd0ICfBiJiJ12g3ERstN4sryRY9BKOlrjun3
wk/6NOr8mFsRiBWuiIJ53hAlymqezdEuH5U0g29WlTRHtI9zezZmPKM1lXEDF6uHguw0ibmnjHVv
cPdqEWHOL0PSN01xESYT18OQ3Jqebxmc+3ZSMDqjwBHYdJym6e76QOXTZqCd50Z9tnDBRoOXbKTT
m7eWn3UC2Xg/THvdO+ajX/d2pIzye72UM6hOsGrJylEjqmGqDPj8rpeIczq87nVDMrGKUnC+wXlW
BeY5Xk0WHLi54mzI3f6W0EpgwU7hKH5HAiGiaW6B4tFzJkYjcaGWN/k3zCImFlA/ExdUye6dl9cX
IgA6oPBiVpa1XM9p8ZQumBQGiq9dY6tDLZ3ykDXGsLUE1DFleTeSB+AmM6DKaG+A3LK2zhsGB9u+
mSQwQH9gFqEXCoslQ38+lmiyJmXuC5swNsIm6zvlDNUt7JdmOwhujXaFZiPmZbRTXjaITncGsbME
Fs5cLubcI1QNbVfdlEdiNREmcr8kAEfd0v02n826wiPqgMLcAp5/qeNpBMhsefeTFwS7sM313q3n
G3Djs9risveOTCzCM/AeDhGArcVc1TVAmYdxl13Qe1dR02fBsjP7sr5OgyY8X6YeZXcTh/FmYfP+
Hki8d0huPlqMzbfJNA1MYevwtaEhfO6nlv3F6rzkW8AByty2pTgrG/6IM5rE6mQ4cnf8jYVxuwAC
96HBtDM33lS2j1U/mEcL/DuA8lCLR7tKjQsGz2M0hUZ79L10emL8W7zFI3mduK208TGNfi3f7IIy
iAtANln7Og5MxOB5oQJ2UmveDpmTmGfZ2JbfyB/sL7VIuVlOacgBls+EHEWi1YXalxO3ySIPwrtQ
OAGCuKAj8dVVEzWO2do0N8Eso+sU3BQYT3JmtgHzmMhu4ZREgbJVseWOJM/b07Yz8NZe0fcu03Ye
s9iE5mGwKCbTWtyjW1Em4IYAM7hBXesUzLVJEYnsWnhvg6/E9xbzDl5aC/XcNpBBeBbSeA3xziqZ
wFBJuUTjYPK+Bzj7kO2jVZVKqmsNssPfmGbKxZRMZO8raCdYg6QgZ3e0BUBIjbZ97wzmVO2SwGRL
jANYj8zL8SAy5kE6l1W+dg9ZFlOc5yV8vMibLPNy7Nv2WDJvh1cbpORTNMY8wLpckJP+77Y+6d99
bZhoZ3Qv/nn43ly/V9/lf/3QEP3nj/9Ik+9fjdkt/ccf/mF3gtXdjd97ff9dEpfw737g+if/p//y
//yPkHfCY12xJdE2/M890vP0vS9SGHc/9kj/73/5Z5808IHcsfGiLD2Fq62+kD/7pIEN/9mk94eu
H4caA7d/M57df1gBPgdGI3bAFGlVwP6rS2qJf4RggWC9raIGQNDO/0uXFKXl524liiQY0rTTeY9r
u/THbqVZEZ4VGxoYqXAWMP2j2dSRCAXoRjmu+SymG3svpKpTjMieceSulQX3JczcidhKrgQ1e383
PSgTX03ku4O7H0qjugrWeBixBsU0RBxEtWgU4ky0p1G7RsqkY1Nf8IaqLU+COpLpgJldu0SMX3oN
EBJ8rETUuOMaVxOeomvKU4wNXCQ6dPmabuNwQ6PWOoXeuKcAnPkUhkP8F0d7cwrJGRN3JHQ2R9wH
O8idjsUU5/fT6HZHRr3gLcRcf0HfiJt1jMX4jQ+HOA7IBLylxB4fffJg2N7AL7BDVyJm4kA6z8bg
AkqiBgCIvet4U7Lv7c5v9hmwtQbjeZxdZ4NYC7y0W/u1Po6Rcwt2QBHF6Khx+QRF7B9zLtMm4+K8
rndkzBNMFXqK9lOW1sZbQ6guF+BSZ5cNvIr3rhqzS2mR48eNsPGJqGRUtGwRhw7I2pFjeychI8EC
E2VToprxtbQKRctrHJrvpMDYHylVnoExs4XmumT6aob3TNa1G0rqTxlSXLjtXJAXa6lbYzGmu9zm
Urpu/Yjxc3D2O90p44vsHG1sY0B3zcHpJC5/y43brUWiNg1MCUCCsmcqHxu7nLABDeaAqWHx2mYj
y0B8kCcTlhi0gP8vPur8/Wh03FFif+GWgIHL3qRtT+Bc7hfLFI2xEV6IDN2VaAmmsHrZ3bbaaG/T
qe+P9tB092kemNfdzDieJLC8UltSxQIYGFX7bsphvga7Y48b3cF7aFof92yPRMBj0r05uXhlFkzE
eDIjOAxEV8FLE3qfJsX84utYX9EkD4+I7uXz3DbZixMysI7shUsmTV9A5/GwPIhmnm/rhFmjM+Ah
L1YqSk6PcFeCY9o4XCOvxhWnNfJ3HXxknttYEBF3IseMDk2wRK6qhYW0ZZgv6KFWf28T9zFO/KE5
WhUe7dr26oNrptVzLxxatYH9xDQfN7jHjY82fwR2ic4ZKz+sMogtShWE5Ln2WZbySRV+gG0GZ+Oi
i2ENxEOmn1oi0jfeOM7nKC5tZNrMnjvTo3Tz1jG+QHBLL8+C2Mq0Y7k7UW90nc83rHX70FpE6G3T
hqRaAJDDHQ0pi1R4VzwsiVqeDYi5x9IHq7FXeedPsHjb+rlMoR075KE/F80wfoxpnz+jwDnzVABl
vuDvxtWUqY0sBu9WW1X32lmVvKsrR7yrkL7apkOA8QCtxCRvnTx54oFHN4tC9hSKe8YMO2XrBbaf
Z72rJScbqTWk82RZXXJDUxeZp5qqP9Dm+jdBb3tveUoMYlqRKLSdPDnd41yNj7rNxFlGff/Nl3Go
wf2ZVhsNVHY3uc8NGTN93n5Y3KGf14XwCDFx+Uh9pdptoMzyaelM/05X862PLpqRSTpUuF9cofic
Rocjklnaq20nKf15Z67dLY3h+JpMifGcsre4j+cs+V6lxYw1epr1SxHWQKUkW/PR9goq/pwslY+i
b6hYZWh3tCwLy3skEUfA2xxxAoBpT+77KqnfvR7pkjWNdUuF1+JfyrhBbNqQVJteEEboEuKIsHvJ
lj1NToJ4aYSSsRvPOxxpfcQka8LvoLt94ljmEJEE0J8vptvBky97sjRqMS7HkgQSDF06HW8DYTO2
bwoektajL0Czz5L3CZQnru4ztd2UjfIhz7tshxerO+Oy7F3YXhnfJ6XjvFJMFOforOM38HYPZlvN
l3kyAlBrTZ3fhb1XVEccxNwZ5UKuW2wn41lBE4z8Y4OMdSG0fekVwXBVdmtgsvCoDwp3Dq8RgCKd
zBdj5IsokZIrTybqaGXD8BCbWQkULnHfLChYu2lKfIqR1LyzUSicI5TzLumuE8pXjBXhb2Pa7uh2
hzdVrfVxamb3nKxQDE6KgQilt6kyEAdy8Ix9QJfE3Sgv7K54FKwnL5XNXdLlyYVFGXUO76V6nzHD
vxulPR46kj/ps9p2/00M+FHmJrMeJ+w8u8Wp/V3QpcFl0vft1yRO1Dv1xEJrGuEBqH0DxFW0TKo/
ejrLVxpXSVNR1B+xbOD7rLcNOBhkyE+dbWiKD6Knh3huLnNV2Jg61m+UDMI08pULDn3R+ixNp+KO
7AKDvDozQLWUzQXnbdCG3XWYsr1EnXArEaVqUu8Gk4c5QhQb36eDHj/sya3GGyRYacG6cwrK+8qv
r2JSzAAAZvquhx7HyU4mzl3dwDTaSDplkahy39kUkqOunkbM8d7kFddEACZ7P62a85Qqu1yZgNY3
v1IxOlwaHxBobDu7CF0Nsgzamfnk+WX2zJkNiJ7xy1CisIJ6U7uGe1Filj6ExGs8hWnvbYTfjzWt
zByMfWGN1DgZYcdn2STrRxpLAAM6sgMumE+YzkVaa/ulaU2PxBoXdRPThDZyZd2cT1J1F0PjW/cz
ca3nToj5IZYmI4EgQbTcLOp2qSVfSMimC0JvGF4Io28+UoyAL6Yij7AkDuNMLkG5zSns7ikBnUu/
t8n7RsLivdDkT2FsK5vrkJs4bnyW9613laVpdl3GXfHSUCVfcWHDph139Uj7ECH7ZUhH4jVcMmQi
mQcpqWwPGsrg1jIcljMEjm3Yt86jkZPSjAqWwObwFN5c+9J/wtpBpDMxddkhXXOe68RU2DHZ9omv
6NuLcE2ETgcQHyiLyIm25jI998Bynek1RdoaOo+kL+wRjGKQ1ebwj3CXT2/a0sibydDyAA76xWug
oT1F6UhaNTylgODQcY2wFqRZx+jjdkyXNz0Xo525Zl4LW77Xawq2Uiz/cU3GRjb56KxZ2SqcHoRP
ena/EoknpydS258Cdqx8cs0Dw1F6j02ZlA9Ml8yXbiaTO6MRdMyUQRGG1iS7t07x3aOxRnk3Y4s2
u8Z69CWUg/6j9QP0UhAJjSFSgJh6jh+SfI+LbCEoUQL1G3ByvtzwMy+06keU4pJi9zXrSIVM3ZD6
VVscn0gXLUF62ljc5rrmSQ2ZnMHDN4xbiNOPpZn4twm+jsfMzIHZN3Zjn4009rYix1nLZtiASHIr
83EocvuYI7HZ5gws9uQRQnGE3/KonLOYr3y/0FqAJOReyco0LytTOTQiafYA0aSdW6fVWSUAgdDg
SG4lvoit4Ylrn6SIa5J646jrTXUXd012WSyl2BdGZiBRF5yxkYqt1N34nfK3EwTH/ViF+bWY5/4y
6SoFwxg0aHWsimS46hcui1FPOfPsTi4zzmVoUrJziQ7zYEWawzMUGw/x1+wkzx17HSeYdu9bX1n5
1qa8t7HE1SXAKSMI6evh4nsiGza8pnOW3ib+sNpVEq3RO+mZdAT8eV8gHnlPgCn1pVf6DMsclNbE
hTXuHZsdtlPGtukrD7C5Z9hRc4U26P3wzNQP/jInVy0MNXbUobG24dIG53Bt04/Qm6oBckrid9uC
++YZGZ0JZKJl7QA6/iDNY4v+dI/GX8LWKlu7ZtfUwtiO0gUVlpwCFhdzDVscEnIXHQTG2Q4htwuR
dU1mNAxHPtSnuMZhTW5s1wzHxSfNkWgT3W67NeNxDPxNRzbQAP5mjX/UzmTeBIzJXmWBb3KX/hkV
WZMZhzAaruDWTTHsR+F/s3cmy3FjaZZ+lbbeIwzTvQAWvSifBzrpHERR3MAkUsTFPF5MT98fmNGV
EYrszE6z2pRZ7ypLITnd6bjD+c/5zme1pNWPaOrUObfOYaws6icpcM8P4dJJGX7WU/YeJCmmuHxV
acGs2/JkZLB7NlUxYYun2vErtbputO8wx52DaaAeMrGj+Ev5WYqZfxZkurhxP9rGxSNHuAyJIjS7
RRbyfFj+GdFEddc5LleO7LN+k3b5mU1vKeWkZeGBZwb10MFbTBnszFmD1R8rSn9odF6cRwrEv7Is
iQdZsh3ESRici6UUdITZCqI5m78Oc+QZq0DBFmT5Tbo1/AWShyxJFIz+f4nk/6UVwCI2i4P9/y6P
HOL8+5v6nv2Pa/P9/Wer/qSS/O0v/+4kC34zTTzWCzvDJVm5+Pl+d5KJ33CPIZ6YJhFyko/8ye8a
ieP8hvmbCzI8AR9Osvy7RuKYvyFXSoyZUCIQS/ij/6MUXf/m1PpnTjL71yy7S4oCxcMUaDgEhOxf
Dec26dZqYGi9p3WwgEjWTjUrBQ2zlTHVb27nNLCZVPBM+yjJfWOgrNwNu403JOHRlrX9blJogfLA
LK20uzsWyny/ZHpesyb1KBGQlU2CJq3fWArB31E7sKYtJbrFtD8++IEydqVGx6SbhVkrg6ppP6rW
e6gMEQ94NCr3LSQl7mJLkmrXG/luIj4ICTA7I3BZGz3I7ljP0ZHSb3c14TjexVVwZ+q4PoCa1S8y
qoP31JCaS6Cawn1jhHqH/On46yzJxvdlJ3rVItSnuU3sjQAItZ/bUh3gf08QawFjtmON29bOLsEU
+3ccBoftBEb1gKPIIv6sJcK+ax44+8/XQaZqGyQjU7jckdM+zIoEZB0a55d+LsufnJnlpTMN51T7
+onASvCVXl4f9EPtWsDN+phPtQxx5cckDlYMoBn7hKplT5pyvEb0HbJslHb60urJpPx07E5Far81
xFsuYRrHN7GSLbhkv33Mqkodnan11gbnPgwUqRcvfErjK/de/0yhrXsTIQf9qMa+ihgfC3RuZg2X
fPL7lxKiy4VfOO8TOiHg2oI5kOneDiJsiw25KiJQrFDQlfyP0U0LqlcUclTWc5mo0ypjeu68DTmb
yGrOfJoBHYKWfOFdPiijeHRzO9llMz1kytfQB7k4rGhgrQ+B6MtNpVPr4iiwEWC1cSM5AW89wviR
RJ1Y9b1A1YjgDZyFET4TWx82IrbyJ8gPeL5a7mfdrJxv41SlB2379Gu6Xn4XLyobqVuqkiXtnYBf
h3zjhe12oC8LZ5FstrlQP+Eg0uoQ42O/taw+OerFZZyF5k3VmfnNUM7Bu6jc6MuI45H6Lyd/nkY7
o7YolE9stjU+wDGob/ze0GuMGfZ9WzucQozAcDeSVDIkt0ZX763b3gVuwzFaR9WO/L99OztTvktQ
yW7VmGlaomy+tRhhsi8Z9ul6M0LJ2Bk5n1mQQCYzGE69zkKVZxIY1QMMN+88c3rE777Mn8bkvcZB
LK222VeT5z1TTE0dcy649BrRWTRTshlEqvZIesUXCzXjVvHuurUweuYy4WAx41NJdNthsbk6s+VC
NHEcJk9gUKMVaAlz3zoDc53QpEFvShjD5KJ48+cUWFogjPpgiMbdNSMH5rFJr7Mu31prPKEPojKa
jInMjmxxOVzy3qkOfs0ILzDlk6oJXFuFfawKbFxrW0lj84e1+vdl8I8GWueX2Nyy6qEmsk6j7iBE
/+qgDb3EG8qW5SBumPRCVC4Zz1VVwbRX+UV1M2YlKagcbnpbvGRjhmJc1k1z65KpBW7LrOjccSP9
wOlBV5MqsnPQOxG5BxsIZhk5xUtZZ82u9QYSyii8br7tOig6K+YYSFefz3P6+Ww7HFVoOOO5oDdz
WRcGMWkwjb0DNFtzMnn9528dJ/kvqrgFCAKfretADpNsPr+E9Sajc02MFuaewPljAHPRy1Pn0fDH
V/TXZGWVqV4Lwnxc0bSHJMDveOcz5+Tb0FQF/JJINNaWBo6lCncOx31ii4GIcdb/TB0dPal8nI4c
nQ8u1l+67WtGT7qBsEkNmGrqvSjak41MtCaR/lbXI6bV2cqvo/abI3i5Gghvpk+B1aqTXUNCQTAD
SUGXoHMsenStNZGJbsvnaNM8kyZoW328pxk8v2pvCF5hYhevU2/2u0FmxQ+b/vBbzs/1bcbQegf3
MN+X3eC9lEYTHgnVY1TI4/6B/+ntmlnHLwnzgROTVO6PwIe2cy7FfoBJSwR/cG6YwE9H+DedsUIZ
DHdRZ0ePU2YkqABz1K75sSnNwqiyS93A2jNVljvoAPMWVKPmJsgauW0o6XvubGGh5QXVM8oenrKs
cD9A/EWbuEvTsx5w1I1Qdc6VoMxwrVtbPIMdtO/waxiPTjvYC4WLm9jsm+XPmqvTszRK7iBeWVwJ
STZXPxX9CcQHRlDLVTdhbTYHu3ePOfDFrlcLwYeSktqHUIdLwxrv7WEYyGrl6W0/LLdshbFwr1wa
hnFSAAme6uaRNBRjE3su96q07B+QJUPsBi61jGH2RXXJgH1wFgOn0XbOX3OzGi6zY3c3Mx6NvQl/
9QzJXt7kPsoMMI74xhNTi1zHNWFHkS1O6Cj31ZqajWpBJIV3rTFU99IbvHo/WtHERFPCU3SdYts0
gwbiMqdX3GnlhUo9ri9t0ZP0carTCMvrXi2rSFaHHFe8oyGzdVMWd5OtHjP8o/WQ5XsjYlTQSmOf
AE9k5O3la5Io13ZZsyL0xV24rGNOZKn7fDaMD39Z4fplrcuQkcuBWK/bxx3FApkgcL8sjPpzkWSl
cDd6WTmbZQ31G8U6k8X2zEKgcAJxEwhup2XlHZc1uLHd8VQMJWtuZdcTEN4eQ80wsaJbjAF6ry7P
M/moVzFIkwC75+HCbGDMfW4MybJHeMtuYWUWTZDpsofUURobB7i/BZDZzy2IIkCsD4ExdcMmtWrv
aTJLcddWGVxlmveC97hRTkcXspVCATfRFox+CYUv+6TG6LlJPnfQoor8H0OVCLYKvtPUrdhxda7w
ubCGdnl9KMN02IeQmuMN5GO29Jn6wVWE+QlHGpy3nUUlHforKIh7pu2cGqblAGFwkpiXI4X/ebhI
qcteF9oT0O05d5gcH8NA1WsCoZjJwwzbQWjo8ZxnVrXJAmM8hvjpIfrk+b7i6LOB67LgALXdrbSv
3A3pK3ddjKVGCcrS9CLsNjkyZekuSZTbX1Up3duuxZJWTFaYr5pWtTsblvJPyjXs65gN4q3PdH+N
2yn+YugEcRV7M/UPpvaOHYo32YvGGDe56cZ3kjkJ7rFYObfScPShMRiUcKaj1xO3AFNzdiiBOaNS
pwrb322nexzE1eA1P8amfzFlVW1Ic0+LtdIUOxqWrL0/9urJi3jjCbeGY2NUWJFVIvslm8Boo2qp
46Mb3LiCo3eOnhzdxzwp5ZWonFhj0OT7kcflEyAVbvZMIrMjcdCkw9OlKKUDhJOw8VYQGQJQbBeJ
wWAr+yE4cLA0f5Bu0G9OWWCv7uZ0aZfkQduhVAlzJSWywSqy+BgxRIl9mvCJr7NRxidPVul5aHzj
FNT9cMiTcTyh+5DxdOOG6ks8HMAxDfMbCdTrHHXjE722+XosDZwqNH+e1Gy1Ix+aL+/VZKeviYOj
HmFOYHFq8u5HJProtdJduzU9N9sGZRru+U9+mDFMfH4ise2oBzzbVcCXH3mSwtDajO8puqlXhZPh
RCgFp0A8WtK9xryNkE72tcDp72O8ZtY6/zTtJezVlfBcWROpJqxMahT8uKMC2LHNl7JN3VM/tfoi
nBgPuuVpWlZTfP6JN0MoYtzBQBXmFGGekbQaTPEskCfaiT/yIfgxkWbbs4FlXJDCsjh6jfB52gcO
5QX83weVOxMlaIKDdZiaz8kYQ8Ap82dmZfaLW1v60Ous+joIkXxFmW3An9cONBeQbH03vxaB+cwU
AiRMkgh5FG55sSVDvMBDKvtMaowj+CXsLAwdMlT8rdnjr13roJTmGQ21OqLHsO+GqTgFYB8Pc1cl
W6sR07fY4HtK6sc+j5SHbiolwze7ickIU/IwrL1yOdbPBV66YdTzelTuO1mHcB+4tbGT1mQvKOX4
XE12NJ11YZQP0ujtJ6pNkEcYqnQ/MflzXHTS1r8p6oLVpo+c5LGomHGs5qHlTeVpvvMSt9pDEGLe
BB6t50kUMt6QsZH8q338Hd3QZQxbNYhd5KcTH7jESBDiOGg/OWO3p+6KN4r9LzGyrct1BKA0OlfR
EOIYggwEfTiPXJwcyniMdDqOBHT3MZL9Ciuzx6g0VzExnSmgVLLAC1U55c6xtPeq6tja2z34bBpf
0gV6NvHUNpMpuYaqBCdh2R6TrP0GyfUye+bHol9seyu0vne94d0Fdcj2WD3hA3ZhZtCt8WBHzZTv
B7BY7wl2aRoT/Oe8A39kaPb22aZRZ8BMRXKnpjdEOePe1BLo5piZz1001gykJ5biuukblqS+o8DG
ru4rL4T7wVbC9xuuafeEPDE/yUpXSxENHm3LEzd4GCk1KHnP16wobSz9JFuMEDCY40b2vR7iDqd9
1/hAW73AeBRs1VfHKoYPN/0RtjM42mqEqB/NSt4ZhH4PTZxyLDKKS+5jlTVruWnaLPQgZyd7Geua
VYS0hMDcvMnF+4SQn+yCsuiAWE8ZJtbAszZVH97Q4DzfciA8d3Z/K0z94qev5fwwqWhtu521qgs7
+UhEdJumebHzm8q890RYf+P7xeYlp+5ugCx/ZopbvZh9P0SrOEOFWBvss0ALPP0N8tnwReaB8y00
U/EVdCYBBbN1j5CgkxM7gUKODfGWY7hmtp/l28JoOVQk0bFrEga5XrzEybS6j5NKPlDHMr0KRabM
oDjgiESK8S2R7torUpEdfL+h/Jco7PiiWfKorS4th35aWx2YkcCQiad661pL/MIIxkebGfVeGOW8
XwI/uxE848EtBRdZxUl2ysJpC1N0PHCGNBmClr6Ebwb77SqyojpiZh93UabptLYtBZuGk19PEI08
iq4PtNkFNE5kCgNGjFkTl5ne8TMwyIhy2mGrLnlBvMUa341RtC7i/CEqWERXbWnQSrVsuL5U9R7b
35fMmKpT6rZ6n4YVB7KFk6K9hDs/0eCnoCna7ayr8pSwZvRY+bNqK2KGT2uMNwMe9TblCUwLkwV7
Zt7NjJ8nix+lXHdBzt/oO3oEprBwnqcibulim7035lLOQaWsECGy64bp5cSjEueHwmbg3BXMizE0
JNgySlazYaiHdZSKzaTT8GxbYXihZWBVBOqHQJhJUvMYlfwNFZ4bOnFXNqZ3aIeE8XLfXTMqN7eZ
mKcTCh8JqyZ44F6+xhE/8NlSPrwib5BfVGrTeDX03gadYKYbRCiuSTFegoaG7zOVBx4fQUjvXVNa
77OmXcmz2+JD4bFZ4SiIjz74/HVthFCUnLArT0WRpO82tN1vRexSqVbjbnhwjT64FBy0r9xVujOG
e300Gbox2pOt85wYLjbaKK6+5dLJiW9khDEX+7PwqgRsmOkfTCfO9m7f1KCXgey1GBjI9a3NMfGy
le0GUNu9xNrzhDlfOq5rV/B5alXARN3GOdqHCkwa0yOC00l6Lm1xGtvD5PN5aqycLfSnhMnvg11Q
JE7ZQPIsMfIf6zTLbry49WE4GuIYDskV18Og/0We1f5HV2HhfsZ1zYBS1V+gu0NS2GGITW1vQGjd
CnfxMUa9jFe1KPxlgsv918nG6CmSBWkCoNZDuVGqMu4zCt1/SG+umm3mCrVlME2GLFr0SjQdADw6
MDXEN8XgY1V8Kpym1PjhASjwX5cSg7Eo3WrVckM0/sYf+K/OdP83siwuqek/6ByLJ/J3r+Niuvxf
//M/2vZ7/kcN/m9/4W8SfCB/g8cMOQWdncLMT6H9d5NiQKkuLlvUFWZE1Cv+XYK3cTZCfMbZSGzS
oYj27xK87f5m0f8IMoodD2Ufvs+/IcHLXzD20MlMaC/CQoAPQCchSf3ZplguSwZWHedAgzgzXHM0
6MKm6cdJ9mapP0f4c3b1sTQrEkiOTwwPjAmd3l1C4Ex1Xs/8UZhes5nLjpwXBzncwrmgWHA0dAi7
ZqKwyg+afmtblvuT2CtfUKPw4pMrMg0sVy+l6gHas+TEnyDQXN24sO+D1qICxZ5Ydm2Sv6MdxMeW
KlyQZe4jjVktvQhi2puV1WxK1P9L0nq71ofuSnHJVkjw5pTxeZXWG9bqeS2nnhK7rmKfa5baEnJa
G5ealq0jkLzKOriEWOdA/bXR3p3VKxb1+DzZGS0YoIXX3CIDHGzOO110GE/69q3IUypiqthHbmCz
1GM4HZOq7O7nIBhOXFrUe1DLfp1NVnsqrO474jdLmmc2u0RXpBIDXtOP5U+CiBYd7yMrrRY7ImcY
MRLjVtbseMn8I6jV0YicTZeHX8faOZM7unHBmOMGOWHfggzByJGAufHGxjrswtF5z7AjtLjBQJ1N
B4C81O0MDvc0IqQla8VWpHG4ISBB7t1KvmZKjNvO815kYt4kmJeg8mzwWTfrWIODAr/u0x5u9Gdr
QC2xa+uU57BLJg7ao8F6hZ/4mjZVg9Y+tvnW5T57GCr3B1E3cnaNNO9nXGN3k2YWmzWufs1bO8f8
hb3zzQ5lyC1y5F/QjrHnLOy+NY029hnK912eYxhyRjl9NAFjAO3GTr0q23E+p1U+3DQqvTOtKv5w
m6Ek2A/AyoqMaEUCiVl2nHXvVarpSfKNB6J5J+QCErOE6zGOGI1zZxOBOlBSck0JAm0GOT/4qrxP
PRNhZvCucx4PR0F1xDmuO0mfXUqID2h1vYnF9JaJZNz5RkZri+4vrSePBgRW+EJ2mz54nhZbr6qT
M66VntGCv3OSatgW1MKuS7eYzh3BOstwxUMXta1143mkitemKqx6U+BUZDxMplzvupyw19rIhoh+
ywB63SrBfIERs3J57hJJmeByCMm5Ncxhbu7TeBGtDSOxHxp4idxPOHP0G+JO4PwhipkUfPY1Qmtl
jk20bfFORRsI2bFce/j+vQ12XIStKLEIhTIpUYT4ie9EN4Yb591BY7Pp1spO25yjCCjlrwYGrTjm
efZJbKe5L7AEmaW/tnu/4CTMFWM6kIVrpjONbRla7ihIzUVF0/iPuV2L8shx0yg/qjSeA143CXgC
6BQOCEEZiVxRelO4nGcDP9pOAfnRNYF3gQDIfMvm7lzjXulsM1a7MDf89p3qmiVsBcSt31jlVHIa
wAP7anLD+1oMPDFBl4TXJmr8CSCxRTyQwhVVHkJ7IJ1kM+Mr1jIZyd0I7Cxi46UZH5aXGquGhgCq
b6MvaWLyhHQ+j0I8I3clRf7YMhr6OWDncDcceYGUpklspVhOkhynCE5Uf5t3eIJvVVrw23dRXkju
j3a3tcO0ydam9GdnAxaYQE+uyQIeZd102VvdcFTcBV5aM4rIfc6dbm/N3wtO82sQc+ohgFK7XfKT
iB6UpHVW3vNGK+XhFQrHRmBeBRRTzieYE/ZrKmN1KQK3+z4UwAlWGYVaFzpeNfqLPyfHfJTzdwqv
KCOkTgXH6lPSeU+qG1987Kmbtqinb74Y6h2EwezeSSyWvTiChlEU3aMLynXX963/LbJrIlpUf82v
ljm/D1KHm8bUxXNoNJBOEdtaFOu86buz5N9tVrIz6ThgCcVDetPRPIAiAUrk59BPqDEyGhgJZ75R
301NRr2SwgC0j4aqY+zrpc2wtQuqtCgSU899547ejvM+bXa5lzkPYVb3IS2bHo2NupXn1i6ghEwN
5MgHkcUBHku3xqNqZinKrGepd6RaizJVMqsKxLwbP6Hbdv1rxHQKv5M1epQDwYeUq/pzcpxOh3QY
f4wqWao2+S6TGI1ksLYjuoKssMViNbb9teum+M41CtLCzjhefAeSRqrxEimZ3PuSO02L2+WLMZve
jUFH9rd2FFyLDRNhrp+CAIhvNt3jxcqzK+SJ8kfhCHHQ6TwcaSTBkoGWkH+XYWzdQ7BaFL4uuBu7
vK/JXib+j8j29dcMWajeNMigkvuXDtN12Dn+h5/NNUVkmpGS6gcNiaz0sqfWqL11C3+OJKcjldp6
pZlkH7EvGZVxUDdv076XD6S15Nd8MPCY97Ht7QJ3ktmNVcAvMDCubg26a5/KqK6IyKVD8dP2/PKj
94zhZahtjfHGVQGsghzQJ4R27JLxONd31KU4lyhryTsAXPw00tX5TVFR7HlIrdKV2wgHcLLF2Om/
eAy9fBpMA8ZBFY6pk7RS952hSn+Pq9d/InmR3RRxRyau6ULvS9ZY4nXW7CDxxKrKDGqKXmRvmPc2
Mn8BySMbL+Xk9Bvf9uQBnJyzhRJonVVkd8eeGs1+FbkwXgQeSYM1Aicol/omr7kOT65NJ+XcfmEM
b9yGRZNjWIu4bJB7yObmkhsY+SjfBI/PKllnOMrNoAArP08ZbHguU1jrNRUvjtOK+ybps5e8jfjS
lfiaesrE+hCDVxh4yQmvsTMf/RDuyNFg+tccGKKx/9VMOYr7XtjGdCdkqOx7w5yQaEf8Ov2OUpeC
/jjHw/VUKd46l84lgp8bKXbg2Ccet49AQUQ3MS6yiWquob+37DCOTrTjCvNmSJI534JIqPw1YaqH
oBwrbzUnxqQfCNiJ6jmELDMyrCBalVQrO3DMLVfyHtuQCiDNy/6Sepa/J0IdPIVjLu8TTi4RGXDW
fSAS8YGbs8Mw3if1asf2gf0sv3PmLD/4XgtK2VXknae+zDbIjPNNSxJ3mYI4xjl2Wn4LVVZXaB/E
bN9GXxLoHKeS44Nj3rbTEG/QZh9MHvh108bhFrNVtmqzqn/xLV2f8ySOvtDg0+GWHWiwMysZPbki
UtGW003Bb7gcj/NEJ9gNcRE/3TuumwQHiczNr7XqhLMOE+V2V9vOFvOY51wyQzlf3KEb630WG3jE
SiyA4yrvJIWhVZLkR8MHaDhZPWbxcgICuMVfqh9HJxlgsk1+elL2HL2zzbFYhlzayH4OyokOGPWR
mbl/fK+sPDhPeBCus1tea88a922sLaTexQ1RzOKmbCjWK7Q41zNKfWF3XCzjFEGlCM+DIebvbBjJ
Y+TZ2TuyW7+v09qqd4NjpEcShaBAucrU71FUcARD2zlG+LEPGeH4eFeNCgoeknpCUJ6R8o7KcJNq
TIeNYD+MHNsvQnXBHpeoHSDGjvMdKkyzrrupfKva6a1D1mR4Z8X4lVGZRL0jyAum2spyQqJ/uJz9
g/n7n+/df73x/BLMckZdmGXZjUe3zOoOpkXbnApmqE///sv4rhNIBiqgYsUvTOZ+zosSk+5wpH5x
AGQSwSGup9r1/sXbWWSCv1Oxlrez/H4tom4AJvEF/fI6VmDYHYxdfZx1ob8nyw6PU4MbQTT5mYJ+
mMY/s35WS4cfJIV/8er28mn9+vIATzw3AECNvfuXl4+HKDWqxumOLobwHZOc7tH2c7lzl8NBj0R+
79dOvUtLd/oGXpGiWU4TcEGeZk4X7ucxw4o2DGs41UjO/fN4RT4sj0QYxupkkuzGFD1DI1oZQ5zd
tU3DUlV6hEwrsmrNSgT/ggf41zfETdiknIgPFhah+EWWmR0wShn+5OMct/To4WmNKlBOMcqalj29
hyzjvnP851+Wv76oY0rTpVyAkyl9SL98J5swjNw+DSD8x9F843gOZ+num9lEp9ibalBy/2kW/AcP
wHKl//OvjBfDzMAb5F9yXfvPV/4IbGuR+Xl3HGbyFKKx30eY/Lk5dv/iXf31SXOWBCagOkyDWD6W
P/8DWZGAkVWVdVyQS86x57lWFbJxFpbQh3/+jn4JWy4PAUFPl1skx0TApN4vvzSGzW4iZpEdO9eS
Z6U5UoR6VNEN6oejN8BqbIqQQV0y81NDe5cO2nGJ1Ig1G5F615+nv8oC0tw1OpwP4+f5sPk8K/7z
H/Uvn4llETIF7ce3S8Ay/fUnxd7bNSUSKjwG0ztWvu6uYzlyWfq3Xwc2nxCgsdFBnIUU+MfPXtaq
raNIq2MRchnA52sXMQnoLDt9vs5/tdx3id+asi0/uj9nkj+lq7f/ljlmkOd/+I38VRQs3lXz/R86
dD//5u8RZvc3QsgIcIFgCWe74Ovwu0FX8ieMkRnV/2dS+XeDrhX8Zknpeyz8nJKWdPPvEWbL/g18
c0CEORBsO2Ss/w1p8Nd+NNRKn1RzsHAjWQVpdPjlG9RmRm9hNKDcOiIyprTvP82eUVQbUQbyzvWU
D8MDg8iuMMdy55pdss067sx/+Nj+wWpl297CFf77guVR84gTOWAiLNBQHf/zJ/3DOmIKVHFjolqk
tNr2OfUnvQllEB57lKYnncbBzQh+bCE352EJyLnUBx9PxtZKRnHg/xXv6HYt92Wq8mXmZVKcyvxq
lUHhQQULxdXspvBIobm94aalQSfTbLpKapFSZGvY96ptCH7VdnH0FdEUozYwKo5RFm6NJh02jvCm
pb+uWCtTDy/4nD1710kKGBJ8Nmepl3RXYPcpt6YmnbipjdaxCeX4vTQKcoWJe0uXCCKpTJBPZvr2
vpvCzBjnZyFVB3VGU8ho1mccmFTJTOMPx+nw9KeNeFrmCiisTn/q0qG9xlmK6JeoFK8AQeUfHZPs
I7tWc8eBlMp1XFMbieV1B3O8u0bSAb5Q2NPWTBzqy6vDGBvglsDYfJncAIdC4k7ELxJLvlhIMBxb
TfuLGgIDxyiGOLh/IdE4x76hNtvY8Z+QBIJssikH1RxaLNI3EdOIY+9jNmumbFdM0cR9r9bnqTPi
Ww2zYlsNdbX1dG2na00N8W7yBrENO3faRkJ2T6I2saLEpbPBFMgFvRjEC0SacNvg3No6jUkwpHVm
3lp9nVNSDzmu4UtEVc2THjAbo8X0O+Ap4cFGhSfgbcfbuqSvxpmb/r3OE38raYi/d3MfIlAoDX0Z
KhDa9GLh2ZE2vYDDxVWMIQvjTE4QrQPNc9eb3p3nJEsZY0pj3WzGezsvuPiJBuEPYuI+dSaSpa2s
Nq6aFsza0jYzp+s2ybetbK/oevgw8Mphf8PSTHQoPjhcbDZV19S3lEZ1LzGiEmyWrgRhGTFXLAzj
h4ejcev3xXSbE3raBEyCFtdAsyPwkm4rbj/L/yXfo4bj9gBG6etsG/ZS+91Pl8jlIJrhnbs3R8e6
6rwf78zKmNd11Y+bAYj1Cv/AYlVuSBzqeV9FXXefZYIU3ZLsZIyXbOsZiDv2cnzNco6v6RQXd3j7
o61jx2Jb6EQeVW1TYKqQVeAQ0oMOIIVsaVU9Z4WDNWSxuRTILdsiyD+cgYuVNQT5E0BXEEITJa78
G+Vaq1oesILMN6Ma3SM+cGICRYReX0wB0RpYKESLgoAGVdNfjyNBeYpg4kMDpJM6r8kc93RUme0q
ZZbNdUL03FGhPtwyxZUboxoxoBT5lB8SnTmnSXmg0pCa7+LWcB5I8hDkofivmuc9mq+4+Bxg9wsp
ZOP20rpEvroLWGS29AVg+M/XmSKsE5l4c3vLid+mslEQvyGRBhkYASuYQ5gsg0nkyKlfIlb9g6Mz
eWr6vroUg9sd56IXO4OD1F3Lj72uiQUwyHad73blxyeZdOLQDVq/kcCrH1iZfWBsZfNq17QOWl5C
Y2KEOQ3CN0Mb+ECRTI9wKdYjX35cRZ7W015AkBo2KkpQ39sK8EuoQMKQBPSr26I3wbnrJkouGu8P
s2Pqt5KoBxpQ+iDNOKHClcORAiSoNp1s7eseu57lDBJ5OXx2XCO8czF4zWtbBKW9qtQSlA1iBvnf
csvX94Zd4gKyzbZ5butqJswfRncSpPUJTAf5AUdNtC0y0oGlWZyGKVffKqugu9bHcbLKVU82cHSC
dEdmBBmNZMno3CjiZCdsyKG7darg55TKNMK6XdDiq7vi5GeteHHjoDvMyRLkoLGEehLg43t4UDAn
Az+oPuKS0QH2mab7QF1YWJJz95JbgT5UsrwrlPG1Hof2UCyV24RBweBgMsAdkVmEuSYJ5nTGhPQt
81IZrKSKyhc3x90WJOQmAhPzZzjE/hr6b3FUzBwQLSCjtdgiw+xqEfK19nk4ANeTydQHN1UeWulP
aYhWP1hJ7j5GFQTCHUC+6nvLo/A9DO3iucyUcamZDKtVWLJBY4ji1fIA2FuVLMZ+ow7d56jvX9I8
MM7EyMfwbLpoeVIOs1yLjoi/GTtYZuXy/Y+4wz0U1Cgx7iqKdj3Gk/zAISUe2Apb/8h0PEvuu7Yt
j51nxY+6qTkSWKCUAcvXtrjt86D+iPIWqUfFnvyK/ue8TYM/HaFiCIZFvTwzgvN/BrlHSDC0zeRg
cAC/CRN3VCujHupHYo/yUoxLRC7NvH1v1S7ocaOWD2ko62/UO9YPLqv145TX9SEpjB4Oc2SLXZUq
X66w2o8XZw6dgyviaOu1nF0GFzdP1w/ec0tOzb9rYcr/b+rOY1dyZb3SryL0oEfNC0aQQYNGT9K7
ndu7mhC7qnbRezIY5NPry3OvBEkNDTQQ0I0DnEn5TDLiN2t9Kzvp/MkKdQD7GaGz6+bx1s7rCBJQ
aLc2jt8u/ZxUNspV16QLHPQiHoiHq0f1w7OTtrrPFjTP2yGtbpyAIkBzIawOTQg440dROTXHrRU/
JpOaPoquEa+ONTnPrEfLm7Jc7aRj6vuosOJX4u2SI1UNAE3mj11PrTVhzKwAfxYmnfYti82z8N2A
3WtgPaqZcA7RjkR3TUv97d/guUg4rJlpc6RfOyOqbMOIFx2yV+XmOuf0XdtlwW+4WhLNVC4ua3PI
BIbXKY6PeNgNphxr2mAtTN5jOrY7qG8luYSE0gGHcNYsLeR60dyfZdbiIzHBEY39cj8OwK67Nuyb
tWOXFrVYsDcmK1i4IInr+3UeMWM5g1rGEU2q0SgPPou76UTcGgp3u63JjRNZ8kLZ4L0gyUGCAkah
mvYh9JaHvMVUiCiSR2GpSSnLOqfDAt7uVDan+45NwbxmwLjxSLM6T3E/b5MajiKR0F3/0UQerOxM
zUeRyWHHhiXmOnJAfbSgTGrhF/uoXuJ7vcwwdVyeUTfpgotnAXxIY2CZuLka9zuxj6arPpjNf0UK
94+Tn6T/0enJYY+piRB18T3/pL7E1w/p1WwqM+t3K5nbB/K/MsSwGOU3xAYHV7BhHuKov5RwfR7u
EeOhds3DYp9Fyj0wHPJAkKQBUXiebq811Kd1oBjfibFstiayxYws3Jb1qa4XdeeFpX5IVGJ1Kw2s
+0wOff6ixyhZMXO090r3xTHrCZ3XSeL0W7bS87eWZeGv43rK3oOB0RoJYUikQ7bmDro7xwNlIpy6
JNkwkGZryNZGk6Q0Y/laKz85oomE2Jo2U7+OohJwncEJvTBU3LGqqi6VP9pXRDQt/LgxfzPYkOVJ
x9raZBO4u0MYRW1xAOdbXQJWEQ2kSghhNooeTwvroB0tfo597Dy4kySctyME/ZnTJlE8uCNrgsSw
smZ6zwA80qc8JmIDwDou9wKbTHmL0ariy6QUKQxjATd2ioZ+r73BOsEo+oLNEN4zlIQ9OC+y+B4r
P77PORW5/SH5rTrj0j2MYGk2uWtXd36BrL63tP3W2Gn4wAXXnmss3mcgrMMONQcSNHNzhJk6+sP6
rdjmzFruDTwzCmifnW09+SQZp431ZnkLZ8hMbrPBvl6xpMU2vvUL1T4tk4eL3AzSuWLQJ+s5XMyX
yoroceYU30uUyUyJwbCAGS3WY9F/dy6qCy+2242vRMPNGaOAVIvYKDFdo46iIJ2cs8M3tM3m3N9q
z65fG+m7W4+Lhii1NtuWaeTfzUmRvImxu7bSG3Z9Xvd7bEdonXuam0un4vzs5R2SME8W46Gmx9iE
cSKPtqvmR5ctLkFkFfnqxasny29AgfeDDnB4iSRnM5njhEyqia1EwM1EsnYNXQo32LDcF21bYmLo
xvua6ovlVBRfEvaJBy+IybkRP4niWA3D4MISzHH9m/ngWG5CL4XRbk4wqQkupBgl7oxWLI3jA0JN
ErYkAILkCKzolMweAazxOV+wO8Z+LM5VkMI4JqUJunWjEOwLbVEylr+DqY3FqtfTS8PLtHNJHll7
AQxem7kfbixAHfFMRRuRfXMOhtF9dEUZnLTdgKcUOGd8K0j3EW/7eZx9U62cugMCO1TskscCEz+7
sK1lAEvXyhyiwiNFuUsxoQ34UaYNLJS97d+WOpiuKoVaQoTpKSoFS0OZmXPHWHkDV6Kmz6rBPwi/
FLsMqATrJ9V16xL4Put7c3BxnLY2NcTi6mCtJPLk2MuKY7SUnH/g7N5E1NTWmnWPtSWC12KV1YYf
tmrcPfEn4r2D2bYO27g4NWaBhmCJmLWFcrcK9MNh0Zn8gXzceb+pzp6ogDMgJ6l+y6uoPjpVg8AC
9NdTvrQ5Z6UK4O1WXXLphiy5S8oWRx9F2y8hBC20aGD6wuv7DbxCrSx3uBiEEn0ZIXq0Uc4b7j5n
Zs+Sw7xPrZeWjOuznDWA8QnmL8Jb/2jkGN6BCgufgwgLQYWBk6U/Bay+JZr2SKo2qAgvN0EFEQf1
xsP9ljCs3BBZ85Rpk1MnVN2X8KCDwycg750W/9g78mDyxTqhO0Q/iy77OoRDfyIi6EnBmVYBOFfp
dtdavrc2SqTc3i4OVpnB+8yT6b6abHHIE/MchIR+WiWJDx32BXG7luDXR6LWa0rD9y4OP8oy3CDM
/uoYbKCKgZEeB1XydJMeHMIBiwbXTHVx80nyHHf1MQzyc6CS8hQbdzl7XYIgRAUFGAiCo+cc+UuW
FIfIrtLjNBTx3tHjs+1UINrmSq8l3MfNorGB8HDU3hHOkHdgJ5D/cjATXwA9IuWFN+sBmuKMlLZ1
SAA3btRQ2Ps4LKNdnfvR2RSq3FphTN4xe/AIbUXmkzwuI5SF/mbpA33sihzrhH8UI4nbCIEWp2y3
jUjVa9P4w8V2fecVBzXuAtb/4VYh8Fr2OckY3iqHGTuuA1BXu6VPmzcL6fsmcGhRFo90HQh3zTmp
bf3c+OVDjvEjm4HWB/qWgZyd8P58V9Bj7siNIMER7mO15YA/2Wy92k6g0qfWP2b4P9etY/KNRJRy
BxZYbzxf2r8c/n3EIYz5gATauB+jFbRH8iGCB/ZFCsiCBsnkw/eOEQVrACc7Tw8wkoFPsI/+cCB+
P0HAQ5IvTTg/lgyp5SqwvG43kGWCXp7Iy2my+ehzGPu+nsLtZFlxvGo6dSkrF3tu400XyGjBRTv1
XZxi5V3Et8s+YgVr/BSGz+Q1IS9xHua0OJZD+pN0i+8ZvofDkrKmEJetKdDWxu2hF12949q01pMq
cM9Jy96CkJ+uY64FXbaVHri52KSrg/D7zeTqDXrbHCQpK9ag5oXyyy237bc3yatVKVZ3/nJQljgr
wDoraq1dq/XnKCdQ3AbM77HlOnjuhD1fnSj5HB254Hez3pw0VPfYboYvS2Gz5ceJXqFs8Wkgjk5L
N0aJYj3j+LirnZZlKIlsPs6XSytvpDolySjmQ/LsVr05DoGFVuLBCp3FG5EQ4SbzAkjKWCupoddd
k+MKH75Hu5crzdWM6B1RWo63E7uQ9wej9dFL0mOZm3UylS+tl1JeQiFMW83SnAscp1OD9MrZF9X8
wXrb5e2x8m06AbJaFW4xPNNk97vCTe+yCONnKIaHiRjjLZik5AEz7WtWk/boG6QDorCpFwUTI19I
oKc9iPc2BVqXyoJRnnCvGF9IyCuwOOZdFm1U5W1lTzoMa2XyoYU+uTlSEPvcYLbgdayex6xcQcI6
RWEfHtJ+vHpLaLpNP44hbj8s6HFbm4+wGk7Z0uf49wXAhMYcvLYw+6FJZbUt2IQf06Efd1buiaMl
EnnIe6I7CEaPf8S5gCjoO1+0/C8OuqTpAT7bKNrfPnOulyml/ROUvseEyRBqNn1BLENDTaQFukVI
WK4kVbWaxvu4ZNwyjnXz5uASOOTZPOJpsAKEFE1zy1fW3aZt5uYi8RttaRuinfYX73lJJtLI7AX9
xeJC+c7APIBXyNhgWDiPqtBcLL+E0Dxlhi/KjsHlRYBepD+Hq7Zx0letjHvlOdvKcb6Qf9Jfsshd
UFLaTL2OSyaDLb+2/+h71zpKOkUQyDZ5kPZNq79EuJbC6TmMMuRpdbLHyYC1J2zyN6ti8t2CYYaL
zt8rtdNbXnaE2cdCMMc9T52sASUmrksV3jx5+DjQA2jMwjfvjG2BoVoaiIHtNH2qmv0/2fXJ0QMW
dVdA8d/EOrEYESN3aUHZ8p0dJuMEFz9ubiRznGz+RmX8POQbepNUOH15KX77jLqg1M0SUnJmHrM+
bsUmv83DQ9ufmKSaXY7R4D1fVH7pg7o6wTs0zbYH7oJuD5wC6EwAzPspT/IfXTYN+yF31K6m0qSg
ykcwotzI6ULYxs0KJC3OBbIU7uCoogvU3nwmEsB6iyRekqyh9dj2lhAvrKYIYpFBnvfoz8rsYnpK
MnhB4qAnAeLbJ0pyBYQHCZ2ZPf/qO156jhDKEBbeO1sbgNyFXl6+pYRso0Dw2j990lA6Rm5/mToa
pspyUOxUKsbLg4ethXm4b/HgBmvhtQKB0MjNq5sS4xA2o47iz0EG3eHZ6p0LbGz5zFoyPsF4ki8c
/NX9iFl+r+MWh6fdte1eZiWra2Nj41uhKDEINNuGqw+K0uy2yIlVi0xhXWPq/Qo8zguA/VP+KkVw
N4aK+En4Rw9ZC6dfGPc7Yon503ZEnWxk4ES/oyItIRxWn2geQb7l3aMc+xdYyOg1bwOvcZkO8OIa
HNx+fzbG5nFVDL7Q9mi01Uv1BT7ZPwSNS4x6HNlbXZPAFTMeJJ0vXx7sUZs1ewQobbMfMDa7uT4i
22VAh2R0VdYQUtKsueKGJgKjNf5+SIZXPSdoe2T3noq2BfJWVvtckre04NR4wkTb/nDjgCwXO/Kn
PdJpt12PLlyGBgwYAQovKHzCIztuyh0ScL1gPJs0Qwfrmew0S/9PSvm/cjJoTzkjKE4CZG7E6gXh
C1oPLpN+gaI2DqK6eEuEqX558FDTPSZ+YIiBKZpdPchfFfZeVOdIxExJbYw72DlD5Le+yGCJt0RD
/AgHERy8BsHzDc+7nnVBEQaCzWJFVGRHo6U4cOvSGssTjqLqNUP0d5WCx6/yrfg0msA60NhNwCOK
x+EWl21YTO38drgICnWIXnrvLEwltxqGyjHvK+sKIytkiOG+JA343SovWa90GDETy9Nk12eM8AFw
OMRRYli5t5bWvghQs6sgUtkJoB1NcZ6HTIY8jGSVeRISwiDgRh944CROiL6eZzPccHnVs81LtLLV
tOu0H27NABW2yK4z0DgSVht3ZSQK1NWSkxW3VuNiH7yqG3aSCoezkNGoux1CzZk8oV47h0TDJ0wB
OhDo8wSxT3gcyAKE3escWt5vPKpMLWvEWxQWKM5C1R9rHsPNHDRIbMEhNLuGY/FuSHrUtcuynObB
C+6CcCjWeZMRduI9ej0RW6MbfnkZiHwTXwKm3XtXQcrtZucxpC46pwkpRC0KrbJ7m8fsAxwLg9ae
PJm2Bv6QP5K2m2wWFizPHRQr+MHgih277s7AtIaNjr3kTcnMO6AKpaQxPfR5XInxIvxNmzQuRDCy
u8ohxHbwaNg13ZHfk50y3rWvEhRJtC78hrIbFQAuOsUbEFfqIka0yCuAw/Y2IJko1i5iUgEwwuM8
XblqSUHjsBIEv2iBIPbnW7wwTPe1rVybkSN8WactQ77GoJRvdpsgrvbHRh0DAyRCMGvg/RllfeE3
zU5VML8OASOqwpK7mvMN9M+NHWNpY/1aiICC75mR0DQt+hg3FakkIWqFD5V21gt9v3OBJ6feDFS3
tWHGnoBxT/p7zgVgxPHoFj+QqulfiT/Q1zE0COEtMG9Vy7lHF5ozvXXHNzX06b22DK/xDMmhZsc0
JddomTK40ANeTiYJTvhSCK8/Jrj3Oa46W39Otq9ex0Qk1b7wmVNVsaoBOBjXrakGZXEfq8Cqbq4m
FKpIIEE1+EEKdNclOOF1LEi2ZR1FGVeNMt3RUbsHfyzTZeXVDWG/vizJE8kn/QEt9hfGZGs9zODZ
R5xmJPjV2cZu5a+Cgo+F28LACjYiIxH4rsFZyyHlpKj5bzM2VX83e3VCSWmrD7xrvEv8sN3fWY7X
/3QKzHDrXkb1rhm1+p1RkO8WDSQluJlN2bKa69gRoKU0O+HOmwbCKwr1OHo3hgmJ8zworc+3Nyae
c7Aw5rN/SuZ1RmbrbdKF2rp39DefzriryO1Ae5+lBxT5T5jmWUMWkUA66aLDzqKsuAPCZ56ZrCW7
Fv37sujQXiOGLgfM4h7+ixkIIzF1nkk2vojUT0IqBr11C7s99VZRvqIEJuibqezBByZzT3pY3q/9
CJYIUQ/O2mk9qkqXmDkn9rn4TLpjo7hvJx7geAm+oN3Fu6CNsMFpt91i+ByPtazlPdmIX2HPRA/S
gCxW46Q/3WYY1z0g/m3uLg9joouNbMpwhbp1XCFEndfeUC5wqz6adJP3hCU4sr6yEQTnMrbiNW7a
jZ5zPK/EM7xVmmgVg99xO2bjRLaAwHdUdCenUnQd/tId6AKTHbrP6GlsbM760fthoiGZt9nN8G6H
eIxha7hbwwjsyc0jrB9ZpdwXlk2ouJFsP07VlJIDbZnPaBDfxcLQISdF5h6HQvlWpdwdNeZ0OKdh
isE4dPZaeUW57nDlEPDLxbCsM0BS55SxJF0HiTovyWgPT75k4bOVZRrrdYlB4azCmZIgBskGeIU7
WeX+Olocc2PriUOqRr0ns4IGjRwJNojH2YUCxMPib283tU/jgQME/WmDIIDE69Z+M2PTrRC1z0xT
dHFbzIoNbHa9JdTvhc6MKmVwuz0gAecuI7NkV8KHJx1G/mD/Fp0pRLJLQTW5LlsaGhJcvLMCXUGc
VQaQnN3fXZEl6t3HIlrG9kQ8ojMfevi5B1zLgOTBEe3ysbefkknqPUsGxpxDMzXMbuam3Q/VFD0n
2uDi4rXkd2UpSAymiwY7FA98qgASPZwQdyIaCQWy7Mqs6gWd0johMvtSLcb/M89VWezZvtADsnUz
p6kjnTlwF54eZqkv8eKO987YPFgx7m6meXetGbyjW/gwcIkRrc9xFTOMa2218BM6Pe6yRuTrcKn/
YB3BCTp5rFT82hl/F0gHdoNVRBBXCv48EGhyLygUgL2ZQ1HOhLqiqRZgX6zJX8WqSt/4fqGuttke
4ovk6mKvDkNG0LYZcmGy/sN2swSMDYGcK5BWqlu5jOkY7rC/szeu61hohp3RgwLmsVLsBMlYi/HW
AaTZz2F2Ziim3I9N6xOhlNAYdE599ivV/wWB5rJhZ079385J+jS0AfivMuudeyfmhIac9cCuYZdO
PL+lml9FofLfi1WmLxgE/N9s4MKLGslnx+KNSruLQLAGpItXnIUCdzRRVx8WC9l7onsQWlaV4KkA
uWnnTvNjCm8McBPpHMRe6jEKpmb4xQyUzkO2zn0sbUTGOHVxnULaZPFvjnVSgVPvjWuf4zLl1c4G
FkzWjXA9WBCqTfcjTKg31l6t7TPTZ24bnansV8SwkjbBnby9M4kM+JCCdVOP7TuDoc80WX5OJiy4
xr3u1ZFJcUxbBcOW6zT9EPSf78Nss9YZbXs+TMigV/QaPd0Uwu88oGfZxGGqb+jp6jGYS1JUcS3f
D2XpbyW8zAMReAR3Mekjd6GPa3dXoS4Hxr7KoolOdLDIuXTWfzU4OWOJ3eJ3eHSpILq0Fkwx4t4c
Agvl85JY2H1bIx9r19YXHzj1aeA8ekLkYa0XJv0binbzAGTcPchhiD+gzTivbT4Q5Io3iPOgsBFz
4Jze9+NtPk6wn7hmEp0tJ3cZsPAa+vXU5Zs6VTcvVsxNkELTLsGD50QlTSgcLSEv9gi+YKigh6+q
xZPEhgZYCr3Wq7ZI7P9kEBE3Qx3hWugz5AxdDkQKhOOLz2x/ndoi3Hucplv2u+XFKuSD0tWyu0Fg
V1It/nXu2pp+35ifunBarPTBFDy6LL87WiTwsnYqyieWtOEzwGTzwALb+ymDpDpbs8derbL1Kev8
eVnHcTGunToJnt2ZLePsDB89c2js0ERy3UHAyXcoabo9Vyl6l3Qe70dZPgnl5RdDzXXIwt7ZuFPw
Bio12fTQ0SklA5O9gr+vHiZtkNLbo5u9mXZhR2AFC+Km9Bag6Cx3HQ/Eusoj7ayI2jr2Sb5Pyik5
qTJlHBkFwSlT6tpEOYQipwwOVT1X0DQSvYaEV/JGmOkkGoQzhKMx3+x8v1xHwWx/4ApB9eE4zrvl
OU9BF72Gppkekg5PiR/RxeVdH2/K6RZ9ZrLHhD1hihrqQGw6708Yzuc5a5i8Fqa65jVhYlWXA1v0
p0d8tcwNaKIgVJfE8tE8OXcNlO4Dc79fQd+8uPZ8jkkYoRJTJ8JqWdrYQTweMqKDP0CkYaItynCP
c718BSHCwTWwkz5WWXUStTeemQmgCXGV2aRCtm9FzgcFtHBY0Sa3wapjUQ2P1+tvRzohmi2Bcru4
jbODtFJkHdB/1qXdNrspB5bE9TVLwE0xe1lIusUjx7TG/urmZsvNUe/YSdrnUervphPMevpYHYgx
YLRXsIq8cm4pLCjOfEJP4LKdjs0LcEVzDapoOoSkvz0hsSy2SxoxkgpF9dRSXDxNwyy3cVI2n3NB
FC2EbKPPpiSfLQnJZyN8MnrTEH9X0H+464MMDjhvPrYk1kvhe5UW86ZJa6YGSW1t8kqS/16p5JhN
+BnLxJePIvXSK8gCBuVLQmRxODnDA7OB5FcBQgtnRFO5a4dBJHIHBMtAEdwPfDeG82wBUCeMOo/g
XLr1nJsC3VbKPgHt/682Ct0ThUr8iyEhNUR2G0WRHPqY0oSXNAKjOgXDx20U9G5HqLLgX9vD5xJ5
8o3pRvqJPm25Z7bhbOMwsrZLF2bfieWKpxlc0pE0zeIlyqJky1qA9r4ilA9InP+sbGHvk7FVoMO8
5EljhovXjTsWpyHJ8j/AQfQzJAvNYmaO7tuwVWSjAeU6AGN1t1YWRSfScJ1d23PX0DxX9kNRzBMK
99a7Y2UFdqsOxpxHHjAlGwPQUSMNuFXP+XNeWz+zvgt2Xsf9ORbRKYmBDyeO6u7j1ogvVWnGijnv
DInTA6HafmohDMI5SN6kPPY52H7GM/ppWVgXE7Q8djBm/Ga3dAwymgwPLaZu8UdmQXRGodOQDwzM
hr42GpMHj+JgxzIuOpU17+HUwZmA3kP82uQzLWAbJZ/AOUZPWRjWZOhRewGOeuZ2peZR9NJcv86h
K32fXVqSn/u8MK/elCyH+WZGd61iYGdNWQvJaMzfw6yZGUZbUfIBN5SZW1hkE2MH5tvI19kLAQrP
dz60AayMN9NEk3r7IGF71w+lA8JSscfLyNlkuzM/Mw0bDkqRHjgtt9l7Y4/9H8Q1M3ipWD0vrViO
eh6LNd8baecyDU9NjqVWs6Jf86piHnTLifFJ7zNXmD2LVALG5jyWbLBLc9XpAJpODCjjcJaNYRTs
UJNRc+LO21esbp574I10zL3Cm0bEyLoPxKRoKmdwa5anuClwPeYJnwHh3eQlF159rMncu3bZ2N27
UY/3SfD3jxeEgqCz3YCPXHxz4Fh3GpLQsMVzGWD3JuljWP0vtGJZlsmCoBk9KUB5Qf2t2jraGhUV
n8Uwx6xQkAy/egX7D4X66oF47OwH3gt9hZ9FzCQq1FORa6vgRMqqx/8Wufz/R3QMgbkAwfa/GlD+
LyX86assx3/6n19l87//6fzVJ2Xa/VtYxj9+/d/18D6q9xspA623cF2FbvRf9fBEet0eXmTvyOLR
zKCU/xdgtfqbIB0QKTxwajgWN2H+PxTxjvyb9D0Grq5wMb147n+JluF6/946Y6HRR43OEOM/uCkq
OcZiBLGMUq/jEbGiiReBUSpXR6qvjZt79famcCEYxeLVXo2k3W0Z+bfn2bAuwbrZ7pCYqqtX0aXb
M9vSglvnUNwUN9YQIblqrFiws2PvswGjxioucsjIqIeZ1EakqkWfzO8Uuf3eB+G47Vs7OdRl194z
nMrf4y4Cle2zsChvNLFpLPJzGDOJrRY8nc6NOlZWSXcCNsp2ApHBF0QO7+ynzF020V/Qsv7GLwvY
zLKNhWmmGZmS/T2hJJhuzLP6L/yZj3/psowxuVXJjY8W+0xZbsxe+TLc+GnD3KbzuW016AwkBZdG
GmsXBXW0n4GvudkChyPwALJZFbHodS7zCeUGIoT6xm6jP9HIGeC5tZluNhTUy6eV4/KFrukcxI0A
l/vJjOQfB9e5j/uIA+/vzLjx70GgJTMnCBOrBNHKqsZqeVaZ3/x080VD6WisTQDjY539Rai7serq
rMrffTU373GK3tN2G/nhA8wjXVAlFTGczrxf4HUOtN1p94v0wujkjOjC9wykcxtDK3EvEzqhesW8
1XqxrNI3d4vrgxJfxiL8A64Yh7lZuInTwurORJU2X1aT5hTKrg7XVjkM29QuSI4ilJs5W8NqbT06
3bDtacAOFQDTLWmdYrOQuLBBw2hvsEFR2bHekE+eHEsaWb6Fjewcwp9SF8hTEOK2fu2dKWD2oGUL
p9XrkSMVdlnSgeZBfF96vnMMyzZ5UBLwmmjI7uXrxp/Jx9bVM/rjZH6I4K0ACWIc4PJbyoeOv+LX
iEYBBC/50KAqWIixTR4MtLGp3kUEKkgEgGV3TFxr3pWJiP7MjcffqS9DVUCWo79DRswsmej1Vj75
Xh99hfaYkyEcWfzPCAn1NlWEioZzCKaOLNFLxMZyYyN3fqxx1TI6DFEU7MaFjkiS7vyUukX8h+gk
7I5R3WxneYvRVjXZzKui6wZATtMCcw/B9kihG1j2b8iq89dCfffq8MeqTW0J5w9p5QGvNENLplBL
2bModwLb4v0hhmTVaO44aNEVobAFPC8gEIWs643RKPhChS5tJy0/cB+SFCU9MnGqeRpm491I1mRz
b4mFVc9O6ufTikUEVcSg+orIPdEGN9XAaH9PMyGtFt0348hyiVmRxpVPv2dH6iSwBfcgVsPwqTDm
l7Sh6c6iVr9cgrMONnueJxMr6NEjV9yCdPaBDwXmqAga82aImv3CfcTy26NVaOZogPpK04IJBk6A
n4cSYntf8m9dCDe9wcH4nkxUoD7NFrhTau5SIla8cGy2E6TiA/B8AM6SGGKpEV53Em7rxgzW8Aab
IvmZLtlEUDtDJ6+N5usCLPQhrXrrNMyqfGDjRYpx3FkQh1wxuz8sNgAwLn2H1W652PUF2oONKaJm
Jx1ltHGJzTADKglpp+GPvMqbLeQ470KzQMjQyAo5pYi8MDFRPwI3ZlpS3SijSIAhxw8R2OPG5+xJ
kYtrwrhFiq1dKnXE9VGfSidtEJqgbEo3gy+jS5b55jB7aNeSrrTRXzZBdFG9QD/ZWTbjN+KQexTj
xWB/qcYNXz1nZGnW9+FTvRSPc4W1PzYG26gbVAQNI8FZGTU2L57S4blsCpwCrpv+qmXinkZwbTAv
R3vvuDCridRLt4roPBwqdX4gHUURu5dMW5YR04ZXvdsSeoR1AXXfph1c6+ShCPos4h6SQMpmYa8A
1q9zRn1Xi3PvrsQLeh/2kDcSFekNu5L+SXHOP7SxRgWKF9Gwf8vbPTWp++CNbv4ieiv5Fj7QudWc
5no7BjI8L3SiBzu00wN6GDKD3dg6NWGiDgg2qxpQYm/Qb0xldherW0oNzoDlZ2yh2MryMn0qIbsd
iWh8ZPSGrIfT0iXuLQvlJ/d2eIagwAhDqdl7XGwQ+siOoaiQ21XSz/RzRSU4mDc0HcmfLMvjJ9qI
6EU2hnoemHv4E4caBMq+Y/Ufy+5rQk/0Dpyv2xh7QTyd4vNw3WHxiXYW1q7yfBfjO7Lwx9I4/qXo
Fg/R2TJddGe5kJfo4WAwieiEa7teLXY8HUOZprs4WZzjYGnGg4oksZ1vZcWT8qEeESVL7MLSJN03
LWeaXKWvly8ED4KhaL7YEqdQrdaZY8wlwdlDzmeEGNUO3MsSlPpT9nGGsNQe14tXqr0Oy/p2xgdJ
A/EQUAfsrIpoA6e5LoHHFGAJW/nt6PqWX8zxm/czGGw7WJZVOwb9r2ihrxdLJXd6aq3TEizjdxlw
JCOU0c9YZlg2+q6CXgDS90R/nn9R/DOZrEIZ38d5YsOiRsW8o5Nz1jeN0XEcXZfboPHHsz8JcdYl
FP3Qssc9gr50z7yak87i1xxTEQOibyPzkAWJt2cnmZ16L2j5NIf2NZoqlItcJ+zWZjRIpu6fJtUR
LhBE/kufhUib9QTnFa3iJgBIekZGdSXughgvbTHLX0gxW/mZ519C7tWf/y0F+n/qZ/13Cbz/j0Tu
OirAUP6fV+iHr27+qnCRf9/wrvPx9//5H+Lvv+YfVblPWIxv276vBCDM4Eb1/4dL1f0bjkwPjj9/
BCy7m3H9X6py+29BKD0P+7HvI638Nz5V6f/No5gPQyGxod9+5L/gU1U+5f2/s4fiqA5Rbij+FDug
c/gPfvZcSIhUOTvHTFvBPeX7hJBrqcod9owMr9UwfiqsBccKrVK+AmkrKTNcJCZ5S+4R6UzHrOmQ
drn8HghIs/CtHgMCvqfKvy6L7b6mpI7cTQy0j3PpZD9JKXPY/8XmWPH/A68rzXEAqIeqSQzu75xy
j7lpOw5X7AnyBVgbnKkUtBT7jEbedYFXvMhCTJsgtOWpSvDi9a2Tb0YQdcRceCV7XRTOHuzhN5Ba
/anj1XizmyS7AxayS2eGHAEGFhwabcjNB4IuyyjHPJ8WWeWBJAPAEce6CEjyjqmLUGjVMWs2p9qn
PXJYisRi47RjvgUJXT6TfuOvNNP46wiegJR0eG+Jajj8Pfvium5zS0OxThB83Z1C8nB1pXb/mboz
25EbybbsFzFBGs049KPP4VPM4wsRighxnmd+fS+qsuoqIrMkFHC7gQLqSSUl3Umn2bFz9l4bvVYc
33aN3pzyxp84fVgZYnJZAwapDdw3ZXeTZEFzgcyTnkxC1ytu1dlrq4QFdoAvMrTus1HhMZm0rNsD
HqFTJMr4MknMaqdYM5dNVZBj1TbTq5uyXZjIVTY5cIYVZPQRELhNAkzVqH0lMaZ6cfEd/EShVhkW
yhAATUyDqRn8h6bz+6cx8Oo7MMfehzHBZV1IB3EWrl6Dmdqocw66oDGXkl5jBvozxaoMFxIWTLFw
Jnt4IX+gR5HuyfAqcwD+hk46HFxIVOuqoAm+kqTGh6u8dd0VjKpRLvmNaA4E2KQkzaidcD10lOrG
ONDA7Ax6nnqO+LKq8+xoplJbe4Mqb5OR5yLLVF/WIcOvgfbDFEAEYhBvnmKGUoiVs+ZxiCzYbY7b
PtpdFD7kMH9WdandCCsqDlHXi+9o5dSCBGoxLKK2RIgT+eNwLUT0HgTOCw0h71RUE3MoVLwHkXDy
a3uEVIsmyg1jhkK1MZKzQp26ro1ugtwxUIDV454uuX2ZFniOtRjAUUZiQG/73bHDHP1a1SSWjkL2
u3nfOlYE4FxgZlgLf/B2OVQqn+rStK5718kv+6YfN6NlDXswWuo5MCsL2+bUaU92qMIHv0jiiyzu
+5fUtfTX3kMvFzDxX+W14xx6s6xXoUuQgKWuw8Eob8xuSJdum3SvtEPLBzWg5Kry1nwuSBcCjdKZ
pLmZnm0AQEQ2JKn5ghV/tTj7tXItki+lfzADBNoMb4pLNYS4qZ2iePSw2tNsTPV2J0pkIEs9LeJN
5CXYBElOXXopzVO03oZPzZWal8JE6N+AlOPz6oAOAQIa/YOVhva+xUWxsuEHnTy7ATzXROIyRKZw
KjIOVIivqn3d2RX8MDsi3RgIv3WKA5/JFJWm8YGNyfhwYEV/tJYqT4KuWEWJXE4Gmm7mvx0CReiB
NefGJU3m/p5AhQzuseXoyTJTLfWiOxruinxQOIIAPtWhNBljr1qcpyeBgWedJ6a+aSH1ZavcbnS1
KmTmOMssIpi1Me0uZLSlOefGMThTVizFz7bk/LXwBmtExaoqZpjj5Gveqkt6KvwqtFBgk5AUHBGN
oJKWAZ0ORsuIb7Que6/TyRqYtvniRVZqUIusqIPngQhmuWBBpPtsZ5HdIWUVrf08ZhLwdqCZzr2h
YzmET9Q/leSBcFDHC0oSFv3iC63XVbZtqOwNIPKh9s3PB5Fz1irspzZQqbN2OYhd6UXrnMx8nBft
3htZGFHMgFpEd7Vh3jC2W0foA6gA4WrPFpFIYhHnyAQIIKqH4QTqNSV1KxRFhf9NK899Akt4PQyN
Oax9YTC6IjwkqrZjhgQSnYXKbwkIJo6TI2ZO4edV9Te9mtxo0baEV6EfUKK5LQJdO9jVlG7wfTUV
xviA8W5U0srVfYRUCGXi9pncIEstwVPS/e/bXqJEreeshlazGMMQiIhqLDEiImxxPSNGjY39GCXW
hWE0lNY1U7PvFRkIj2hY6i1S3zGBUq562qtDmdyEKOEfkTrUp8SV3wlzr15V6N5IFIiUwkwm7QUJ
Rdam1VOX00s7vJDYhaBBtp31IhFfO7gMgdTrxDJAALcTa+sbnX3jxc7kXPmxp2VEbqRGSTe36jec
AfgC5BA22zhxG5JpMc30y4TF9x6ny3DAn+I/6DBhyVJPZL0qiBXqmdtX/YfhsKuYLseKJdwjnKdY
Lk90jGo8n9IAVtqkrbrQNLh+zNYt56lA0neHNI1QiNQWiAHx2w3LPJDwTCfP67YefND7Fjfiiawq
wEQxdPVwnYEpfELvyme2IefsaVXLjE5ViIQWyHS9JzikfITfkMqLkKl1sfRI0VVLOqcJunQdvSln
1vaZMF8kBxonRXtBcETyXmodjkn8L9MZNytvTOMZyWOUJe2BNdR41Y1mfESZj68rmzMdf2S5Q40w
OQjzn/ZxLAzts8u/v64703MXAZTora2U9lwm7FBidPT7NEPIbzDq3JL44j7406Dd64WbXEsTMB0q
OQbgQWOmJzPJAE4Qj95/sOg2lwinDaBtUdA8dJ0cm9UUmvmLFucFpyEDjGJpFuatCvFJoTOPtW8Z
QC/kjJZOk3RwcX4uhedQKtBAS145fE/FVuu6iFZlM7oo5cKcSKZIpPpTk1btbZ7p2YcdSCd9NJDc
w4gfe/uGhKLA39g9KIqqi9ARNXEeX5GRi3K4YbAFocJX/cFj/LHA6xdc901ADgYjZwyD0N5oYCTf
eFaE3U6DUzz0dcMu0DXs79KYbuIq0IpFTCO2WvilwQsSQ7u/1uw5D1yUGhbAKEYhC8XTPna04pj+
eLbt72gIui3ybFGN67i1SN/0AtVczs4xfp62qMOliAPvCdAHdg2X+BRagNxVCLXFQ1sP1nXThy4o
15DnHsGev2LYOJ0mTqwhI1lZ3xBtX9z0jkdeUKPrggGYge6198OU7HlMbtiVzXIp2eH4ZajRhpPX
GhsjN1pMuV0crqNJRxQJ4QgLSVRF5MIoD/qqk4lXFJH5g1a6qNgQ8elnqxq4I0TTlDCTBu5QIYtw
Zwy+8xqHhOmBbeFj+ag+HvD+9NzfYERvJm3/zaGe3VlJ6z4gigfNSqYzi18jzvFkRqdkVN6w0lQy
wViPaBeYsoi3qUUYDGIVfbS3OeTGo4ez+DAQ+eguJ2E3BEaEQf3Sg4lg1gva73tSuOmHx7l/T6PQ
/zY1YhyXfj25RzGYHIJN/WKcMI4t/v+eB9+G//PfyTcC5saI5d8fGo+vcR28vvcfH8Wng+M//t2f
B8cZVj73b2zLhGIOoutfB0dBMqnBKEc6yjHdH0fKf+KNjD9sHWwVB0M6kvDz+Bh/jnOcP4T147TH
mIfjgPWfEY6+BPFZLqgkG/2zDk1JOGhWZu7QT1whlfdeUJlYAK0eZ34KIayniein1QvyVzqTtk6B
iTo2qtqth0aCZAL9gaRF/ZjX3ZPZR88o8Hhzpjk3tGt3TdlckXdO4IJlzIcBLcTjUstlpZKnxpkl
Om78hEZg5XbjHnIgrfJ29l1j0xJ9dPnT0/gbbtJnpNyPL+eY8Nx15DBgouSXL4e2KcA9AJB4SKMV
yDUOL9+RnVzplr38z64k5+O/hXYVijxTOxdY/s+30dcqw+7IylvVBgMMJt6QGY5jk68MOCK/vpT5
9axPEiGtOZoQljn3IsQXKBVN2T7V6Git8Mm/2R6EWtxAjw3CeupRAxRu7i8Tq4tRAoPesTtQCbol
UYZCD2Jz7wGBtMVWhvYzf+suy9KTpsS0Uqp68rX+kFv2qwhWUhXWSln5t2pIR6RATPSGrDyO0qdB
pkIg66ZO27itL4ijhuTRIVeReNlXgTe+Wt30XJbhi1natNdjXf3mdhvzk/sZh8WXR2GvK5orULno
oXy+37AIgm7E0I5my9kGyG+NdIB5GqBCZtDm5k9FatF5xPUZEBA01yiyS9+BkH78+mH8uNDnD2Ib
sCdNWkNSOA5RBJ8e/BgMg5/6BFAkDR05/CJ01TX7yfFr+q5G8pa08UGi4QModKja6S7HOo5H0t4y
/kiAlYhrs61u50QpDr9b2vavU+S/pKOxmRJ185sPO4Mof/6wtmVR8jvQOOc+FovL5w+bYeXUYg5m
a12fyBjhVG3r/Z3s9NtSs06M9+7qNr+IXGuHAHMboq/ldI/eRJLdy8y2mgh7BGlpY91YToA1A4vE
1aKS/9hv2Ab8j/xvXtu/PF0+p4sj1CEVQrrK/NHt+nlR8ksbLpmtQdVJbgsnAsGapj2BgcNlr1qq
4Zp036inpWJRLMfV9NKVE0QURNLUg7++afM9+XLPfv4szhe4p24VRpLYibfy4MwMgNNi18D5Y9I8
Edv6t5f7sSZ9vR7NRB3hK9N8oX/5QdnmfEYgbnYF4AyrI+SbhdOg109pA4zy1iDmfYPiMF91uYaO
L7XDKyuA3qEHL/ZINE8UEajr92lCGzt7mmXFPqkNSGLvJkT7B8JcoShQaRCsGF67nOlXDTphzZyO
DBnAcFiMO2EO4XtCyw1rxVhjsT2ApmO2kGF9lrI8JqXmbzx644vCRd/VOFgN4dBPC5XCXhMwqDgq
T1e/fhCfF3OqqLmPKhAwsFeBe2Hf+/ymmXqCv4UHwXR8PUkfFfN5iBwooadfX0j89TVBYIGOggKT
C0Hc+3wlNRGrnXm802ZkcyiNPzJlIDN2yNuYZpSmWweP0dDfynK6aNrxxhzFs+ek88TGe6k8mgWq
fgdXvcj0eFcl6AKa6jTkyfbXn1P+9af5+XN+UWToALB9UZQx3CZrJmuBsLBpzkTpk8cGTQhBx6Gm
6EL6BQEOxCE7VQPKdKeAvgWaFz7HRMSGrDXO7KW5Y4LRnaq6SvFK9/GOBB5v65eW3E/MSx84Y+dY
5JpzlxM5LIsW+XVDR0oTOK2A8UdL3J5M50F4k1Ut4cD10N+0EooAAJ+WYVn+ODTRqxcUqKWLfnzB
uf4gmOSsJiqH7ymzZaatfrXx2tI/0K2dNhD2H359z/76I6LaUXIGRKKGYQf5/GjjxqXcMDN35SuP
XGVQAE23DE176xVi8+tLfQGyzj/YHzWHbSpBvrz6GiszRDqUIjN3V7jjzH3bTo9IYs1DUXGWD3oA
UGBAYBSNp9r/7ttQYHKznknhbLB9g0VnGg2Lh6KqK8Mdf/PhPot4fnw2Gh+8tSiFeJu+ln1J1Bmp
ggOwitJkP3K0VNphKu9/cwe+VircAXr+LGI21zDEPP74uSqqROy3nZUQaUOTFDzCsBuxV608RcR7
GEA/gu/V+0XxmpTqPurHa4XrFX0FEWwya3FzpAVz5jCjkz5coRwIjonWoHv2bPmbguLvPqnlSDZF
fhaIf74sLg2j1ARyjbdyrJxVJUT8g9EcUCYMaXQFIM3sja57B4cs01/fJCr5z/uL7VDFODTLFLsy
k8TP94iM1GbK/ZwsmsJ+8HqbJYbRoJtDwBI39OCWYVr+5pLG313TgsFrSZcdFjrx52u66QiDIlaM
OUpvS7QQwfdhMewLCXRZhJT2afsWxN09Lr3XKLRexSSCpad9a6rQXwZanp+dIfseIZ8xcnsZRne/
viXyLwuwg53WcSlw8XQ7vEWfP9+glQYE9EZDJduumGBvPeVtvIjXhTYqIvJ4Sg6SH1E/CBIFg307
WS91XkGIs7znqpzAZVvyRvTd9ygINimgCp/MGryT4VVvxVvwx2xVOUf9In+z2G/pMfqbjkE9js54
OxWy39PvKBfpUK/GoQXdreqPMdXv2lE+Y39YMY3fdAQeSN/r152JRfXXd8Ced/lPVcCM3dZNeByK
d4dO0uc7kIVhw2kjsFd0w+9Eqq6ZZe/sDHN9UQwJ+bA0RmsVnAoQrEvD409ynFUARus1aTo3TdXf
SFSgS10j5zuMJeLWig3eZmhGp8km83WVuoh7DLM6+viZ5igBuKS9v6mwBM2J5HR1ZL9i7k4YCg5P
y3duO5NhlQhPBklMcUL+LdOyLqLr3euIcqd2eg9mzVorynPVhquOD2roKbOs4ThE0TFOUHwNpXrt
mmalmaaPD63fNo11YpKyLTmDrAccsAv6kRMYIkRf2BdAdoAcxOnLYCYdVqMRD5tA1kswlRpdRGMv
VPGGFf4yT4CiMglsPn7zKP7yJEzKZV5NjnazKvPLytBamZfZDAlAiyxL+B/2rst3JSlLmDt+XOl/
GyP9X6SLFbQ8+OX++wbKVfvOSvJRVePP/ZM//9k/+icO8lVXKuLhOO3NQ3QWgz8H7+oPdvJ5zaRn
xxY7/z//7J+goZUzBhoYuuXCbRL/6p8YzOQFUEXXNOnXIdz9j+SwX/cNiyXKoQljQxefX9cvq7cq
XIB2RVuuEdA9e6BOabnicPRbe5n0mFzjcs71dO1jkZlvP92pvzklfS1lvl76S/UnIoPhs14TTkaE
28IPoJ0EYEaK2PvWl8ZvQw7mb/JpRWIXN0yHDhbNAinElzUZ1kvEYYtk3Y7UK9QyXoPG3kah6oh4
M9bFk05y1ZYnXa6TpGXCZHc2vncGaJ3VPiHSgegx+Q9RGl+NjX0iOmwJ/VXR1fUey1mPEJc0XzEw
HwxMI+tf3ys6bn/5+FR8Drh5KjHg8/LLayyqtLatrgTmFTespKYZETvdaBXhUHCWtWYi0K4YCe+N
zeHKbaPwVnrqUgylTvkGEFVvy6d4skj9cfRnTWZHUFpbkcfffLtTzEbDCzpf0WLo+bsi7RHfzTok
v3e2eKw5TTljeeGXQr/TMh2JEV4HxsHJaoS6Y0/XI7TbiPziTgU3UmHuG/tvNatl3AdrZuYrPIbN
0g/ja4S5N0UycvR4H2eRL8O4l4G0oC0Do3HFAMM+5ZXLIcxg8EwaS3vBgS/jnGoluJ34MgPBrLIy
zK1IhH9nxfp1piXYrV2ubJZdcmRSPb7CpqAn7UYDTb2mOogoGXBtZrq9YLOqVtJoQ3KobPqDSV/u
dAAsG+bpw0ppnruXaI6PjhNPCwlaEYOZJxEy1dm+qXPnxURngOopzC9RdcAbdAu/nek5L0PswcLq
A/GtUBNmp7bR951x6EXQn3t9ImhKd+p6A4Iy3yhLTPuM5CcMrhPd/8zYEKdYvIdh9B76wL2Yr7vo
Yst+I605DQqXcD4Ge8zPz8zl9yWCRb+j+WjzaFQ9VjsDLcGygAez61MvWiVpXZ4Mhy2oze/shOf9
6x+kYAH69Do5ihM+rzC9X5twlK9NPGLcjLJoRnImkyTzidObcnzNZQM6MIOCsZ0DDe6YrQ5H2I/a
S+ApBm+Fg4/QC8v86Njm/SCY1HdedgCJ7HwMMBNuzVhPtgw/CYZ0Z1OymcePiHDakw0/8/uPr/C/
vV39W5XYf+tUQFiMlH562n8xe1y1WfT67fOG9uOf/MvfQdedjUuYlHDgEFjY/9zQzD9YoZgE0Piy
584+S/o/lWTiD2XQp3c5LbClzT+XP+cBwmUXREPGP6RUpDsi/hMlGUbELz9M9lOL3VS4jLv53zx5
+PnM5vs+CXmZyLZt29W7yojb1yy0CiZmpndlJlp96EtYUYkm8wOcoYCeT+ZfVAMp7q4OarAFffjg
ZKN6dys9WxL2o21sQ5cr2vvDQYuzgOaNRhGvlLcHls38dphe0dxe5bBYzVaMC2tIDwys53hQB2BI
DmYWy/vZBHe/7KbwQeTy3ZN4YjuV7uManz1cV/qSpk5xWBbsvaNwwnUY2cZ9oiBuQRYKkr05yexU
xON0mQGRfIMyoM9ODOvbGIpgx/X6S7ZzbSOkhumrsKT/gMKcCG4NL6wcqWgr14tfVNomWLG4KqAR
H3oaMeXvnW52FxLD76NEM3+hZTOt38LHUmbpNVaH/DUeA5hkxphe9JUzXLYajWvQroO5APFqDLOy
or0KkLXvoJJlh9zvW9iJtRqWVibwZ6KUuR+BmfnVMNyGkemf60D2uOa6fIvj4krIrLtHZuZ/lElY
PYVWLyHwoRLIEQyi4ylxZ1cYA1Ly8W453Arm1+MDypISim5osHSU6qLlXh8IWQ2Z8jrZQ48fdhvq
urkgv4roFJ+4sLKMXskrCM+oqAJ6siETkQWk1+6W1T4920Xw4Ul6YFMYUw21VvlkhaOHCmws3sAZ
fR+j0ZlWtjs8BqKAFKnojGAeDQvDuO7wk6xDJ4qvIrt3nySQrqMxFvJgptUsvp2SdxnrWKnjmTxS
Q2Y4j5mpnbOpmLdoeslvhWrLLcrB9AJQ+LiIg6rfp7r0EKdk5Y6VHEckCUQX+C/EqRztD686GOLJ
jLgy4zH3ttbSfJ9AF1hNFP5YVCLk/pM/kquO/TxD3GMQsu1beXx2g4l5mTaN9wLezCWKhQpRe14+
4pMdz8kIYdjXO/0IHQF7Pe7rJfqhfsVIG5s1Bhr3lOLDzEEJFvVOD8i0Q4bULBLN+k63DY1Razfr
UpTuxmpKeH25GCCJ52gHXfseQ2y5cmPVbOiUYzlkO75zY3DgWE6TVyvQ6C3VoRkuFXnnUFJ8Yx1V
yLjKaRw3E77k5TC2+VIb4ehaba6TnhpSRhIKckqtfETp1drbJNLTixS9WzZU2xTI6cJGMnjyHE+C
DoCy2lgQvoZiO/ndoqBRAcQPp+SI41Pk31Qwbg1JeKyvBgcFoB5fF1hsNwUi9W2MLkySUbixjMra
ArDLaK7oznMcQpCm6ZJ1OIjL/sbKimdppd+yyV+rqT7Wmf0WdZl1NXFw3xVaJTeQLT0Wn/m/mFaO
CcS5T5bFdNPX8sbB57BIk6pZUWSOt0AOiDvrY2D+9FWAE6fvpsrPVTgNa6uBu2G0lnaTW0X7GMxG
IN2Ip20VW/olFLwGMlRmHHQyKfY5EW/rtinsj4Y22sbKUSdWrcnLRBm99khZujVpjK3lIAWLhzss
664rl7mircnvGMSAARmNWK9iePTx0V+YdsQQKabCoRDP9wN8yqWNjGfb5dF4gW5+8BdEv1gX9eRP
WzSc05XjT2rj23jkvBlbA7kZj2jF04ZXBKl1ylyseLOmyC0h8Ho2KsyxpWptFfZ0mi/fCvpyJX87
H0kc1Q1M6c2wnzHwjwRtTMsuj4tj4/bdXi8HoHlJ7+yC1M2+9SprDlRqSH7dWL/hJadPFs7xEZSD
WGMH0Zv3VpjbAjgRrNA4G1oKFxk459pn4QOw5JibqIuYzXmW/w7u/t7sSyCpgM21BGgeN4JQ0txe
sWGopy7Trtu6P48h39zDd9eFGfOJEbUm/ePoqfJT+CyJEy2jEUdCnjMW8KrERTaGw2VtVrS/a7fl
/cd6g67UCCGzKNw0iGdjMBD4nbChZSRzRRzV2gikKrAi1Iw4jKMph4/vOrfZ1A0HlbN3wwGRzS1E
M6Jz2v49hsWw63N4AqinTkEWXkemJWHQa8NmciAThDWi4YZu+xbvXLE1FSu4QpJDu5sGR5tS7bp+
cx109n1kFYC5MMDAy4sLEEHo3tDkeCmqkc7ycDhP0lvqCJ1rgnG2jV5jbNO98SWkgr/RraQ78F/H
8tshsfWfwRguhyS8I7zuLFKfZkrdL0H5k7/SwNVWiQcPeagRqqLx2g95LC8wFZRLj2/+qFLXfK7J
X1yFpRNfsEvsUFEVtz4mvu1Ytp6CRtchmUuDrHgaJts/lEgzL4kSLQ65ZjcfqSthzSvYiWU2csiI
02xTc2BHAYpPqLags6VDu7b09gm94RmX0wHOwnQ2Up9jTCDYZvE2eWTPwhgBboVDMGJRHQx9j68U
cJtZH80BCj6l8EIEKHZkZG6BwG0rmjnEBkUmmXl4OVfG1FxUjBAH1E9HIVGW87c+jHoka5mYAO5i
Uovq1sRxcyycD3sw++/EznlnWB8OPlQlDgqKWrbtejpzhK33zSt80eoDeZGzKgYyJ42YWQv2MPTB
KzvqpruUQOi7GPG/huiUFIJln4Tl9dihRxoLIL3aSLquQvWlFqEYdUjkVoRYwiO1ssywnIqx3+oi
w/bokMDe9hXwPFiqtxp4ZVxb45RuLRw0wcoM6pndzSZdOpcgLdpigc/lYQyBNBY5JYqvFx9JMQx3
BXnAWITgswBBY/cGJ+teAyF6GOzuKs86iM9ZcEbVtbFap1g0ZvtE7uU9Ysx6YWaxeU1fJd8wWBw3
bHvuKfNSTq2jnthPkULckVNW+Cp+gwC6NXN/B8P40ABoROlM2kIPW3w1yRT966w1W2O+4rZH6zxS
+cbQy12u2qsRiHCsB29saA89+US1ksjkexgjPgZi35DEo0aMYdU4Gey7VGGgGhRuJkC403gqaqkv
vRolhgmf8swUb5MocluQ+AH5dQPZgmLCtGwXJf5lQpiLVUQj9o7l1zmOP2w1zeywoYTPLgyDqlMG
Zz2Pw4M21NoKv5S5K6dav6aKG2/zKKFVicv+ynAYF6TRu/QpYNNBtoeWB70kuOoEAwn5eoDitZ55
NKoWGDkL0wXYAWHGMI1hZ2KfXeaV9hqNVrEbyyQ5oqif3YeltW4wfS7K2hpW+RSoY917xhXld7l3
7E7s8Kv6e8hkh1QbymeMqfYD+gIHS2IYmAs40Dg4m8a5qUqnuHQ9w9j2Uf7qJIBHFHBDprsp+H2y
20sNHXBdNk+lVb2W5P2syK2RUIOxxTVxtCeAQXtUYeo8ZUQdr8My0O4zWa1Saz7BqzFsl5hDtY9B
A7xPRYnIfRx9wncyXS3ctKr3VhknCITKHUcLJlt9Y3FTU//o+VpxZTtsUj5xtmaTtY8oOcqjCp3q
OQ9zYK6qJK+3skqNhccMkArFNcHSJUbACGBhMKbesvcJ5bKwcS4nJdW2IAvinvDl8lr3BfjroPRu
zKowz9BmiwtqsP4GGl/2SA463WSgG2QIqPFGaCkB9mGTvOepYW9LsE7f3aLwtkNfSJhUVNCFHckj
2s+JoDItS19DEQZH1U2RWhi9IwhJGMNb8DK0VTSrDB9qPWHLwFq6Eq3nn4EiwxM3U/1s2DSc2s43
GS/V9QyqN+ilZP5LJieDeBhbrHqtT99l2bpnDUjTw2gY2qJtemthobx5dsk3vInLKLnNGYXse8cp
2fKMsOPWC4t2QhJC44CNWtfz5poF13UkQX6ogIKtrh/agNaMRrwX5NnOW1p9mZ1l3dSHGd29Rgz8
ARoOMT6WPmuTJeOccmt6G/pgzrMxVCZksdS8IUunhr5plAe/jizqT0vB9VC4UBXb25T67kfReIKg
rmi4CEaMD5Yfhmd80OFOEci6pK1Y7nPcUuwa0t0gM3KMpQivYq3P1lh5QU6GLowuzSBOWbjRWUzV
ZaoHYtEMiqm73eCQnGCpLgqMTGTzmEcF/+k7X7Rce7BbDljmaboRLO0t+mT8rrzprUGfvXCIF11i
XvFXBsExC64yC4XwBabIgA9e4J+7OKZyNNyTKMZ4hZS/I8JbhY+kxI0ARZLnHBg4EQyRfSpaci/U
FJEFiGKKIAni2Dnko9DNPsq+2CqHeOK8cUcMO4RzFmMZPQSB0MyFPSCzDnjnVklnNQu8l8RQtZVx
lJRgy1KI7N6ngPc4y3UPvq4s5ur6bTT63kZ6G0S+WyMuY0ITuuuILCrb71lcRkpyXd+AVBjPozeV
m8bHCmOOw2Uk62/8PPHFoIs7t3mH+Gus6lXZlDZnbktuq4km7CLWMyzkJj/UxMOpXUXWZZsEz1Og
n33WzzXGLn2uDcJNXmrauis0seac5+0cpsqEiITVdVeA29MDIDFd7U5r8lYwMqsa1GsHYqbsUucS
yA8BDJNdIpvwT51t6ox6Kp3YVzz2PbYHlvYgjoRYGblXkwLhikcc78tBOktZJtGiI4HDX+YF5GgK
Xyjhx9hxeqQzXX+klwfS3dGG7pYsmOw5JSPDWph48t+Ic540gIwAIRdAjYGu6110nVaGdjNIlTbp
RQWVB/FNoDeUmao75+QunaMmMl7YAaszAi6OueCiMIfEYJ+mEKnw0tDcp5YEpgdhtHINIXni64Qj
59OUbJwLKFXG1krdZmsXvnVTZUM8c2LbCzXm6sYEE7ptO1G9WRXKZoIK2/A5z93mbUjxldRFwcvY
sXhya9yDx5iUtNfO2bkCkGVnSbhkeY3cWVTyibN0/9C1YXrblL08Q35Hl2xkwGTRpl+aPNNrsAd8
mMlpHnzRfxRJJNachMJ9oHfGJdiGcN8OnruU5hy6juGGjPBMMy7ZbY11SlgvRw5CIsdRO2oRuI44
QZVjU1gQEVZqi4RwMNRAWJko0yNeWwT39q2dDNraTUVPwZ2nJx1OqKjwJ+u+YsXq/HBHRFa8dysT
ZFST3w1W/FoV/WkaQ8jiffgexzK6sEtCDrrKXMIRwdtnDo81hx+Hdxiqygh6enyB1qHtQwbA1/9P
+p7/RWM6k+Yh2qJ/P6a7DeM4TH/uaP75T/4c0Tl/uAKjq0TBMGNpZp3HPzqajvPHrHAWOr1L1Gz8
+Z/9TOGgiuYPXIJdDTUP9v6noWn/wbCVo76JyOsfY73/wBprfJ7QoSOUeHMVkg4OZgi61JdJOpRT
PeszIXayw785zQh0Pw9PEuTK3h6AWAboBQiorPM1mX/DfdjH/j4zODuXehOsDOB5i1R0DjVtzQmP
E/9NlraAHLWiOaU2uW0/3dm/GevN/dX/mbP99fPOg6yftY/Q/5qQcIedG4JdHCUtvwLbLUIhj6pR
RyAEEeCEcM/7jZyMWfZvLv1lokjHMy2okMZd6NfhYkKtdY5Z2DZTOeRrEmjy1eQm1B8GBG+A6JdD
Vw1sVm66cmGzLiHfV7txytRMnUkXuVvSvK2CS1rNjKEK7p5lDpeJ6fknD9ncEuItYUlVpu9q+CUF
jJsqCe/jSFdsNiWJ6ouCc+xTTO7ttMJ7Wl7lQcoahqEJKYLuH+Padlh0hnCdFCLdp66enxR+t1MF
8uc5aHuqa63Ij5A8xRqmZbmpimatZ29jR64ZY5et1sBFg/FAe6439HvZ58OF3aFKSMzEwdLnh5vI
bt+iyq2RSOSihdmroMBlBEMysCH8yi8xbgWKZF0R3SvLu2zH/rrETH1R96s+0Z5knbmHJolS/Gfu
Yz0JbasIcalGSaxRYIljNPmnNMUJUtDKIdYjgjPahkA+i2TROfZrk7I/c8TIkIZFe+o0smm68XLQ
A7WpwWKuW9SopNWZzb4AnIl8jloLsP45B627GSp9V/n5XSKHvTeNdCSrYtVxfhIae2ZU7i1wybjk
iJVjrjusCvILN+EEzJYmilyLHuAq+xZYulHP13wxbDRh0VyoytJfSD7x15aP2WhGQYw0h8LrvnXN
PW/N/2XvTJYbx9Is/SptvUcYgItx0YsmCE6SSEqixg1Mcrkwzxfj0/cHj4wMdw+viM591qKssiwj
KA649x/O+Q5m7+4qmFzWvo7OVDIaL2Ov9LdjPkr0+AbEQ6vboDGpGH0qF60YBx9Tn8uon+8kKsvo
5HYISXshsmv6Nha3iYbj1wr2TmGpWxlHwd4AQeM5hFQQaIuLAK2SiQMWhkk/ivlCQwQuIvQVUim8
Psr3s2jg1kRxhkyEX/NoCmWD86BcdY5LM5x2Ezl6kcpYUMZbtc/fDbu4SOJwGlc3tzV3vBs5F1V1
160FNx4MD0HQg2GurLTfWUIOXloL2yts8DGZ7kCqIbVtcElV7V2S3vg2V7kRbC3zkXxJZuliclaY
zOl5si5ZUjQcDzI/O9qahs92iHKgS9EKVb1SQrgT1jBCgIaquioraV9NZZXeY3JX1pNt058YYAJB
UqbOqHj5FKFU7pKj5YzIeGF5gDIF4SQTFRGNom+VAUqKTtVmWJBEdOazjHsY1KZ7cJh3sYOYvZ7G
ixyhNlexJ2V07HGG0aLPa4b9/tg+zll9shcon612dxHA4gcd39cGtaFfkBeYxjotRdiAECVTOi8u
rdL4+uhu6ij/AsnCl6wI1tgSeyrcNvIYqB7dyYq2GqCqOKmhu7sHfBWn0Q4PSVDozKVrRSepY7I3
YWARJlSKsn3X0IDwuRfq/dhOm5a99p3SguuGkYl11e3HLz077ZVaNNjW8Em5b1EW8595W3s4GqA9
8HiSPdZ1AuFqlW2YYWGgiBYiYC2KHfmXxV5PcUpWqMvXTZ6at05A3lPWg5ZZRJ47YiyjhYnVLMl5
DzlrW4/Tb7ia1KG7NK7DYQGlZiXIstsOkcZoM7MZSwNXWNIPRnXv1l1zVwd5dx46IoLikly9YEj4
LyZkbvUzLa/MGvUakNCpmqZDo4vJB/B6mYpEHlLM6vwEjcdumiPM+IQrZVOI3VNHSIE+tzlCJe0g
ozArkkaWotBGoJCkCBSQb8f7cCmBE6VRtwqNmW+rzGXcsjWfcyooO5g57xLDy2cn2RWDk6x125p3
zYDAmejzT0JMdipMja1pIZFSaJh2rRu/CCbzvhEHtzbIBU+LAmUDHmdYpT15EYOSaPu8SoojPdrd
31+gFBU/X6BsUXVTo9JDkGP/JPHVCMrToLtru9Itb0uI3rs8gUYXR+bV37+Q9uOq9NtV/cMr/VRa
4KSAC6+HYteHHaa+wAWr0PYr2qISZK71bukMLUbTIDJ3OXkrG4jU3/8J4kcZwe9/AuonAycQJjO2
wz9WC2QvDEnRzswN+twmss/QFWQ1pBw4mc3wvMFDAd4hvZdzJXdpgUk7WE6SCH4+ewwSHUE3I41o
S7Z0SXOL3sRdszNbZK+Qw46mPS8JWWq8Tvos3MWBLHb6OLY+fi8OwUI9NLXq7GhlPpnAIchD4uHl
TQ7nmKMlxPH69+/3V9/t92/3JxVPYmTgxlJT2xENHNzh8hfeRGu1Ztw5e3//Uj/Kq/71ydqqoan8
L4M18I+frDYwxpLpCJa+sz+lDSR6Mo1Xgbxr3ZjV89+/2F9seHyDIIv+fLVF6v9d1afE9O5jmeg7
M+7Pc2eKJ5FH3T4Zwg8tpsOsrVSeO/IqQUHp804qI0rdtCKHGdPtjZuAdOObXLc8hplVj5uk7eSB
CT3cItL0MJLyFRLzpWJyTsy1PpXFWU0iIK8ppIRs1Pi3MUnDF68QNU5RUi/liUGd8vfv80fHwrcP
lYpfs9C8OA5vd/k5f/c203ywVIV7ZGfVJusVK1AJsNJTSjdLOce9skQo1Fn6D1/lrx7UH172p5pa
hyzeqCWTW8UweTSaJTJK42ZuoATEjaocimk8Bmwlz9lS5dgD+Om/f+O//BM4lDCUgo9x2Bf9+M4z
VRvbKo+1nYhhIbdcibHZEg5jBaBGTJrlyjqxlqPeFNYrp369+fs/4Bc/Z/f71//pyVlYBrAAQarL
rHsVbTweZRGIQ15b/LCV8B/kTUun8FMTwztVTb5jTcem99O7JcBMaWTpqDtTtMm1NoD7i8HV+n//
nn5xGvzwKj+9p1YgusjM0oCwTOM/8AaZTxDqw0T6H76+X73S8lZU3THpVv9yGFRuV8yzpe7mANv3
4GhPmeXuuWf+4R398mfy/Qv9dA7Qf3QSbaDBbcJqOR4AEBBcuwXjDUZi6sR9GkriTsKlPK6XQlmv
ZPUP/qdftMzYWW0kno6quy69+4+/1SAah9qOyRAnErPazWxhLpVuaPs4HsWuEuNDWblLVhs75xhG
qge9pvbsOsNylCtvik2CDkGrnJhUF8VVGuZPViNYkMX6IxKE8h8aZvHXH5uBMsN0sbcvf7H5089A
0fo0yOeGPw2jGsIjoG+RGm/BEKLvUeab0bVGH/XBrmujEUkmPCOaUGUDOJ/y3SzAxkDAWzd9Aduq
CHz4P5gx6GkIcZtQWNafVTWEe7Ve0JBshHH6grJik7bqJ4eZlRJLv5qJNINlXTON/IqFQltNQ53j
u+2N67Ztfy9x/iu9u0zV1//zv98+8rhYxy12ki/y+6mTjYyOYdJ3p8RfxHfbkpLiT4bbv/+Jf5vx
YSOb/KQ5iS1s+vxW/q29s0xBxpKm/zF1+mNWpZm/Ofis0Q/bOjwfS3B9/Et8pxmLYs+FtoLDa3H9
O/+J+O7HMxrFH38YwzJuBxPrmPjZ+qnbKMbNbBh8stBLpMTk85DsC5lWAwChkCB6+O6T+cWo6cdT
7Y/X4wVN5PV8Hj89OFko2hQ624Agr01WWCo/e3Cy/HJRFf/9K1GL/nAjfHstrq8FTU2tapvqTzcC
uCZdQFAbfKSMTOByk8g7zg1tz2C/ukmDsL/pQGVsM10WaKUa9wM6eX9umY8DDjG6fFUrMHzUiX6d
xha2NEbcsHkyiAXjcnHAqFtWqB06VW/fp2E2A3La7MBix+FAhMvnbLTRC5RflYA+z3JS7ZI7DcB2
YVMgXxESpJ7jDAIl8pA5wBNrG1+lFZVMHIak9yAXdJ/diH88tOKAvANGNWWQzWe3xs3AuGoKtzWc
MABEkiWMNStXNaDQflcbpCoiQ3P5Uzo7CJ44woCI6EwdOT3DzEb/6BDytVJCxd5WTChKlk8JqRGd
O9C2tgZY2ZWw++Yzp0U72CiA7JDfA2HTbFtsUucn67KkllUoTkRwAD01X8W6WZzHMaOY06VvkNyL
erx6VnLiwjlCbxNjLraFaV/jbiKOxEVgWFeUmcJVmuslFt1T2dGSlIhgjCl+Fq0VyyHjKjVTX1NY
WaBdeIYWzcJrNFKGczE5RmCxCAWwKSySZJO1rhdFRH2y3paQkl0fpfJEPKJ+SyLNqtWVuwlVHF1c
i6Z8jLYMiw1k1+5er5kIpJXg5RvY/6pGb5HELkOxhP8DTR+e9XLXZtL1+gwycBm1LEoMXly3ctT6
Drv5DuJoVzY8OkX4FurpDRpV4o6t8H0I+KlrLYIKo1C2jAhuy7QBic0nmgqaH0RK96Sah5466h9m
F1xrqb2v2fN7mZZv1YpBSYxl0dNbcRsIUnRZE38kVr5Bel17eSe3Qk0+Vd1K/TRonk3+Qx84R/wG
n6kbX+cyPIRVqnlpv9wVUX0fon6jmyFlt7+KgnQrKcGJy4DWiyXLc7BXgDMNULtcJ8KggE/IAzjV
0jzGSvlc9AnsDEFHJ4bsSnXHr1ZXJet0bKxNmvPlocsdV1DQi1UviVvuRJyyyyoE33kNdguRoT6x
5RTB+A4b8GkMdYs86gEAkEjBrwXE6YnwekqgO87CYAGptIGn21g30wCgrxVehUFabq1Gf0bpwhsI
HMzxvFw2xO8B0g04GCgacdF4yBhWRgVdLld5aUKVCRsvZb9uWuKH+WJvCWtwEfuwyVKyDE1bzoOa
1vp8kQpdddDal0HlnRZ2ft0XfA+GWr2joy9/r8H+e7n+w+WqcflwwXEp/c+LoJt4Lpu3HzZBf/5j
v1+xrvjNQNmIypvlzp+bIHdJISDT1YCE6ggWFhSVf+yCAKgKugX+h6hB7NncDX+I27XfcIFapktl
p/HPUnj/J7ugpXD9sy1BOk8jj97KYmVMBcD7/bGwHdHlFqmW97uiJ3jNTItqO5h1vm0S7Sia1t3H
Qf9C+TeuTGLF9cAKFpCz+IfLEKvJL/4OHRmnaYMXQGj5Uz8q3FApWWYzM4b4vEOwsDFEuikJBuiu
o+jKqHe1dQ7y+NjFDOqmJR5UD4ObJBolfmhx6Wr72JIrzwwWgZJaXIlkrLzYkeYqkM56sOyrSiNe
fuiRLpryduoQ4gZMhWC6qGu1e4AUfT2ZBLsGhZ/k7XlMIWukwUEXFZ4ia4OACiE7ocJJla8SM710
scBwKgCok5UKhr5b2DDEmqxU9gn+yAutSRqaDNCSz21bXZAZANuZdkkozrSe0DIgy674YFsh5HNk
AaElP0fdADBYlaPFA51rGxPJ5aTjBi0hppOK5jwp6XyHrey+ttpDG447XdiwYqHrpKRJ2/X9OJov
jszQvo7IsQ0MUUaIYn80SmcnUGmA9jo2znywRvNridzEUV+ZDT/YIS+PCY0wnTsr0LYMCHxtVNaD
rtcrHYIs9hndm2DDIl99L7P+I66FtaNA0Yi0tT51dw72ralHaKNFvqvTrl6TxXglteFGcboWBQbY
mUEDQjtZ9+gt9416h3AZRIIAd2AM9/UYnjFFbAQBanxagOCIW/djay2t4YBs8SFHy7NSFVCA7X1d
jJ8oJfZjq77MLZKsSoVyN1TP9DIbHPVXek1adT7i6Q1K5GLuAz8vUt03UC6MFYUrBjIy0Ca1P8Kl
fA6q+aq3xF1jc06PdvegCThFGoKn/NiqPcI1MHFGF67LccYhLE3hM0n20iBbu6N8TYQElSixXo1Y
bvlp1pH1EGM1WAVq8VHWZNZPUQ6kFAO9rip+nsgvqmSiGKiMWxheSwLWbG3wzB6MRq5djPzJbpr5
lKRD+tTPOfFAxm0w9v3WmQb2QSyY9iBtIBml5P65a6sudvikni04tikkUQwdlfnQGggkkB1QW1VE
Yi+3jTLM+ypMngytGHYd6hqCrpCNg7AD0w4+ctOb4mRMt41T3dgqwb4s8lalMZXXBsj2rkOU01nR
WZIB4IeJ3NEDGCuJ5mgdF2a6c6JzH2rXqBjYD+3bgjG3iVGG4+Acx5RGBEc8VTO0JUbBwQyJbijI
2lO05qZ2tYYnJ8282BI+ecYY3eN3M3M2dXpmIokVUbtlJ4jixdhk6vyoOvmuZzjWSESbDCKeGBgu
sUlbfho2+ho934uyM1a9Bjw96K1jSaZhpKPb1+eHuNfNNWr+l5iWyEtj07dwO06TALA5noD0bXV9
9IrZsa9YffpQor7Qtp61IFkeJ/1ENAU+D2meYjfcj6n7WqT1Pu7MjzKlfK9xL6qEuxt6mW/SrIAb
og4LISbZlPboIKxK7sKIRL45UE8h1bZfaOcG156KiLJxKAVCUr2dKr6hKRzWViCIomr6jTEtWXSW
eTab4JaKmDFVUV3iRYKLas2LzYhpT1u9l2AMjMl6zFmUW/w/wOqTh9eaVKVjSVJb82CjFgsK+dJN
ebWLtC7yKtt5nIfp3h7IAhzdm9GWGG6CVZ83F1VxT7OoX2RmvuqS/NoyuFan7oXUtKd0svOtrHgf
mM8npfTRoPszCTJ3k6HcuQ4fD0xP0gPxOnZG7HWYjchMLnUCcZtkZzvDHpDlTtfFdm6qT5Hm26JL
3tDxE405BfuiijClBDz5RU3UulY7X/EwP47muATFoCaCF4wVvSJ7DqM//F4yRbRi58zum84OD5Eo
2ZKuVJkBs8XUE+VBLwWp8xNJVU1zxG74VCPfZ11Y+0beEc6ct28JUFz8QIT5yOGld4NzoTgXZXCW
xPjjjAMKo409bdsmvdFLOMKh8bUOFZOsxTBba3F7DaVjpwTBTdqTxI15bGUgdV9NTQ4xSEGkFTUh
Jqox8PFnXfHo7aXWoeszlHNTEStI/UlTkSg3GMALlHTxBzYlBGHZnSopAxlO3tJ8bZlIwTdjX2qn
fmPZSHzEvpyNw9AOPnm4ViS9lCDlXUm9qU7BwTJfOpE+BHnLshe7ydSt7AE/WskhpJbBRkbBtmqs
dVW+Rm1xJJr6qW+0/Zi5a5kZVxAyd0NfQTkr0ICApsG0t1fjMViliYTael8HRFFIYzfFRxKKnqYc
DPSQ7Vx+6U6mPXeZPOlDv0tnkM+2u41lkK5ZWuxmJZrJS2kuViDfmrQLiNiiobKaJ+KI1iaZPdZA
tIWr74asYzt4Pc5inWOUIy+ouVVmcQM/e9NjpFkx9l9Uq/bZHKOvFZGGBOWWtnqKxk80A0d0gpuE
1Vejik8ZlLUvWDJ3GVmuVOPo2D9jvfiIQuMkLHkUVrOL0/BCg+2rEHdXZuM+O8m4TrpPSYgY8arn
hRnUms3RrEcewvKZR+SxnsyDnb3i3HrBlfMaKsmasLnrTu1OOAmIrTQ5XoLoBqjS06z1t9C+D/Yw
Hjt4UlOVn2ozf83DxQmtGO+uXR9pa3flON3YID5pw4WXuMTUCxI9te6tm7vnKHH9zJxZSyVf5qZ4
J5/oKlJuHOJpCnbd0CrYx0fVTWu1WB1YTycI+Amjyw+CQyEa1gbHcjezCck9Q3a+HPPtIG7mxNkP
xHPDsP/aO70vMhxvRsD9Wcot2uusZ6AZpepNuSB9M7e+Do30tiksD/3rXUcqd4TgMs7lS3RTYKNu
HxI6Y1Erm6pNjhW7XI0J9Ur08aMd4ytTZt0vAOcNydkmlncxW40DcVbth+GOV1Gc7kDiWl6jXxuo
9PBEZmyJkfO2oE9GYkpt65Gw2Hc2x4EvCapkHU3ue620Hg531JFJ/jDiPr0dZlfz0BejRlBVCpuy
ZDTaY5JimJDS1qaS+UJhmGc0vi9hMn3Rg+6p7bMtLX5OPkbz2KSs/YcEr2Djm/RqFuKQkHgoa770
UkcOhBoIw58w87u6Koj3bLeTZvp2D9IRQedgut4QjdcuOogoKMmB/MyinKD4W1m7hyF3z4GMT0l7
QH++tsiXGe/GOdqU7Qbn+qkOynat6A26hiji/oh90jbuOq6i9VR2CAK3M1ZuW38KB/Uu7lTOA2cb
h5c0Xlppc9fFxnlOnU3VdNejmt/22jkX/IDaxUn6qqgLeRi4V9kRyJe8D8AR6Uyv46oJ0diOh9Ft
NQ9P06dbPEY8m1MZHhYWSdKUu8ClkajqTSxRGE3hKnMuFgAVx5BvMWodZCLd2gxUAoWpHzrFfkql
KFdT/VhjZQMQu+/0K9dR4OdwZBmUpHihDnVu3Wv5pTfRwk/G4HVtWrswjy2STfL8IVRtxaPrjw8u
bXCH7IrSsp3Z0hfpTeVY+RfFjNBfhHO5DwLRUEM2rnwmdrN8rCXCipmUbeYmcvoscAWc3UR1EGiI
/qMfytQ3UlfdmmZC7zBbAROYzvEYH47Q3Uz1i1Vk0a0jyMhW6xDvFYd9jvS0Sh9L23V8BiTu3dwL
PklFRq851fAui6sAlZRiAnevwvKQAOvovEhN8bqhMC4wJ+2RwYc7uzHUr7yk88XO5vldyVm2ENgs
t4GaaPclCwSEJaE8OdHUHNQCp5Cq2M09/R71MYXZuOrBB9/WeSoujGxHglBr7pYkGvaq1uJH6o1w
3ymTvrGbkDtuVsZ1MGkOUAZFT1d5n7nbrqzqm6JMQp+7pvJG0533ilu1Cxg+OGRN1x7czu4R1ii0
XmPj8rkjO7qRBsFihT7dlCidqGcmlaw4YDuPMKCnLxXoi6tEWsEmtObwZIxz+YI6ySW5tagfaHR4
fpw2zN+dBFAGccjmABg7Sk5GL82LCXr6zhXqdNsObnXUBvQSvZGMp6Z0o6vJeOxJOWidnrj4WY53
QakZD4phYKEsYrB0JNwOGxSyHGXzmN02vd0dh3hm8MeF+Yqly97lZedcaQk5xQk5lOcuG+QZNVd7
yjot2efEiNFDuh1TpBgbMhGlG21COhdS1+NCqCwUHTOS6kDXvNJI8q0bgS/Ilwa7SEHL461b4B7Z
oHmaiMwn0YVElHE8vSZmph+rsRM7A6f2lTLPE2dKwbA2i8/l+DpGHYquyPQgq08nXZ+4Sat8QsnN
L3OCLttO+bZkq7nu6vmLydCUjrftIPYH/SVQrAenmE94Tl4s8oBRdO8j0uQNIuk49uOdYo1XdZxg
PCbrk4m1p6jYAAwGlebE/avaz4NS7/spUb1OM5hGc5npyZvRpP5UkkIdphvCe/2Cyo2LgSxglums
c49OaKhbGOJPEPcvegEMXXWOmdEBzZi9aLGnld22T4+62jxqmnR93LDP8wyeegpjKsrcuvRG/xCg
s64mi2gnTqI4SpnUKnsmxScnDvt9RbYZsA092+UFoNd01k+T05FcbmSI+gqfSIObOh7aTUlWStrG
5H7rpJU0ckP+mL6u/LZ76ohVkmV7haSNaaCzCbPisyrah+/mQ7/YMYhvW4Q/hy4OWw1LqCrUGAFM
gKybn4YuFnbuRJrWAB77iTY/vprHbjxhpwERqGXTQbWK+jiW4XzL+RTdDWj4LlrSJqcG8xOMbavo
0bIjxrO/PSrp8tRMy/NjLk9StDxT6fJ01ctzpn174pZnj3Te9H4Q6GNWJY9mtzyjzvK0Tstzmy1P
cPDtYR5ZgxwIi1QOYcCzPi1PvbM8/3BUQh/ZfX0DKotk7W4gc5s4QGefBOm0LrQmOOvA/zbVcrZo
yykzL+dNGHDyqDIYgR8M4kK0IueS1lKfh1Ek79WkbO/Vss3xO1vNoZobeOgz3Zi7nHT6AscLltPP
Ws5B4sqcLwqwkK/6cko2k4z3EUhQtyJpIf12mHbLuarEoe7n3w5bIhfRDadO9FpU1BmVOhFckKSu
H6G0eOxFRMMwDBzfajRYV/U0RLeGW2pfAlcZfcJ0PFElXPLfLoGyw60wLDdDu9wRwXJblMu9wUB+
+lSXu6RZbhXmOeWjttw0yrdLh2+z3IcWN1G93EnOcju1yz0V2Fm0H8fyulzusGi5zbDTPwDohTTv
zO38wZDwyrFdFwWkrrVYAOGVOVMnlyieTH+aTJuhVg4m4mVwR6Awk0BeV4UMoFJ+m35n9SQ05BRw
OmsNjAHF0W4zEsIijIp6pUfHqueXJ7J6U9G07SyF7ALPaOzgzcjNrtyhWphpbkqpbVpTtZt1LL+9
IouZHNCyQ2zBGLB34cdURKgWyaDGOZlYbw4+nas84ZDYWqjksN9rBpVCLpUCCx7ejHehVrek1+Ng
rVhj1xsc/9QldAtex3KLgVdukWIkbaZqZjX6fV3fRXSbu0ExXhryDlad2tNJzNSVMz/fKWMrRqaN
7yrBJUnqSyYjklRJ3FgvvjSgOYX0HRr2rzQxTwpyjRtBOI/fVsYD5kAqIEUnASrvU07YCExcHWZ3
zmAp1w6rcZ+Lvl0HahpfbITwK0vi2okA/sZacnHIkL9KajfdFTZldperh1Bo0i96OMEba4Q5ylgu
XfeIWUhyZFaixZ/4RBAm1jOGVSZmLAKna7S+6mrI+a8P/DA8aBTPZqeVB8zZYkMsheFBetC39UQ0
tEYe3Ar7M0nPJVbDYkAlrNbmhmEqYxW1ecs69Za6ENO+NRLarA0PVTk+loTc3w+I9U+6k0Vbg72W
swqBf1xHsCpIsQzLrSSTCk0i3kiBAXtDDCIJDkbfbnqdZ610mGsGLbxAJZxscCUw+YveJnkyjZ/j
uXg1NTSVuVk128x25BbbNMTCOev4WcUAF/J89BoNRb2sMHctViwPJwzW+MQ0Fud5TmlRqbTzZ7PG
EBgS0UNTTMsfOUH5WAZE27nTkmey9AOt21/458x9KMyMaxcDxQOiaIAh0gxQ2bsqBLApvikD+0Mj
zfKCcHXmV8CBQvjWB13MJwqjS0T4gDdqsb3owI1jVZKrUlp8dpkbfSDfNAmXb7na6zYH+1ygYJzi
92nSn4fsRTWTG5C//CJ0UrAL+zxrJQrftPi02vmOPE6LUrgj4yOTmVgpQI59mg54JY3er0XC4aip
NB6EiHJZlUZzv2RBPYBya+letS9jqQrfrJMHu8l2WsPBRdrNQGeMIYANb3SNTP5qsgf0GYLni1UX
jBOFcoCB9LHHqY3c2i7rXSz7co+9LtqFQzg/E3lKkxkK4BdjCnVrbG0SwhPZz69BnOZrkD2RZ3eZ
4hkmQy/iF6o3to1iHyqWehUNbrLPJMnsAalAZ0C/xZkMhvE94PwBIFLbO0JO5Wu/1Fb1UmWJpd5a
QClrY6nBdEXa5PKUChvGpTrjxDUenKVka5bireMT/3bx/neN9f+xxiLMgB3S/7zG+r9NV7x9id6y
/3Vu3j6+ttH3kpFlofX7v+BfCy37NyxKOisogagYHDlbpd81I64GegmUnGv+xd7k/kZNDAsN1hwY
J1tHx/XHSsv6DZ0HyzH+dURCgP76T1Za39LAf9hpqUuCg2mBcUWwZbLX+nGnVYc50Aw96vdNjAuV
HUWbnuzW7ORaBJ2cVuPYZckOPyubHbtqIolYomBfUdqRvlccI/EhxTb7OSpM64ajmmDqHqIc4X2o
BF8gFuPgCJ1xanwlb8LDXFrupjAb0CbNoEIhojPMqaaNqXpBS7KkZmkxSQScGSHnB24Sx0dkZj+2
Q2hsNGkjyneq3mfOpKM8cIz3ap5SENa1wbpaAfWQrQs9dGZvHtzh1tVA8e3GssFkq4/qpO/qER4s
IVtMDonP6p2z0Gv06kZV5cRqmVp4UyDWIVdmZCBEuiHSCi0ZKtOrlZozWMA//YxitZz9OnRcuTYM
xbgrGClnWzfIw+faIGhr6zjB9EVYijxXCcjxdsyLznOSCu+FwBb6FiXtuGcFChchr6z4BaIVsKyA
2B5vKFX1dhysJZhM/xY4VcBOMAyLZJ5C58gm1+ciLX161obQkati1gPJpqSMdzjmkJCImcZ6ZUxJ
bvpVa4sbnUDzm2FEUyLyDE/6bMTzUcR5R7nYlAKhvzHV4Qa5rnCfelnU+6nGrOZnLuYEj45Kr7fT
qClltspCRFf7uqW0OTnL55JCWRYA4pPMxtrSRrAccN+iuwisqnrWW0HpN/XLhxXtO8nqTRYVA9dQ
AmVyWVQ6qZNPJ20cC/hIhDJop9B2GIQpNm4Ywm7qtRYs6MdOHe9krH4SIjj5RZpCw2h1UuEVZCZK
RYfY1JqOd6klP4Er8ujadrRiws0wYTZgHKU0nSs4QibiR9BWHNedfd+74x49kFZ59gIeVCiIfCMJ
7tvEQdOQ9U96JZDkWMV1w+8DWI35QbW5L/qGGN6wADWj5luz5S4ekZj4YpbFTaiL4mDxs7nLiWjY
U8ukHsoLPjr8P1sGsdyFZXWAeXMdhaQ7QZVGUhE4N+xtEPQabN7gaMDIj/AW6qoRfVBIZFvHKPKn
WJrFsReYlPH4Jl7olmgd3Ah6Alm/p9SpbMaOXXnHMAQmUTFSmKbm7M8Ek4KWjNTgIczG+1TiyZpk
Gu6njkF7bdt0ERawh9gFIw26RGFmSUSnloj7mkjqTViEvcemFUxRkGHKKNi+wtHQVj3m3liT3U2d
WTN5eNRTfjKZ3SWLqnNPPdMTxISTGvy91xCBdQoiBmfmPMnGM2OxBngB3kXf9jXgq6m/Q6eJl9pW
7onh+9p1OPgHTRJqrqV+JqVE5dHaJyl5ykJH6ZYwZm0FYKV4NjS34jASF6Pn9z8htDTz4CPTMAN1
hXtmNKB+bRJwMawGrirL7iAtUEupLt6tJh0/bXhEXc7Oox4UvvlK5J6SpzP2bioEKjGCtgOTogx+
HQma0t6QCtNeJ5Fir4o2z7xcLwkMtG0YNZM5Pyv83YzOg9mPMqPeIt4ZbpwoXXhHynCfkmNnySCB
Epbbnqtm/UYfGtt3YD35KR0HQ+649TU7Y15h5fNxlmlnYIEi9xLjOaIWfHDd2kpQ0XnGwkSZWJdh
1g8AssWJZEYoguHouiR8WynrDjcyzS+ybj6rWgjW96QIj+zJNpGGpEdqLJrwn+VnE/cUa+1WJ6VU
pO9lVRQbajWGiyHuwbMh1ZApNvsnfglLNUoGG7OO2nkayDv+IBV8iP9B6YCC8ielA32/aqH4w0Sh
G2DmF+3ud4L/knCzKInUaO/obU86mDbk7Ljjcjq1oCMehlIanHElRrBBgHtfFahwL0WtTJgqM+2j
CxE5X0/loGl+Khn6KzqeAXLs+PY9Ejm5pgZ1wPgCe8qpfR23O54vwNl7s8ud4TQaWYO9JZ2Hx9YS
6d1kq4WgW3Ct3ryqCJ68mecuPUOy44gCvQNELkGg4Eldtu+K0OEUmpH1lLZTSb2aMhiybTAhK7TA
EAaYyg43IAHb/TCwIes436+Q342bLCIqcSaPc2eOtntAyDUwm+kgFGZk84RuIB/RbldrCx/UqsGx
yt/YYwuQ1CEgu8xkY4/cW9IpHfbRcwWZAwfRzrFIi89Z8g6M5xGysmobHTSGzDzM/No2CGt32ZbD
qgXD4tj2dGhb3dhnYUmly3xVuUtTC7UGrcIpn1pxboFc3bNU9JEdpnDk8JNoxczquk+08pS7uUmw
PHnCprTMp0KpBA2dU2NFq6tNJGEUheqE9lkldkfAB49MZ1kQvRbJdNW78o0eesuUCQYAACxWIO99
39y5iuZcl1pEYqcyo7xLkvaOeTBqwZIPjnrDK7pFIFYOdOf4COM3rf5/5J3ZbtzI2mVf5X8BGiSD
ZJBAoy8ykzkpNcuyrBtCtmzO8xBBPn0vqk7hlN1nvGw0UKiC4bIlZTIjvmHvtV1mGxhYqeunM+30
g61G+IOwhzarYPiOZvYowfWeuFZy4Fhe8dxJcoDg7Yj2tMiRMdrc9FPYxJhng7KrXrIZtLtpN99Q
2bKc7Bz0hUtQHS2ezdsWV+NjGrvfZe3ohzrhkyfUON70A0qcveEnvbH1UZgyJ2I0iFt8QmD3TuJt
81I4HlsJP5cBon1nglq0NJPNoey6+kuwaIv0kNJs3sCz5F8HglOXR9oImzTIRhId5AVx+9UScXLj
N4O4SZPK+6Yy+sG8mUYRxhhWv00JA71t6U2o5hBnACDE2yMTSdZRmXmPQhjDd1HYARbtoHy0Qa8l
IYKX5YC+YKL/Ht1rXOvd9UhSLxP+FN6MW/rxg+kMzjVqWiqClkXpMLIb9xzM1Z7HQrjNsbE5qSAM
QHIocZ3o2Doqsy3OqWKEzruJ6n7TF0b+oKpWKRamDdsas8tTc5sX5YCmhIKjDznsWJrkWje7mBOr
oYNbxna7RlzeII8MeDntjGufJjyE0tg+MG5FjWRazo+x9sYjpRdbp1mQEiGalmh62CDkEdJxHpuZ
NPSz9lNfh2hAq2emWPl1PufipnbKCSlRELyMtI1PKXnD+7aL4ofFgJm7EWZXPfJt5E/WsvDutilX
00Ji89nzFcLM1nHrrcvw55LkxQR8LmiRUbCbCu3O/jo3FcMsNC3IVec8+1rAvHqZI/VzakbDRL89
TUfLrPY2SC5OLDdzD3k+61cMwB26GBIGaGYrv3zrzWR6tJrCeYm0xNBsl1MEerUHZ0qK6LQcJ78U
r0sOyJlLiVDWIc0eUisK3pq+1U+Wo6tLht6MXVJlAwSnCseYmJlE4zomwGeo9flIvPPifR89JwOf
OA7shQnr1iHpuCP3Kp262jp6mF9NvzMYIjUI4KooE8GGUJz8ynCy9toZpdqZuMTfzbJbUj5zvf8F
o3JHimNgG+KqJjmSTsM24xd7RNqAvwnWIl6JrvM2xBDYX/2uKx9dBVhOsagiv7KNUVmjCtj1TlQF
W5dJjkDBRrIoh14/7syZQAFE1wTBblyt7FcGZTNbUkcl3+asxmxcRsV03WQLIjk7AptX5LJfrnxq
bBMcdnw1a44XJFeDfEeRYl2i1BvPSWZ3+YFE9eV5ADnXhNaAQdeNNXQrEhbuUCv532ptDYwpaKH0
+kjSPOWEG3RBzIeQyCPAmT6AKVLu4sq7LFODV4a0dvofXcLHG4aYOCby/+K7geny02Cmxu2caQ57
aSYOp/hSGD9RjJBl25d2AGalN92bJUCww5Uhput2qUa4O0J8iw3UHHse+fYHNuX8ZLUEWGxrZncv
lU7jgMwcyaKLfuOnna75P2VctGE5pHDk2lTqMMKhO8HpzNtnC2PsimHRZViw/ag3XKIqDHJ/hlkE
ForFQrIMVz0omtuMCM4HXp/qRjFZgyHTd19LEGqhz3ARSyTFCxuztG2+lkNNsnPpD9BQIwO1kRUr
feocQx1EyQmwy1zXgtQoa57HrNH1LS7+9HZkAnxsDcGiWjl4arsKg9yW5C0yhqCzYoNIUgfhcdUN
wXNRpWzN3Fp+tvDofKOPYbNKiJpDZjJ6eIiAUdrddLOerW06BPpu7tSLbZqPkzG0TyWT1TQcdVXD
MzLN+o7suuQ4Lbb7hnAfhdI4F8MNE3V9atmcho22+5exFf1PHaPE2jHG8R9rU5ePi5PFz7MquIny
SSIH7IiG3y7ST0BjWVW+pxA2ruMafMB+bIzqlMQZE2/y1T934MfP0GtJvIYgbGZ4vHBGgvf11Q1E
iu5W+hovMT6BBy8tUaRKpz9Jb/K/QlPWjx3llt4hWoxOtEpevLe0KBAQeWW3x41Q7paRp3NrY/WU
ty17Fj5ADD62ACnng9kq8QaltTuNrVnfADnVGxXIudw4nbNK7pyGCizpO9R9QWvoO6MD6JEWrvou
RTy8k0xOLvWY+SXj8XFaK1bOiTfa2QnZfTWQ/uh67Q5sJzA87SpJWZTNz7HKCpQMixEQvRI0yMsE
USy4dye4tZuWDzZpppjddwYwuFO2jMOTw1rPQoaha0ozNsbsHcmV2liW0177hqMPRYv9YvRH/dLU
RKfdlmyOeYa79dxsUnMWjMo5j9pBD+UdbleqgIlOOD3o1pmpLyQ8pCKgKprRXtWhYB3Iw1wEy6Zp
hxiBySKueh+WUui3ekFLX0Li2oGZ7a76rGhNhPcACc6qmIz4xN6iS8KIJOXXJqBsM8cMFUYbtD/c
XPknpGXVF9fNk+egmkaATbapDso0rBPDQEQmnh5Pc8UknvH9+DO3gLihP3KIcUnLqmCdxJ6XBJSo
36NBNA5cSSsBeKaPM2nGSlvS5scMUzZlLN3vjox7xERB4z4hASnCyqaJjAPvLFPiiOeiEGEFk+tx
0rN5UzCd2dnEGm+CqIeoSVJw/dB7QfS9XliXpG7XPhamnrmz+35EFDcY9IuDSB8gY8k9rOXiixMY
000BROSpbmR1onVcrRZGbd6mUvm7oGqi674w3fPEB54Eakr/zijmI/gB5shkj/+sUc7dunbnPvHY
UwlnzhmBmThpKxpe4mFyrhhbL1dyAZmYuGI8sUuu2LCI6mDn7aaX7iM1eXevpGblHsfOJRlFfUST
5n01eee+kfgO2mEyEVCloAujxcovzVild72ct4ypmMf3Zcka2WbO0Ed2/NN3ks+RNtYFMuzsrhAH
ajuiuugzw1m43WVohq/BhJ2mzXvF8jvowqRuc4KkIL8Fi/8l4MC6rpJGndw+/Q7jPVqnFTlU2mwl
bLrUA/Z4thOiB/ByF1eRnwHrqJJ0G1u6QG6rqusF0NmGIO2Ob7Loj2gBh+OQZTj8B7Zf/Dz9XqYO
lqTgENRcnn8Zjv6DHe6HLv7vK1wyvNjcssN1PASulmV5v+nVDY7fSnGQnIBKAu6q1irNh+9506gK
jYrLIzRvpSdJTAZfsUdrJ0+qxFTy774R8ZtFju8EarrjrrNV/iM+6PV/6Se7MWqRWEp9mrHNZFM/
fEsCoZZ7VrBBf+v7leXd5WYuRVgspXqY5pr+jxX0YIXzxOc7caZnUIkuc7KZnEJyEQPmZ+gSyvbN
cxfp7JzecL+0g13cIVjilfdE8eK34AXEx0CuVJP1TVa6gkRI1/iF8Qdgi2EQj/akjO9dQgB5Pvrx
Z2mKcYVLxenLkLK744hzrgMzZSjgT+YXH+4kGORE30OuAdfJJDYI5wWFpEPixk7MCDeZcca3qu7q
7YBV7UEC1gWYqcX1WMRch3gF90IXL7aozfvBjtHVWch11qGlXMeXzcckc9IDJ6Rh5HYSMnJ1H5qP
sWf8MQKVrm3+bD4Go7bTynfpe/6ddvPuAci09YXFfttuWpxNjL/Wgl0P7giVN0ZnmY6F/hwkgue0
+KjuWdVQ6QcfVb/+6ACITpy/u1XH2WlO/m320SdYQy2OkeZGG/o2sA/io51gmuS9gZ4Dj8pW+2RE
9ufYncdTo7sYMA6T0HyZEc1lQS03xtqzTB/ti792MuXa03hrd+OvfQ7+5SEJ/YX7OavnYJNZio5o
7Y38tUvChAjJvyndg912zCjXieiW08T4Vnw0WXrtt2AjeN+CtQez125sNhhvt1AC5y2zHNq1Jkjs
5dFz+/yraxfNG6AMkjSreYBEB4CBF8mtC/dmWOgvDwrGjscfaZuXLmq86t1IvDENE3eMfw5irNu7
f/15tT+G/r98YCVWS5Agrs1+wiLv6Nexy1h5GYt+rpOUWuu6MXR8qRW8+L4T+akqTf/U+uCQ0XfV
UUgswK1fIHNONLBVNNdKn70hbpmmLUa8YwIA970qc/VA11NXO4c56UtXTtCO41S0j44ilaSxQcTE
c6pCT+rbsohuVaFWdJqypotFyN3AQkFH37GDib2XNt7JS9r83g5czUjfA2zlWY+kDKNYj+4CiBSX
OIpHJsARZOD4kc+4uDGJhqcxC3B1O+bEiWcCTmBeN3JlozM4JmnrTpvBo0Dl7jCPUyOLO8/LzDtR
W5MT1mz2nixJHk48ISKFjIFiCIaQYvY25/0Nh0t753e93vdUMgNop8bAW+qIYApdXeTnpTWBxo9W
5zEy9JrqXY5r/lLujxSS7nBnBxOWnFhFu1pgGnXcBctEqyfy5QsZfU3YKnzVLibzrSprgi6HPDmk
Jbt/bl1HsrPIBnhj6Dwqf4UtOp7y+Pk6T0Phzab3MgrArLHmjpCqeRWRwX0wZ7uEcKNqI8cpOEJ2
jO6jKUi+lRagqQERbRhFFURLJiNMClIcmqk7nYvMV1vbTK0bRosLTyVFZ5GhO82DxHgNKpjt/HXD
1jL86iFPMx+Xjtu0nxFW8wmIhb+ZgH6B0mgm1v3jyJW2uNN+lu3wdbKt9InAUfu5zcrqGJmLmWzr
qeVo0iq7X/ohBqLkiCuXU2qLX2wIkeWsIOJE3snEyj5XZp9ziiaBjYyAV+acCtMpaGK86DLni3nw
ZIIDBqSkuDRl/RgEqtlPBQMKLEncREvSO/cewqlrxRIWd0ZnIrNGbodwpcpX/2+zLpGsj32SNehx
2UYfeyZzXTl1THWXbdysm6ioL9hKBemc5SExHN9g9rO1Cthf2R+brF64uChsJZ9hqrPpqsDeYCFJ
Fd1nyuldEQKSN19jpnsp9hHPim+WprHMcL3H3p1R6Y7u20bwP6zbtqye1LhpOs2/6QyEd50SEHHq
iiULkexYp9ZuB+rq1qG5HoOFUdMQIK86Zr7Xz2xKxtbddalVX4lRUE+0HzNdvY53gea8QIB2/c2A
ODZAuAAYDiVMxmZIpgCkl+Wkp0DuG6se1++637vsSa90woqoN2r3iKygf/vXB9VvBnT84BaFBYcU
ITjCwn3/6zFlMpnPGYnKUxC7N3Fw2+bdpZnuP77If7UI/89CiJ7qkn/+1/o3f6+bmTDLZPjfv/6y
/+PX5Fiv5IFffhFWQK7m+/FHNz/86NH3/+lUXP/P//Q3/4YuePrXHAReeHwfazD8P99xX/+IWXC/
zbwlf8ch/P0P/m23bX/Ci08QERtstg1ADv7cbfsB0AOXPCHAmSB3P37nT7+m98n0+OpsbX2Mu1B9
/r7cdj+ZtsmWnP4OLAJxRf/NctsWv/KCKDw9c31AgBP4bA/k72FEY5QM7Fild+yCzonJJMk5C32k
FeSnBGnyrvOiOA8epcnJFd746FizD5FQEa5A6l4kPrdZxr5v8Lx817Ak0ZsyJZ1s66pBt4cSaOLn
YN2wQnUxaR0NznAB3VZspQ583E+OkwVHJF5+fjBnv20upgEhEmE8Vi83TmKmH3ycerLPgIajd9li
GjOeWFq3V/4ooUU6kNWIXQ9CywRrBMT8wVw68IRAlee5RgaSNy14gH7qvrfMRSlHRM8Vww8bX8ys
DwZ6cWu5uEkPJVA5qER58vwD7PHyKMcO/4Sd2sfI9Un+cBeBG2Vmjeyg4quMGRpxWcxw2BMRPPl1
4B+UlStk4kWwzeZy2giExfQhpOwWY0BBm3hbe3Ls5nmqfTUiJtaN3LR9/WAFBqBF1aTzmuZMr3Cx
SWxBCl+p6Z7UOCYucVU78aVNByT5kT+xnteqQNQeVHgdd70VrfNeQ0BEY54LdyG2Zo6sYmIfcL9Y
7K5uuxgd073FnoKdndlG3ZEIjS5C7+hby2lkrg+EflIBbU4WWVM4ApVY9mJKipepsFuofGWHYcta
fN9ncGJDQ8YVBeVbQGUb95HXTwc5mMm7WYPa3JZNGRyqbrSe3UhhvYnNOEYv2/8MuAdHA9wo+Db7
UndzkzMfNo6GhkZKewk+zYzulK6gsLdqYL6ny+BadApGZpuSWpObe88sIKAWUYYpy6XL752qfxfl
JI81iqT0kOI+sHZFTfgOKxn/yZUZq4kZOfm8K9PBfywsY76oKCXdjht7haUUj0M+t7tRMB+kyUtg
KYj6DC+egVQfxKGZ+uexm9cuwlqeIiZk+6mt3TMFkCAZEthBZeFcAwSY133/ODsZZa/l9bcQwqM9
iKYY7KrAUcTObMYRUScS6AZlX3yA51pcVqYXS0vRscksykvXkt6ztujpE0/rCPVeMNUDfTerzRyk
2WmOc9VsCJQiJMVCEgad58S8NL8NfFzWJAoQVEPuMQYdBm3YJ2altblZDEU1161tfYnzLU3L+3aG
rsroKAR8uzxTCKXvNF0q7HzZPJZj3B9kMma87tl88ACyfpXBwNbLWMbrZph/1OOIibmZ7RIZXAQF
zwBP4UHGy18o77xHVSPkA1CYy9dmZvaLItJzTutAZ68Rz5CC0IjQM+wxdKd23Jtt1+I5kQpLm0sZ
aOHcLsj6RuwXF8ciMM4mhQonTKmvEQKNL5HZY+jq4+IuDkR77qEennFTBZhZWkSnaiJJ87+/8f7x
XfbLzfafXYr/D3Gsud1MKVaU9D+/Fndv793b/7xV7/9z8xa/df9zfJt+FOlvd+Tf/pY/7kgpPq1J
fSYDB+nA6/9LAK39ibhwJ+BrMiChy0J79ecdaX4Swg0Cn1Q+rlH7L1ek+ckUtsc0xeSg/AAh/Fko
/G0UQ43B+0SJ8Q9GM7/NQxCZcRVzBQcm3wkykN/E9Rl4IBIZiihUrFkz8jo9J9mjNQcB4hz+8jr9
gy9l/XYZ87MTzWNZcAqBE4Fl+O1rxcSf1Q0WRtJW6v0kp4e5bI99LvdV7e6XoP1amu52UF8CsTfk
cksmk7lNxAuzCiDw+koXDVE79vHffFe/1ZB/fFfCXssEvr0P4d9fFQZRk9aBV7ZR2CRzOOBMLjw1
ED8m9xYTloUlmjTKrQcQxQfEw0x8N0e45SJMKu6w5bL7o9z8p+8IW4NfNQ/rd+TbUA6pOHhP/i/U
UZnIxiCHLwr7ZUwO9MWnuHKdBwQ30a1OWJI2rlHcNsU0dhBUlnNaY5ojgBY3Wz45qxLv1egq9z4a
rIJC3o+uHCc9MVIlfWNkNFSpV6m/F+RuT3TVXl1dexgPQexxP2GSJrIONjFAxVD0mICTAHtQiu91
2bWsuivbvTZbEokaVPNOtcsKplLsBMckPXvGA7FtD0tU7mzGwU47sfIkHJfJBlTnTWXa59ij9yR/
tPfsI0PpTdu9oNY5GQDglumbUV2hzaFxVeLccLnbzjEPyCCYvkxj3mw6Ao+2jZYnZyDpfjyBvGEY
Wx8E6WxlTx7FEN/j6E1ldlP47nYxl63vzmGJ+cpNBti6YGmjYgVXPJZTdRZCgpQVQDQIFBrLYd9m
PrlEbCoonnc2jjkDt/zodNcT8SW9+KlZWiLrZl6lANSBfmprJAJfSKI/o7Xbyop1GonEIz4/MlT2
DGO3JBMdOzKz4qLn5eHLBM6uadVD3bloE2kqDSh5A2DhRU076WriAlGqt98SeWtX7aViF5mmVE6r
KdkMzo3DJ3PyQzNDoJQ+5oCMjO6G3f+eafHblEWh43yDtv7a99+RwiC8bNFQBrc9oMxgvks7vBvQ
kUpf7tkJbeOoH2/MwG0esRe/xtD3rhECOjs55rcGLo4He0HssY15tOwhwmhZOvX39doBNg7oe8sM
J8MAWRU/CLRP7u0lrt8CkUq2ju76oYm8Dcvl5CSV8yit0f7s5fYE2Dwev4IqA5stghh7iKQiQfsZ
P5dNXoEeFtEG0R+CMjtHnLSJ0OI8+gyF91Qbcjd0LGQ2lUJSynfh6TeX2PpjRaymgxdziq+TqUkv
NLC3btd7990yyYfBLv8GxPyv2sL/Ly9JDiV8YCuA7Z/fkp8HvOdvecI9+cvV+Pc/+8fd6FufTAdO
JH8jraLJTfdn/yjlJxcAs821+Wvyg7A+OYiebSCotPyBt/Z0f0qj/U/8BouRPzpOiF//TffIeuG3
g9gSMPQsV3JFOn4APuDX8UISzU3HIW0f4swtUUxxM4CdcGsDpa903/o5AkYG8HXTNrm5ZXRc6a2Z
z569F04/7JUr1QV2TQqsixxVcBjtNmk+j0u1qyb0yFLm7i7x2uIkh2b6lqTjcDIzBtl4eGLSG4Ol
EkipfBcX6Vz6+dZnYvkQFRbWlqFdbm3RQFdrWeVkSJ4AqI1+ssEDqkMzV0eGrt2PuJuYt8mVEhCU
abArAsu/MYcxvcS+zUrDJjLXkGO7L22RhM5QpgT7Zf4VVPhgSzxpt20hKxywHQbvGbszdubtbFIg
RM6hnkfzUS5peps3XnvgnZG7UuhcbpxBLWccFfbOhOC5txdZQbJBRpZumDW+FSBugR3ExOyVfstd
Gk9zrmBSTKzs3NG/V0WGdKhtWKz7TvPNLIv2htzWi7N4ryTUXi91mm1ypzguc3GZJrbD7nyfGEif
XWe84xgmGq/pdtqR6Mq69EDsOoJdYAREOxpeUWxjo2xoYzXE4ySPvKeBrZGm3Zoic8eJcw/L+ApZ
KJmjPkFwUeUiSEBLN+5XxBhdTtCZ+GNHu34zhDHjCOyi1wA9Bjtnv7lbeotgVIIaPFITSEjosrnH
3WGY19zeBeadQSDZ9IecEIXAyk9eqSXxRlhAinicPmOA9liEgdJHlbRgVhOGdTGlb5xquzW+92KI
AIO4xAPwpIGpq5T8ogrPvqpQyrC6TcR2AdBCShTQh/fUU11o8lQeg6ReaXduUh3M2q1eJ9f2SCX1
TQh9Zvata+qvAyTBr0GwyIMsq/yhzB0IijOkACaSBevwxLxUaSsvWQHdp7W8BPiavtDmx5fJ1NW+
a4VxDEyVH6CE2/cSfTTilLSssQDnPNFuDhLAisYbv0ry60KTbYHIBngMiCGL9LwOPTPaDvk8SDux
t32gklPdpvMjyhR9KlVv3dlkIjgI2ZrpTbi+IpHdc1C89xme2GV4VWWkLsh/+iPFrnjqTd9INr6q
1a0wsu618CKkxnm29O120obb3hD7SuEQqdJYY+mBCco8N1DhKuSgkfIhkwy5PmD35svgcFB3k+eV
zw5AaKylBm9Fm2uZhH0MZhfhtqiRKjCAEf1UnmVmR6GBf/eW4wL0D4kG6Q2hwwFORae4U8MyXCbS
wu+0NYHZs3F6PjKUtc5OPpAX4rRW/d1k+HprDjAVN7aV2XhwW4AkWpodRgBpXJVRjkZfWaq2+KJV
dmsvorqOpiW/6zsFnSLSJCUUFqgV9MVHKRVb/sFQzb3fqOjWl05zSUqfkIAGThErcIJVKZp6ptRe
kV7sLMLxXs/exUp6fYVAKznQngyXymzUdUIj/0r+BHoeACFAIez5c4N8AfVVI6InqysZedtLfYgU
EyWmD92jWzV6lzoT/NaCGFWJfBwxuipzwPKFukcQqe9nl/kaH7hu2DaIU3YcqaihhyOhZd1R1lNy
yeEiHIOcTcQgjfbO8oLyLnUlOBG2T9COzPqHEk1MtqmuGW8tvvEo59G+nXrbfSb3zyB6tFHZFRsT
gkYGmV0xQ+SRroT4yYTfx4Simme3Nq2dwQrxOSVHi4cCOOcGRdESCmuGjUJFTnmeJ3uzTxQ8iLjf
tk6XYV7o7fjRkWW0TxJ/QDLuq/lU55W4xCURtHPpuQe8I35oYZnfxVYGBwkZ70sFcH/f9vb40AaY
g/lldGoGJV9SBTyyjLtkP1AW3tgeddvkFSuKh1GYY9nlK9rl4DXwyZbGwpoebG2w31nwSeSZN4Rr
1pWH+lzapy6f2tDCVehs3SJPzjk+0DP775Yi3e9ORAcidKGGBJKWfgec4W+9qj835JQdJLcaiLDX
RhDpA99MPhBfA4yVXDJWo/ETSYLTj6o3wTB1Qh+GbiVWydFurdAjblQiwUkAeaERUntjFl68HTrR
XBppDNvFQV7SjeibC58RWURy6dHNWDiVeDgc8dLBbSDXxri26ulYxtBEZRpfawSBR47qkGD0altm
dJRBU3bh0FndFvlD1YRdR3zaxjJdUZxzMfQmvsihZKI1VqyUkhHQ3JAVJ0ZA689ixVXYobrbJF33
ajLCPk5jTbacrwS0usWkd+hI596Njr2EdqvcfRWgDCWtwi3DEaXWUVsNPQe4H0ZSOtio7EEulO9F
OfZ3Zs99hsYhB/6BeLj15/KsG14esNPuU2kilVx041wzrhXwSaJmZ/XVfGUp+zCIZTmyn1oOFZiZ
F0tH7+swuyijt0TL/qhKIGN+ZRzx5G8GJ962bo22y3LqrXYM8QDRajw7WW0+Yh9EJNcZQCASycp5
gy+MnZabmM7Oq7S1L9HSJXhPjJ866ryzZdfdM5+P9iL9ZjyyvV0VQmP9TsbddPTtRp4Hu1neoJ+B
RkqquygHT1YU80JCaxk98gaUvKa2zzgw7/w330b07fRtcmPFkGj4HwWqIG0dGnOp7xBpmReIA+WL
mkzEVtAgSNYzJlhKyoaCY3sDY76AQcvP0hACiaARMH3MHcLDBeLQNPZVGlpk/DgHdpzJqQLU+oCA
mVVmoh2QKwzlTEJsKw9GTVDVD9QXaXVdxIYBprYsmJFzDGyTk9kzCt7ZBNar20Dr7syUt6CrFumP
khMHMgULVsIPiPXphZd+FmWZhRnl7tbPLeupl1Ox1zYtHL+W4lhGSboXGcksyMcYm6Pl2La+nR7N
MrVDBLHNQ6/U7arQrxqm37rrT12t692IhYikSZ1vBkqLbU8k0ZaeUr+rVOufcBDee/RVrygd37xm
IkfPdeL6NjDilTg4wo+TabqtaqEuUnQFxSqMvsWxO7SwM0LsHpiOKrieenMUZ9H6T/aigOiRkYoh
wliTsKt+l/Soc8ggjTHSutU+6cf0KqsqdTtYkXGAumowXi6HA1tGj6lI5RFbO0fvvmiZ5nRdfKiS
RfA2jOVT6tYsJoUf35llQljxMg17A4AYlKHCe4xl3F1ExdW5zewl27nOUBBaNgXxeTbktO/lALNG
y/ablU069DF/3ZVpN4ZQfeW244jagA50iaVM861RRKjeW1QIUSHGdKt8ctmSNNVuuBSiDV2sNDVR
oUqGSWQm+2yQUUx1pQyg0bVzJf1uCq1OExGg0RdEQ5CEeK3d69Gwo6M7OzlgMGWh/AW43dgME3J0
9ae0iOo7SVKotRm9hY1vbBrpi5t2w7FVefNg4hHZaTuF5pISAoZf3Hnmoiv4/JERvatSzw4dpM1n
VKr+UUZQpkYWyj/9Kvevvd4tPk95RXrzUJlha0pInjmO7qCdnT17ABODWoPoMY8Crpq5gt275GKX
mpW+9OZw75r9njrVvOSSvbBfdF+MqN6R8ZjcTLPxtZqwRou4dj+LCoe453eINGuaFnxT/baxTX1u
GKeE5F+ypdYOko0REO/WG0vcVDwYuCXKgeApM3e9J7KSXWzTQ8RPAEG7I4Hz31DIEab+mz5tHXL+
RdRFIPySKRMTB3tvgCcrpstgFQ18iWhR283qXYbb/zNqIf3kW1bwMvtTc2snS3zlz3b7laSnLCQq
lY2d4drxIRnn5omgp2WPQIQFi8wJau8C4w7jn53woU0h/ji8AwxVHEoJ1EbpCxtQg7CcosITAYP8
0GABxCqXox9Pje+xV8c7YSBWNjIEeGXnPY9tb52MoXHxrgbWiz2OEgAoM0W4CPUOIBIf2tx1bwhc
YkPgis7dla2/nLpEylcq9fjgrrQgFNFv9eTejQPrSyqUDUb6fBcE9rxzl2S+n8YKoXq+XFBTSSpw
IAbI2ZGe05UmzLUK7BMc2zGhJvbQpmCrEAdwuZcUheFEQNOXxS4LmC+pj0SyS7zpEmENOiUt1S4T
N9u7r+t+uu0RGaxKNiu6nrG6/XBHM31vomXaNY4hQ+Qe9kO95OipGPZheEQbFtbz5F3BUDOOrp3j
ks2WukUWN6YLjBxT/5h6/dIn5O5Vo5vuna4s9q5uiz3wHPABjSsw0y4p21cXYWvL9k7iNYS9QCRt
H7L3TG+XvOKGTir7TDi8d5eib0EODl/igQ96cNKBVie7dqYTIpOCqd3c/yQ6mlKwVEpDOVCusR2p
F7CjtDDWtj56VNhs1NnTR8ldfJTf9lqJcwtTlGPxxdMxtPbepJfHzajAjom1khcfRb2/1vfWR6Vv
IpjhfKD+V4Y/XIK1J8jX7qBY+4SxmGxn08XYp/oMO2FTBz3KcxqM7qPX8KjMOIzWFkR8dCPj2piU
a4tSfnQrqIP0QXUJl7Wn7C3gq2BF+LXkKiUGopSPlsf/aH8s2VXNcWil3vqdZ51157IGdBogJF3O
g8uWGbepa8m3hiEuhNKMMMFqGu4c3SEA8ece3sXaby3t8th0jrcrjObBsNP02Bi8YILJ/wNbPAej
AZUyZDhtkPWewr9C6XdFsGaCcjwaQNxnI2Y8nzJs4/M+wMQzrS/sZt3t6AtxF/hIZVregxmbKC0j
hi29ZVVBH5lnACaTfGBSQJOJFSLbqo/O0/voQoO1IW1Yth3atUnFTlztWSuycaaDbdZWNl2b2vL/
MHduy2kjQRh+FV/tHSp0QBK1ValK4o2PcbyON3b2hpINZcRBGAmBxdPv1zpgCWQHe6gsujPg1qg1
0zPd/f/d4t4ySHF0cXlDcX6BJM8vbXGIXXGNW40H92dgTX8+RYPhnS0OdCyu9FKc6kDcawqM4GmD
xUyO++J+t8URT1KffCTu+VgcdZLexhmwWOfmSdz4WerRh+LcB+LmwwFonAww0uPOjG/nU/LBcRoZ
GEqQANyYc9ySwIExi9uHpVhdTaYmxc2U4H+gdKXqAEUMCL9RPjutP10yqFG7beIkSLP0mWudBkP/
ZGZ0XMieVLcyBAZutM3WJYSvhi44CshblHM9mtMc42fk9iF5hxPnoZvM48UpvDtAp64eXVKgu33L
wWDyw3Qfz2Of3nJxE5Q7hyeQgTBMQOs1Hoe804FJHsKBm0PdmAhXgI7JzqH90HBOIxeYwF+zhFGZ
bWPOyaqzDDz4X5TQImtK2cmlGLJhatMGqX1bprbOSu1eX0xgW4zh6wrTBcBcUVgaKeQwTY1ywyGb
V92B2hAdEuspgd/9yfm+vDVvp17jdnq1uIj+BgcefGuMLl6/41qvVcciNqk3ydhJ/hBT6azdcUGA
ZQx7q3M0t93O3WgS+XSZtAbJxfCJ7pufOUk/noXJlEyy/jDs3+mtJURLq0NTc731RGG7xO98CQaL
hHfpcKKmWbvJHm6AvG8eQU1s3ERUm7mmBQpbHa0Sqb42tByXgtbDJKSy5GR6bo5Dyo4Gy6cTTjLY
J8Ipn2zHvYqflu4RsAxq8jljGjlY+vRLEi1AtND78V8bOuJJtOiMTubTlntEfezGP2N/EZ7Hs2BI
Cf/5w5lB4TgqTHMg/t5v20tS3P6ARo/SvBKKTvgDdo/Yr7ExukmV+ttC+hXg19uQXvkYa6Feq3yu
fHs58YPZ9WQDD7bVj4rEcL2g7bBj5J5tAuGV2H86qBS59pqMkQfALe7SoEcn7K/b1Aul383BaBI8
5J87rmYJ0xuUfvnN1Q93EyT3km528tg2mQDFxzZMjRYCOmR2Hq/02K6jtR3yiQCBsyu7UWlOvO/J
ttHQay+shPuzOcIoPj29jmCWWYA1SXnLRbqlpATH1nTMCVnvXAsZDOP3K+F+EgczwWBSLjGoZK/E
7G8z79ckPM97w9AErYrVzjSwroK2ZlLRxyW+n32/d/MAiLHk27ZRwloTrpISbLq9y0mlXgluU2vZ
1HoE3JIthv9rHqw9wPNisCBE4GIqKUGXAk8GJaEA4KTX5mJoum1gKftrEbI0sKpVMHSNDUValtVa
BdcgQayT+WiC7Ubjv98cvDgNpDWcIQ11lSYCJoFeIMC5DCqdyIXAslXUtRaZKtt13GwmcM7bLzVA
Q3eVJ4GpwcXD66XFW3qtrQZXAyPAMZesc3rtnUnIcPHWlvvD2pR6No1mEwADrhPtgmv1YGvCpURP
1C+Va/8mg61LlTtpSKS0KnRHYyYIBWDtgNjWgDmJtcgNY7YZ7ZFVyGcCmD4lBRiuRtkjcgCgYupW
hKNxHMXhgiqRXtl+tEd6wP1WNo0tjQMhj9iCOyxX1Sq4fC1dJ6323m0NBrha1SVgcA6ih6dlCQw4
vSobg0vTM/JyFk3bM+Xs3VmR5hC5gcqwrysv7i2OYlMjvuHS8w1TV94WbRxFTmHEqLKn378p4BjK
24Fhay1QbmCBc3sPu6qsBHEnYXKxce7pFDCAvKsaQhuXyTJddoK6ZUBbQJfTIfD1t3sLW1jLVVSF
4jCjbhp08XtRiaP3yx8UsYdNAbnnfdKVeIi5QiqmPxT+XiY6czvk7w+VY0N6Ei59WZyMy/+eP+Dm
rWsHVXx47PdCL7wH7Z4SEvNhXnhjAjcfaegD/aGu6m1LuH/PA9rowrzaDl+VH0XV7pDZDFIVS4MD
LyxGJwrPdidVscdemHiBVxasAzpjL1aW7I9fri9sNaU7suotTr3xOD74wxs//nlw5pHk9ysaYtOV
LUz1LmdeGBC1HFaVlEWTlGUzT0drgtMtR1XwuTeM+l530es9FhpIV6k06C4+qGXYbjXHv3rdflK/
hjJXSnX437o+wy8GKiPPzyOqgi/jbnzf74VhUhEO9VovPni/Wi7jYODdFXLSUZP63MEUvPIGXjQD
il6RnW3Pqhr57g+HfqWdrdmkXlFxp/dr49ob+yMoZt24kJWarSz2rjrqFJ1fZ8Tz8J6q/JteNDv4
1KM19qgy+iyErir9q4cxx2DNwsocz6NyqtKP6JcYerPyuFeBHmXZk8qIRS4Z1uJW758s7Mre2Asy
VqJ/P7mDl3gSjSBfRIVwmT0E1+Eg7mBFfdyy/H16fnj/Y73eLFpR+HXoP8bVGZTSPw1KDijvem8i
iSo+iNBQ5VUXo5Y3nQUhpPiV6pT96gWip0JQSfgO1PSrEhOKmjnsjfrrzFyy89YOVtzhar0d+hUL
nYd/drAffhbylA/FuL+p/F0sYupUebOZH23cIedo7eD9bsECU3zFp2wFL7LMduCPXPdYWg/rZ/zn
IKfq8jr3urDkyi9YkB1N8gGkyIB10MlXapqo3qbeHh2wbxy8OJOdlBvuUiiGjDX5Ot345aSu8zdX
KZtNL7RIT9f9W9XFll/cj3pe+OE/AAAA//8=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chart" Target="../charts/chart4.xml"/><Relationship Id="rId5" Type="http://schemas.openxmlformats.org/officeDocument/2006/relationships/image" Target="../media/image2.svg"/><Relationship Id="rId10" Type="http://schemas.microsoft.com/office/2014/relationships/chartEx" Target="../charts/chartEx2.xml"/><Relationship Id="rId4" Type="http://schemas.openxmlformats.org/officeDocument/2006/relationships/image" Target="../media/image1.png"/><Relationship Id="rId9" Type="http://schemas.openxmlformats.org/officeDocument/2006/relationships/image" Target="../media/image6.svg"/></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10</xdr:col>
      <xdr:colOff>891267</xdr:colOff>
      <xdr:row>2</xdr:row>
      <xdr:rowOff>40142</xdr:rowOff>
    </xdr:from>
    <xdr:to>
      <xdr:col>16</xdr:col>
      <xdr:colOff>204106</xdr:colOff>
      <xdr:row>17</xdr:row>
      <xdr:rowOff>27896</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522D86ED-0670-91AB-4129-1035DA1543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280887" y="405902"/>
              <a:ext cx="4578259" cy="273095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127000</xdr:colOff>
      <xdr:row>0</xdr:row>
      <xdr:rowOff>165101</xdr:rowOff>
    </xdr:from>
    <xdr:to>
      <xdr:col>29</xdr:col>
      <xdr:colOff>584200</xdr:colOff>
      <xdr:row>50</xdr:row>
      <xdr:rowOff>70556</xdr:rowOff>
    </xdr:to>
    <xdr:sp macro="" textlink="">
      <xdr:nvSpPr>
        <xdr:cNvPr id="5" name="Rectangle: Rounded Corners 4">
          <a:extLst>
            <a:ext uri="{FF2B5EF4-FFF2-40B4-BE49-F238E27FC236}">
              <a16:creationId xmlns:a16="http://schemas.microsoft.com/office/drawing/2014/main" id="{83AD0DF3-FA71-6D12-6BC1-C7D73F1C487B}"/>
            </a:ext>
          </a:extLst>
        </xdr:cNvPr>
        <xdr:cNvSpPr/>
      </xdr:nvSpPr>
      <xdr:spPr>
        <a:xfrm>
          <a:off x="127000" y="165101"/>
          <a:ext cx="18267528" cy="9003962"/>
        </a:xfrm>
        <a:prstGeom prst="roundRect">
          <a:avLst>
            <a:gd name="adj" fmla="val 4619"/>
          </a:avLst>
        </a:prstGeom>
        <a:gradFill>
          <a:gsLst>
            <a:gs pos="0">
              <a:schemeClr val="bg1">
                <a:lumMod val="85000"/>
              </a:schemeClr>
            </a:gs>
            <a:gs pos="35000">
              <a:schemeClr val="tx2">
                <a:lumMod val="25000"/>
                <a:lumOff val="75000"/>
              </a:schemeClr>
            </a:gs>
            <a:gs pos="100000">
              <a:schemeClr val="accent1">
                <a:lumMod val="100000"/>
              </a:schemeClr>
            </a:gs>
          </a:gsLst>
          <a:path path="circle">
            <a:fillToRect l="50000" t="-80000" r="50000" b="180000"/>
          </a:path>
        </a:gradFill>
        <a:ln w="79375">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355600</xdr:colOff>
      <xdr:row>2</xdr:row>
      <xdr:rowOff>25400</xdr:rowOff>
    </xdr:from>
    <xdr:to>
      <xdr:col>4</xdr:col>
      <xdr:colOff>444500</xdr:colOff>
      <xdr:row>49</xdr:row>
      <xdr:rowOff>155222</xdr:rowOff>
    </xdr:to>
    <xdr:sp macro="" textlink="">
      <xdr:nvSpPr>
        <xdr:cNvPr id="7" name="Rectangle: Rounded Corners 6">
          <a:extLst>
            <a:ext uri="{FF2B5EF4-FFF2-40B4-BE49-F238E27FC236}">
              <a16:creationId xmlns:a16="http://schemas.microsoft.com/office/drawing/2014/main" id="{427B258D-F232-F296-65ED-31597BAA089A}"/>
            </a:ext>
          </a:extLst>
        </xdr:cNvPr>
        <xdr:cNvSpPr/>
      </xdr:nvSpPr>
      <xdr:spPr>
        <a:xfrm>
          <a:off x="355600" y="392289"/>
          <a:ext cx="2516011" cy="8751711"/>
        </a:xfrm>
        <a:prstGeom prst="roundRect">
          <a:avLst/>
        </a:prstGeom>
        <a:solidFill>
          <a:schemeClr val="bg1">
            <a:lumMod val="85000"/>
          </a:schemeClr>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chemeClr val="tx1">
                  <a:lumMod val="65000"/>
                  <a:lumOff val="35000"/>
                </a:schemeClr>
              </a:solidFill>
            </a:rPr>
            <a:t>FILTERS</a:t>
          </a:r>
        </a:p>
      </xdr:txBody>
    </xdr:sp>
    <xdr:clientData/>
  </xdr:twoCellAnchor>
  <xdr:twoCellAnchor>
    <xdr:from>
      <xdr:col>4</xdr:col>
      <xdr:colOff>600584</xdr:colOff>
      <xdr:row>1</xdr:row>
      <xdr:rowOff>61323</xdr:rowOff>
    </xdr:from>
    <xdr:to>
      <xdr:col>29</xdr:col>
      <xdr:colOff>197006</xdr:colOff>
      <xdr:row>10</xdr:row>
      <xdr:rowOff>141112</xdr:rowOff>
    </xdr:to>
    <xdr:sp macro="" textlink="">
      <xdr:nvSpPr>
        <xdr:cNvPr id="9" name="Rectangle: Diagonal Corners Rounded 8">
          <a:extLst>
            <a:ext uri="{FF2B5EF4-FFF2-40B4-BE49-F238E27FC236}">
              <a16:creationId xmlns:a16="http://schemas.microsoft.com/office/drawing/2014/main" id="{1D59B497-20CC-8EC0-92DF-DC16E0282367}"/>
            </a:ext>
          </a:extLst>
        </xdr:cNvPr>
        <xdr:cNvSpPr/>
      </xdr:nvSpPr>
      <xdr:spPr>
        <a:xfrm>
          <a:off x="3027695" y="244767"/>
          <a:ext cx="14765867" cy="1730789"/>
        </a:xfrm>
        <a:prstGeom prst="round2DiagRect">
          <a:avLst/>
        </a:prstGeom>
        <a:solidFill>
          <a:schemeClr val="bg1">
            <a:lumMod val="85000"/>
          </a:schemeClr>
        </a:solidFill>
        <a:ln>
          <a:noFill/>
        </a:ln>
        <a:effectLst>
          <a:innerShdw blurRad="63500" dist="50800" dir="13500000">
            <a:prstClr val="black">
              <a:alpha val="50000"/>
            </a:prstClr>
          </a:innerShdw>
        </a:effectLst>
        <a:scene3d>
          <a:camera prst="orthographicFront">
            <a:rot lat="0" lon="0" rev="0"/>
          </a:camera>
          <a:lightRig rig="contrasting" dir="t">
            <a:rot lat="0" lon="0" rev="7800000"/>
          </a:lightRig>
        </a:scene3d>
        <a:sp3d>
          <a:bevelT w="139700" h="13970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r>
            <a:rPr lang="en-IN" sz="6000" b="1">
              <a:solidFill>
                <a:schemeClr val="tx1">
                  <a:lumMod val="95000"/>
                  <a:lumOff val="5000"/>
                </a:schemeClr>
              </a:solidFill>
            </a:rPr>
            <a:t>SALES</a:t>
          </a:r>
          <a:r>
            <a:rPr lang="en-IN" sz="6000" b="1" baseline="0">
              <a:solidFill>
                <a:schemeClr val="tx1">
                  <a:lumMod val="95000"/>
                  <a:lumOff val="5000"/>
                </a:schemeClr>
              </a:solidFill>
            </a:rPr>
            <a:t> ANALYSIS DASHBOARD</a:t>
          </a:r>
          <a:endParaRPr lang="en-IN" sz="6000" b="1">
            <a:solidFill>
              <a:schemeClr val="tx1">
                <a:lumMod val="95000"/>
                <a:lumOff val="5000"/>
              </a:schemeClr>
            </a:solidFill>
          </a:endParaRPr>
        </a:p>
      </xdr:txBody>
    </xdr:sp>
    <xdr:clientData/>
  </xdr:twoCellAnchor>
  <xdr:twoCellAnchor editAs="oneCell">
    <xdr:from>
      <xdr:col>0</xdr:col>
      <xdr:colOff>563749</xdr:colOff>
      <xdr:row>41</xdr:row>
      <xdr:rowOff>133019</xdr:rowOff>
    </xdr:from>
    <xdr:to>
      <xdr:col>4</xdr:col>
      <xdr:colOff>267455</xdr:colOff>
      <xdr:row>47</xdr:row>
      <xdr:rowOff>123419</xdr:rowOff>
    </xdr:to>
    <mc:AlternateContent xmlns:mc="http://schemas.openxmlformats.org/markup-compatibility/2006" xmlns:a14="http://schemas.microsoft.com/office/drawing/2010/main">
      <mc:Choice Requires="a14">
        <xdr:graphicFrame macro="">
          <xdr:nvGraphicFramePr>
            <xdr:cNvPr id="14" name="Years (OrderDateTime) 1">
              <a:extLst>
                <a:ext uri="{FF2B5EF4-FFF2-40B4-BE49-F238E27FC236}">
                  <a16:creationId xmlns:a16="http://schemas.microsoft.com/office/drawing/2014/main" id="{664F51D8-5F15-4E8D-B9E3-92161EDE7899}"/>
                </a:ext>
              </a:extLst>
            </xdr:cNvPr>
            <xdr:cNvGraphicFramePr/>
          </xdr:nvGraphicFramePr>
          <xdr:xfrm>
            <a:off x="0" y="0"/>
            <a:ext cx="0" cy="0"/>
          </xdr:xfrm>
          <a:graphic>
            <a:graphicData uri="http://schemas.microsoft.com/office/drawing/2010/slicer">
              <sle:slicer xmlns:sle="http://schemas.microsoft.com/office/drawing/2010/slicer" name="Years (OrderDateTime) 1"/>
            </a:graphicData>
          </a:graphic>
        </xdr:graphicFrame>
      </mc:Choice>
      <mc:Fallback xmlns="">
        <xdr:sp macro="" textlink="">
          <xdr:nvSpPr>
            <xdr:cNvPr id="0" name=""/>
            <xdr:cNvSpPr>
              <a:spLocks noTextEdit="1"/>
            </xdr:cNvSpPr>
          </xdr:nvSpPr>
          <xdr:spPr>
            <a:xfrm>
              <a:off x="563749" y="7654241"/>
              <a:ext cx="2130817" cy="1091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38100</xdr:colOff>
      <xdr:row>11</xdr:row>
      <xdr:rowOff>171451</xdr:rowOff>
    </xdr:from>
    <xdr:to>
      <xdr:col>13</xdr:col>
      <xdr:colOff>310756</xdr:colOff>
      <xdr:row>30</xdr:row>
      <xdr:rowOff>75746</xdr:rowOff>
    </xdr:to>
    <xdr:graphicFrame macro="">
      <xdr:nvGraphicFramePr>
        <xdr:cNvPr id="12" name="Chart 11">
          <a:extLst>
            <a:ext uri="{FF2B5EF4-FFF2-40B4-BE49-F238E27FC236}">
              <a16:creationId xmlns:a16="http://schemas.microsoft.com/office/drawing/2014/main" id="{0542098F-3739-4C10-8A34-0B894A47D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555094</xdr:colOff>
      <xdr:row>12</xdr:row>
      <xdr:rowOff>15240</xdr:rowOff>
    </xdr:from>
    <xdr:to>
      <xdr:col>22</xdr:col>
      <xdr:colOff>405077</xdr:colOff>
      <xdr:row>30</xdr:row>
      <xdr:rowOff>88252</xdr:rowOff>
    </xdr:to>
    <xdr:graphicFrame macro="">
      <xdr:nvGraphicFramePr>
        <xdr:cNvPr id="13" name="Chart 12">
          <a:extLst>
            <a:ext uri="{FF2B5EF4-FFF2-40B4-BE49-F238E27FC236}">
              <a16:creationId xmlns:a16="http://schemas.microsoft.com/office/drawing/2014/main" id="{A7E4ADD3-63EF-4D24-AD34-C8B374DE4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94771</xdr:colOff>
      <xdr:row>31</xdr:row>
      <xdr:rowOff>87649</xdr:rowOff>
    </xdr:from>
    <xdr:to>
      <xdr:col>13</xdr:col>
      <xdr:colOff>220580</xdr:colOff>
      <xdr:row>49</xdr:row>
      <xdr:rowOff>147600</xdr:rowOff>
    </xdr:to>
    <xdr:graphicFrame macro="">
      <xdr:nvGraphicFramePr>
        <xdr:cNvPr id="15" name="Chart 14">
          <a:extLst>
            <a:ext uri="{FF2B5EF4-FFF2-40B4-BE49-F238E27FC236}">
              <a16:creationId xmlns:a16="http://schemas.microsoft.com/office/drawing/2014/main" id="{0D08F73C-6EA4-4FB7-BD6D-8326784BF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565712</xdr:colOff>
      <xdr:row>18</xdr:row>
      <xdr:rowOff>137147</xdr:rowOff>
    </xdr:from>
    <xdr:to>
      <xdr:col>4</xdr:col>
      <xdr:colOff>254990</xdr:colOff>
      <xdr:row>39</xdr:row>
      <xdr:rowOff>74543</xdr:rowOff>
    </xdr:to>
    <mc:AlternateContent xmlns:mc="http://schemas.openxmlformats.org/markup-compatibility/2006" xmlns:a14="http://schemas.microsoft.com/office/drawing/2010/main">
      <mc:Choice Requires="a14">
        <xdr:graphicFrame macro="">
          <xdr:nvGraphicFramePr>
            <xdr:cNvPr id="21" name="Months (OrderDateTime) 1">
              <a:extLst>
                <a:ext uri="{FF2B5EF4-FFF2-40B4-BE49-F238E27FC236}">
                  <a16:creationId xmlns:a16="http://schemas.microsoft.com/office/drawing/2014/main" id="{604CA060-6633-49D4-9222-B0AFE7D16054}"/>
                </a:ext>
              </a:extLst>
            </xdr:cNvPr>
            <xdr:cNvGraphicFramePr/>
          </xdr:nvGraphicFramePr>
          <xdr:xfrm>
            <a:off x="0" y="0"/>
            <a:ext cx="0" cy="0"/>
          </xdr:xfrm>
          <a:graphic>
            <a:graphicData uri="http://schemas.microsoft.com/office/drawing/2010/slicer">
              <sle:slicer xmlns:sle="http://schemas.microsoft.com/office/drawing/2010/slicer" name="Months (OrderDateTime) 1"/>
            </a:graphicData>
          </a:graphic>
        </xdr:graphicFrame>
      </mc:Choice>
      <mc:Fallback xmlns="">
        <xdr:sp macro="" textlink="">
          <xdr:nvSpPr>
            <xdr:cNvPr id="0" name=""/>
            <xdr:cNvSpPr>
              <a:spLocks noTextEdit="1"/>
            </xdr:cNvSpPr>
          </xdr:nvSpPr>
          <xdr:spPr>
            <a:xfrm>
              <a:off x="565712" y="3421260"/>
              <a:ext cx="2136264" cy="3768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4343</xdr:colOff>
      <xdr:row>7</xdr:row>
      <xdr:rowOff>14320</xdr:rowOff>
    </xdr:from>
    <xdr:to>
      <xdr:col>4</xdr:col>
      <xdr:colOff>194857</xdr:colOff>
      <xdr:row>16</xdr:row>
      <xdr:rowOff>142240</xdr:rowOff>
    </xdr:to>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C7ADA04F-0732-45C3-B08C-1E97F6781FA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08688" y="1301837"/>
              <a:ext cx="2003548" cy="1708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511098</xdr:colOff>
      <xdr:row>6</xdr:row>
      <xdr:rowOff>111512</xdr:rowOff>
    </xdr:from>
    <xdr:to>
      <xdr:col>4</xdr:col>
      <xdr:colOff>278781</xdr:colOff>
      <xdr:row>17</xdr:row>
      <xdr:rowOff>92927</xdr:rowOff>
    </xdr:to>
    <xdr:sp macro="" textlink="">
      <xdr:nvSpPr>
        <xdr:cNvPr id="24" name="Rectangle: Rounded Corners 23">
          <a:extLst>
            <a:ext uri="{FF2B5EF4-FFF2-40B4-BE49-F238E27FC236}">
              <a16:creationId xmlns:a16="http://schemas.microsoft.com/office/drawing/2014/main" id="{7FE21F75-A98F-9FD7-39F5-8485108CB332}"/>
            </a:ext>
          </a:extLst>
        </xdr:cNvPr>
        <xdr:cNvSpPr/>
      </xdr:nvSpPr>
      <xdr:spPr>
        <a:xfrm>
          <a:off x="511098" y="1226634"/>
          <a:ext cx="2220951" cy="2025805"/>
        </a:xfrm>
        <a:prstGeom prst="roundRect">
          <a:avLst>
            <a:gd name="adj" fmla="val 7034"/>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436757</xdr:colOff>
      <xdr:row>18</xdr:row>
      <xdr:rowOff>18586</xdr:rowOff>
    </xdr:from>
    <xdr:to>
      <xdr:col>4</xdr:col>
      <xdr:colOff>343830</xdr:colOff>
      <xdr:row>39</xdr:row>
      <xdr:rowOff>176561</xdr:rowOff>
    </xdr:to>
    <xdr:sp macro="" textlink="">
      <xdr:nvSpPr>
        <xdr:cNvPr id="25" name="Rectangle: Rounded Corners 24">
          <a:extLst>
            <a:ext uri="{FF2B5EF4-FFF2-40B4-BE49-F238E27FC236}">
              <a16:creationId xmlns:a16="http://schemas.microsoft.com/office/drawing/2014/main" id="{E9ABC9EA-A3DC-7949-35A8-AAD304A15012}"/>
            </a:ext>
          </a:extLst>
        </xdr:cNvPr>
        <xdr:cNvSpPr/>
      </xdr:nvSpPr>
      <xdr:spPr>
        <a:xfrm>
          <a:off x="436757" y="3363952"/>
          <a:ext cx="2360341" cy="4060902"/>
        </a:xfrm>
        <a:prstGeom prst="roundRect">
          <a:avLst>
            <a:gd name="adj" fmla="val 8793"/>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446049</xdr:colOff>
      <xdr:row>40</xdr:row>
      <xdr:rowOff>176561</xdr:rowOff>
    </xdr:from>
    <xdr:to>
      <xdr:col>4</xdr:col>
      <xdr:colOff>381000</xdr:colOff>
      <xdr:row>48</xdr:row>
      <xdr:rowOff>83634</xdr:rowOff>
    </xdr:to>
    <xdr:sp macro="" textlink="">
      <xdr:nvSpPr>
        <xdr:cNvPr id="26" name="Rectangle: Rounded Corners 25">
          <a:extLst>
            <a:ext uri="{FF2B5EF4-FFF2-40B4-BE49-F238E27FC236}">
              <a16:creationId xmlns:a16="http://schemas.microsoft.com/office/drawing/2014/main" id="{D1DDDBC2-58C4-E637-A38A-478D5C207956}"/>
            </a:ext>
          </a:extLst>
        </xdr:cNvPr>
        <xdr:cNvSpPr/>
      </xdr:nvSpPr>
      <xdr:spPr>
        <a:xfrm>
          <a:off x="446049" y="7610707"/>
          <a:ext cx="2388219" cy="1393903"/>
        </a:xfrm>
        <a:prstGeom prst="roundRect">
          <a:avLst>
            <a:gd name="adj" fmla="val 8667"/>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434574</xdr:colOff>
      <xdr:row>3</xdr:row>
      <xdr:rowOff>58598</xdr:rowOff>
    </xdr:from>
    <xdr:to>
      <xdr:col>7</xdr:col>
      <xdr:colOff>134940</xdr:colOff>
      <xdr:row>8</xdr:row>
      <xdr:rowOff>68929</xdr:rowOff>
    </xdr:to>
    <xdr:pic>
      <xdr:nvPicPr>
        <xdr:cNvPr id="33" name="Graphic 32" descr="Bar chart with solid fill">
          <a:extLst>
            <a:ext uri="{FF2B5EF4-FFF2-40B4-BE49-F238E27FC236}">
              <a16:creationId xmlns:a16="http://schemas.microsoft.com/office/drawing/2014/main" id="{A365836B-8C44-2D0C-9602-CCB6324F395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68463" y="608931"/>
          <a:ext cx="913921" cy="927554"/>
        </a:xfrm>
        <a:prstGeom prst="rect">
          <a:avLst/>
        </a:prstGeom>
      </xdr:spPr>
    </xdr:pic>
    <xdr:clientData/>
  </xdr:twoCellAnchor>
  <xdr:twoCellAnchor editAs="oneCell">
    <xdr:from>
      <xdr:col>7</xdr:col>
      <xdr:colOff>400372</xdr:colOff>
      <xdr:row>3</xdr:row>
      <xdr:rowOff>84429</xdr:rowOff>
    </xdr:from>
    <xdr:to>
      <xdr:col>9</xdr:col>
      <xdr:colOff>100738</xdr:colOff>
      <xdr:row>8</xdr:row>
      <xdr:rowOff>94760</xdr:rowOff>
    </xdr:to>
    <xdr:pic>
      <xdr:nvPicPr>
        <xdr:cNvPr id="35" name="Graphic 34" descr="Books on shelf with solid fill">
          <a:extLst>
            <a:ext uri="{FF2B5EF4-FFF2-40B4-BE49-F238E27FC236}">
              <a16:creationId xmlns:a16="http://schemas.microsoft.com/office/drawing/2014/main" id="{51D397D3-5A0C-C879-42AC-ADABAF650B1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647816" y="634762"/>
          <a:ext cx="913922" cy="927554"/>
        </a:xfrm>
        <a:prstGeom prst="rect">
          <a:avLst/>
        </a:prstGeom>
      </xdr:spPr>
    </xdr:pic>
    <xdr:clientData/>
  </xdr:twoCellAnchor>
  <xdr:twoCellAnchor editAs="oneCell">
    <xdr:from>
      <xdr:col>26</xdr:col>
      <xdr:colOff>52378</xdr:colOff>
      <xdr:row>3</xdr:row>
      <xdr:rowOff>9329</xdr:rowOff>
    </xdr:from>
    <xdr:to>
      <xdr:col>27</xdr:col>
      <xdr:colOff>359522</xdr:colOff>
      <xdr:row>8</xdr:row>
      <xdr:rowOff>19660</xdr:rowOff>
    </xdr:to>
    <xdr:pic>
      <xdr:nvPicPr>
        <xdr:cNvPr id="37" name="Graphic 36" descr="Open book with solid fill">
          <a:extLst>
            <a:ext uri="{FF2B5EF4-FFF2-40B4-BE49-F238E27FC236}">
              <a16:creationId xmlns:a16="http://schemas.microsoft.com/office/drawing/2014/main" id="{7C7D79DB-6E2D-78E7-0DDE-6708D47B4C3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828600" y="559662"/>
          <a:ext cx="913922" cy="927554"/>
        </a:xfrm>
        <a:prstGeom prst="rect">
          <a:avLst/>
        </a:prstGeom>
      </xdr:spPr>
    </xdr:pic>
    <xdr:clientData/>
  </xdr:twoCellAnchor>
  <xdr:twoCellAnchor>
    <xdr:from>
      <xdr:col>23</xdr:col>
      <xdr:colOff>93624</xdr:colOff>
      <xdr:row>20</xdr:row>
      <xdr:rowOff>142151</xdr:rowOff>
    </xdr:from>
    <xdr:to>
      <xdr:col>30</xdr:col>
      <xdr:colOff>68067</xdr:colOff>
      <xdr:row>35</xdr:row>
      <xdr:rowOff>121388</xdr:rowOff>
    </xdr:to>
    <mc:AlternateContent xmlns:mc="http://schemas.openxmlformats.org/markup-compatibility/2006">
      <mc:Choice xmlns:cx4="http://schemas.microsoft.com/office/drawing/2016/5/10/chartex" Requires="cx4">
        <xdr:graphicFrame macro="">
          <xdr:nvGraphicFramePr>
            <xdr:cNvPr id="40" name="Chart 39">
              <a:extLst>
                <a:ext uri="{FF2B5EF4-FFF2-40B4-BE49-F238E27FC236}">
                  <a16:creationId xmlns:a16="http://schemas.microsoft.com/office/drawing/2014/main" id="{97B6A056-3C72-43D9-B44E-2E97656E40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114424" y="3799751"/>
              <a:ext cx="4241643" cy="27224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499532</xdr:colOff>
      <xdr:row>36</xdr:row>
      <xdr:rowOff>35158</xdr:rowOff>
    </xdr:from>
    <xdr:to>
      <xdr:col>27</xdr:col>
      <xdr:colOff>344067</xdr:colOff>
      <xdr:row>48</xdr:row>
      <xdr:rowOff>126665</xdr:rowOff>
    </xdr:to>
    <xdr:graphicFrame macro="">
      <xdr:nvGraphicFramePr>
        <xdr:cNvPr id="2" name="Chart 1">
          <a:extLst>
            <a:ext uri="{FF2B5EF4-FFF2-40B4-BE49-F238E27FC236}">
              <a16:creationId xmlns:a16="http://schemas.microsoft.com/office/drawing/2014/main" id="{29D404CA-5C36-42BB-A4DC-BB85383EC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257175</xdr:colOff>
      <xdr:row>12</xdr:row>
      <xdr:rowOff>0</xdr:rowOff>
    </xdr:from>
    <xdr:to>
      <xdr:col>28</xdr:col>
      <xdr:colOff>476250</xdr:colOff>
      <xdr:row>19</xdr:row>
      <xdr:rowOff>9525</xdr:rowOff>
    </xdr:to>
    <xdr:sp macro="" textlink="PIVOT!A22">
      <xdr:nvSpPr>
        <xdr:cNvPr id="4" name="Rectangle: Rounded Corners 3">
          <a:extLst>
            <a:ext uri="{FF2B5EF4-FFF2-40B4-BE49-F238E27FC236}">
              <a16:creationId xmlns:a16="http://schemas.microsoft.com/office/drawing/2014/main" id="{360744FC-4C68-9563-C83A-AD16A6827C02}"/>
            </a:ext>
          </a:extLst>
        </xdr:cNvPr>
        <xdr:cNvSpPr/>
      </xdr:nvSpPr>
      <xdr:spPr>
        <a:xfrm>
          <a:off x="14382608" y="2183642"/>
          <a:ext cx="3289821" cy="1283316"/>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20CA7315-1320-4B62-BF82-AC687742C05F}" type="TxLink">
            <a:rPr lang="en-US" sz="3200" b="0" i="0" u="none" strike="noStrike">
              <a:solidFill>
                <a:srgbClr val="000000"/>
              </a:solidFill>
              <a:latin typeface="Aptos Narrow"/>
            </a:rPr>
            <a:pPr algn="r"/>
            <a:t>₹ 2,00,66,916.79</a:t>
          </a:fld>
          <a:endParaRPr lang="en-IN" sz="3200"/>
        </a:p>
      </xdr:txBody>
    </xdr:sp>
    <xdr:clientData/>
  </xdr:twoCellAnchor>
  <xdr:twoCellAnchor>
    <xdr:from>
      <xdr:col>24</xdr:col>
      <xdr:colOff>285750</xdr:colOff>
      <xdr:row>12</xdr:row>
      <xdr:rowOff>104775</xdr:rowOff>
    </xdr:from>
    <xdr:to>
      <xdr:col>28</xdr:col>
      <xdr:colOff>266700</xdr:colOff>
      <xdr:row>15</xdr:row>
      <xdr:rowOff>123825</xdr:rowOff>
    </xdr:to>
    <xdr:sp macro="" textlink="">
      <xdr:nvSpPr>
        <xdr:cNvPr id="6" name="Rectangle: Rounded Corners 5">
          <a:extLst>
            <a:ext uri="{FF2B5EF4-FFF2-40B4-BE49-F238E27FC236}">
              <a16:creationId xmlns:a16="http://schemas.microsoft.com/office/drawing/2014/main" id="{BDD76BB7-12CA-92FA-C27D-9000A206DC34}"/>
            </a:ext>
          </a:extLst>
        </xdr:cNvPr>
        <xdr:cNvSpPr/>
      </xdr:nvSpPr>
      <xdr:spPr>
        <a:xfrm>
          <a:off x="15025332" y="2288417"/>
          <a:ext cx="2437547" cy="56496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800">
              <a:solidFill>
                <a:schemeClr val="tx1"/>
              </a:solidFill>
            </a:rPr>
            <a:t>REVANUE</a:t>
          </a:r>
        </a:p>
      </xdr:txBody>
    </xdr:sp>
    <xdr:clientData/>
  </xdr:twoCellAnchor>
  <xdr:twoCellAnchor editAs="oneCell">
    <xdr:from>
      <xdr:col>24</xdr:col>
      <xdr:colOff>238124</xdr:colOff>
      <xdr:row>12</xdr:row>
      <xdr:rowOff>95249</xdr:rowOff>
    </xdr:from>
    <xdr:to>
      <xdr:col>25</xdr:col>
      <xdr:colOff>342900</xdr:colOff>
      <xdr:row>15</xdr:row>
      <xdr:rowOff>171449</xdr:rowOff>
    </xdr:to>
    <xdr:pic>
      <xdr:nvPicPr>
        <xdr:cNvPr id="16" name="Graphic 15" descr="Coins with solid fill">
          <a:extLst>
            <a:ext uri="{FF2B5EF4-FFF2-40B4-BE49-F238E27FC236}">
              <a16:creationId xmlns:a16="http://schemas.microsoft.com/office/drawing/2014/main" id="{5490E671-7BD6-E191-2D3A-7F00391C5F7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4977706" y="2278891"/>
          <a:ext cx="718925" cy="6221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13</xdr:col>
      <xdr:colOff>90593</xdr:colOff>
      <xdr:row>86</xdr:row>
      <xdr:rowOff>127283</xdr:rowOff>
    </xdr:from>
    <xdr:ext cx="1827349" cy="2581275"/>
    <mc:AlternateContent xmlns:mc="http://schemas.openxmlformats.org/markup-compatibility/2006" xmlns:a14="http://schemas.microsoft.com/office/drawing/2010/main">
      <mc:Choice Requires="a14">
        <xdr:graphicFrame macro="">
          <xdr:nvGraphicFramePr>
            <xdr:cNvPr id="2" name="Years (OrderDateTime)">
              <a:extLst>
                <a:ext uri="{FF2B5EF4-FFF2-40B4-BE49-F238E27FC236}">
                  <a16:creationId xmlns:a16="http://schemas.microsoft.com/office/drawing/2014/main" id="{9AF84AD1-0322-8532-1BCF-69CD571996A9}"/>
                </a:ext>
              </a:extLst>
            </xdr:cNvPr>
            <xdr:cNvGraphicFramePr/>
          </xdr:nvGraphicFramePr>
          <xdr:xfrm>
            <a:off x="0" y="0"/>
            <a:ext cx="0" cy="0"/>
          </xdr:xfrm>
          <a:graphic>
            <a:graphicData uri="http://schemas.microsoft.com/office/drawing/2010/slicer">
              <sle:slicer xmlns:sle="http://schemas.microsoft.com/office/drawing/2010/slicer" name="Years (OrderDateTime)"/>
            </a:graphicData>
          </a:graphic>
        </xdr:graphicFrame>
      </mc:Choice>
      <mc:Fallback xmlns="">
        <xdr:sp macro="" textlink="">
          <xdr:nvSpPr>
            <xdr:cNvPr id="0" name=""/>
            <xdr:cNvSpPr>
              <a:spLocks noTextEdit="1"/>
            </xdr:cNvSpPr>
          </xdr:nvSpPr>
          <xdr:spPr>
            <a:xfrm>
              <a:off x="10381874" y="15589890"/>
              <a:ext cx="1825294" cy="25381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4</xdr:col>
      <xdr:colOff>2055</xdr:colOff>
      <xdr:row>0</xdr:row>
      <xdr:rowOff>0</xdr:rowOff>
    </xdr:from>
    <xdr:to>
      <xdr:col>12</xdr:col>
      <xdr:colOff>87786</xdr:colOff>
      <xdr:row>15</xdr:row>
      <xdr:rowOff>0</xdr:rowOff>
    </xdr:to>
    <xdr:graphicFrame macro="">
      <xdr:nvGraphicFramePr>
        <xdr:cNvPr id="4" name="Chart 3">
          <a:extLst>
            <a:ext uri="{FF2B5EF4-FFF2-40B4-BE49-F238E27FC236}">
              <a16:creationId xmlns:a16="http://schemas.microsoft.com/office/drawing/2014/main" id="{B467DD2E-0CE9-4A5B-82C0-A1400FD1B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219642</xdr:colOff>
      <xdr:row>23</xdr:row>
      <xdr:rowOff>51796</xdr:rowOff>
    </xdr:from>
    <xdr:to>
      <xdr:col>12</xdr:col>
      <xdr:colOff>276193</xdr:colOff>
      <xdr:row>38</xdr:row>
      <xdr:rowOff>17612</xdr:rowOff>
    </xdr:to>
    <xdr:graphicFrame macro="">
      <xdr:nvGraphicFramePr>
        <xdr:cNvPr id="9" name="Chart 8">
          <a:extLst>
            <a:ext uri="{FF2B5EF4-FFF2-40B4-BE49-F238E27FC236}">
              <a16:creationId xmlns:a16="http://schemas.microsoft.com/office/drawing/2014/main" id="{0939F8EC-984E-4A86-85B0-82EFDCBE38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77983</xdr:colOff>
      <xdr:row>42</xdr:row>
      <xdr:rowOff>6572</xdr:rowOff>
    </xdr:from>
    <xdr:to>
      <xdr:col>12</xdr:col>
      <xdr:colOff>149589</xdr:colOff>
      <xdr:row>57</xdr:row>
      <xdr:rowOff>33733</xdr:rowOff>
    </xdr:to>
    <xdr:graphicFrame macro="">
      <xdr:nvGraphicFramePr>
        <xdr:cNvPr id="12" name="Chart 11">
          <a:extLst>
            <a:ext uri="{FF2B5EF4-FFF2-40B4-BE49-F238E27FC236}">
              <a16:creationId xmlns:a16="http://schemas.microsoft.com/office/drawing/2014/main" id="{65AA9758-78F8-207A-6E74-56ADB34AD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274542</xdr:colOff>
      <xdr:row>61</xdr:row>
      <xdr:rowOff>79704</xdr:rowOff>
    </xdr:from>
    <xdr:to>
      <xdr:col>12</xdr:col>
      <xdr:colOff>349710</xdr:colOff>
      <xdr:row>76</xdr:row>
      <xdr:rowOff>106864</xdr:rowOff>
    </xdr:to>
    <xdr:graphicFrame macro="">
      <xdr:nvGraphicFramePr>
        <xdr:cNvPr id="13" name="Chart 12">
          <a:extLst>
            <a:ext uri="{FF2B5EF4-FFF2-40B4-BE49-F238E27FC236}">
              <a16:creationId xmlns:a16="http://schemas.microsoft.com/office/drawing/2014/main" id="{0BDD998B-88AC-2D9E-A0D3-0E11B20B6C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14</xdr:col>
      <xdr:colOff>389113</xdr:colOff>
      <xdr:row>94</xdr:row>
      <xdr:rowOff>43639</xdr:rowOff>
    </xdr:from>
    <xdr:ext cx="1831201" cy="4530813"/>
    <mc:AlternateContent xmlns:mc="http://schemas.openxmlformats.org/markup-compatibility/2006">
      <mc:Choice xmlns:a14="http://schemas.microsoft.com/office/drawing/2010/main" Requires="a14">
        <xdr:graphicFrame macro="">
          <xdr:nvGraphicFramePr>
            <xdr:cNvPr id="3" name="Months (OrderDateTime)">
              <a:extLst>
                <a:ext uri="{FF2B5EF4-FFF2-40B4-BE49-F238E27FC236}">
                  <a16:creationId xmlns:a16="http://schemas.microsoft.com/office/drawing/2014/main" id="{3F729C64-D09F-6BD9-3669-077D81EAB987}"/>
                </a:ext>
              </a:extLst>
            </xdr:cNvPr>
            <xdr:cNvGraphicFramePr/>
          </xdr:nvGraphicFramePr>
          <xdr:xfrm>
            <a:off x="0" y="0"/>
            <a:ext cx="0" cy="0"/>
          </xdr:xfrm>
          <a:graphic>
            <a:graphicData uri="http://schemas.microsoft.com/office/drawing/2010/slicer">
              <sle:slicer xmlns:sle="http://schemas.microsoft.com/office/drawing/2010/slicer" name="Months (OrderDateTime)"/>
            </a:graphicData>
          </a:graphic>
        </xdr:graphicFrame>
      </mc:Choice>
      <mc:Fallback>
        <xdr:sp macro="" textlink="">
          <xdr:nvSpPr>
            <xdr:cNvPr id="0" name=""/>
            <xdr:cNvSpPr>
              <a:spLocks noTextEdit="1"/>
            </xdr:cNvSpPr>
          </xdr:nvSpPr>
          <xdr:spPr>
            <a:xfrm>
              <a:off x="11361913" y="17234359"/>
              <a:ext cx="1831201" cy="4530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11</xdr:col>
      <xdr:colOff>293939</xdr:colOff>
      <xdr:row>22</xdr:row>
      <xdr:rowOff>119554</xdr:rowOff>
    </xdr:from>
    <xdr:ext cx="1835843" cy="2566561"/>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154B6785-231B-D094-ACFB-A4D5716EAD0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786939" y="4110983"/>
              <a:ext cx="1832939" cy="25462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4</xdr:col>
      <xdr:colOff>312505</xdr:colOff>
      <xdr:row>92</xdr:row>
      <xdr:rowOff>135277</xdr:rowOff>
    </xdr:from>
    <xdr:to>
      <xdr:col>12</xdr:col>
      <xdr:colOff>21405</xdr:colOff>
      <xdr:row>108</xdr:row>
      <xdr:rowOff>1713</xdr:rowOff>
    </xdr:to>
    <xdr:graphicFrame macro="">
      <xdr:nvGraphicFramePr>
        <xdr:cNvPr id="15" name="Chart 14">
          <a:extLst>
            <a:ext uri="{FF2B5EF4-FFF2-40B4-BE49-F238E27FC236}">
              <a16:creationId xmlns:a16="http://schemas.microsoft.com/office/drawing/2014/main" id="{64C3C734-BA8F-09DC-154F-E658201888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182880</xdr:colOff>
      <xdr:row>45</xdr:row>
      <xdr:rowOff>30480</xdr:rowOff>
    </xdr:from>
    <xdr:to>
      <xdr:col>17</xdr:col>
      <xdr:colOff>386080</xdr:colOff>
      <xdr:row>60</xdr:row>
      <xdr:rowOff>30480</xdr:rowOff>
    </xdr:to>
    <xdr:graphicFrame macro="">
      <xdr:nvGraphicFramePr>
        <xdr:cNvPr id="6" name="Chart 5">
          <a:extLst>
            <a:ext uri="{FF2B5EF4-FFF2-40B4-BE49-F238E27FC236}">
              <a16:creationId xmlns:a16="http://schemas.microsoft.com/office/drawing/2014/main" id="{B0B729B0-0CA0-A811-36ED-1D757CC30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Mayank/AppData/Roaming/Microsoft/Excel/sales_data%20(Recovered)%20(version%202).xlsb"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refreshedDate="46024.995072569443" createdVersion="8" refreshedVersion="8" minRefreshableVersion="3" recordCount="951" xr:uid="{F15DF618-C039-44A4-8FDB-31807AC41CE3}">
  <cacheSource type="worksheet">
    <worksheetSource ref="A1:AE1048576" sheet="DATA"/>
  </cacheSource>
  <cacheFields count="37">
    <cacheField name="OrderID" numFmtId="0">
      <sharedItems containsBlank="1" count="951">
        <s v="O000001"/>
        <s v="O000002"/>
        <s v="O000003"/>
        <s v="O000004"/>
        <s v="O000005"/>
        <s v="O000006"/>
        <s v="O000007"/>
        <s v="O000008"/>
        <s v="O000009"/>
        <s v="O000010"/>
        <s v="O000011"/>
        <s v="O000012"/>
        <s v="O000013"/>
        <s v="O000014"/>
        <s v="O000015"/>
        <s v="O000016"/>
        <s v="O000017"/>
        <s v="O000018"/>
        <s v="O000019"/>
        <s v="O000020"/>
        <s v="O000021"/>
        <s v="O000022"/>
        <s v="O000023"/>
        <s v="O000024"/>
        <s v="O000025"/>
        <s v="O000026"/>
        <s v="O000027"/>
        <s v="O000028"/>
        <s v="O000029"/>
        <s v="O000030"/>
        <s v="O000031"/>
        <s v="O000032"/>
        <s v="O000033"/>
        <s v="O000034"/>
        <s v="O000035"/>
        <s v="O000036"/>
        <s v="O000037"/>
        <s v="O000038"/>
        <s v="O000039"/>
        <s v="O000040"/>
        <s v="O000041"/>
        <s v="O000042"/>
        <s v="O000043"/>
        <s v="O000044"/>
        <s v="O000045"/>
        <s v="O000046"/>
        <s v="O000047"/>
        <s v="O000048"/>
        <s v="O000049"/>
        <s v="O000050"/>
        <s v="O000051"/>
        <s v="O000052"/>
        <s v="O000053"/>
        <s v="O000054"/>
        <s v="O000055"/>
        <s v="O000056"/>
        <s v="O000057"/>
        <s v="O000058"/>
        <s v="O000059"/>
        <s v="O000060"/>
        <s v="O000061"/>
        <s v="O000062"/>
        <s v="O000063"/>
        <s v="O000064"/>
        <s v="O000065"/>
        <s v="O000066"/>
        <s v="O000067"/>
        <s v="O000068"/>
        <s v="O000069"/>
        <s v="O000070"/>
        <s v="O000071"/>
        <s v="O000072"/>
        <s v="O000073"/>
        <s v="O000074"/>
        <s v="O000075"/>
        <s v="O000076"/>
        <s v="O000077"/>
        <s v="O000078"/>
        <s v="O000079"/>
        <s v="O000080"/>
        <s v="O000081"/>
        <s v="O000082"/>
        <s v="O000083"/>
        <s v="O000084"/>
        <s v="O000085"/>
        <s v="O000086"/>
        <s v="O000087"/>
        <s v="O000088"/>
        <s v="O000089"/>
        <s v="O000090"/>
        <s v="O000091"/>
        <s v="O000092"/>
        <s v="O000093"/>
        <s v="O000094"/>
        <s v="O000095"/>
        <s v="O000096"/>
        <s v="O000097"/>
        <s v="O000098"/>
        <s v="O000099"/>
        <s v="O000100"/>
        <s v="O000101"/>
        <s v="O000102"/>
        <s v="O000103"/>
        <s v="O000104"/>
        <s v="O000105"/>
        <s v="O000106"/>
        <s v="O000107"/>
        <s v="O000108"/>
        <s v="O000109"/>
        <s v="O000110"/>
        <s v="O000111"/>
        <s v="O000112"/>
        <s v="O000113"/>
        <s v="O000114"/>
        <s v="O000115"/>
        <s v="O000116"/>
        <s v="O000117"/>
        <s v="O000118"/>
        <s v="O000119"/>
        <s v="O000120"/>
        <s v="O000121"/>
        <s v="O000122"/>
        <s v="O000123"/>
        <s v="O000124"/>
        <s v="O000125"/>
        <s v="O000126"/>
        <s v="O000127"/>
        <s v="O000128"/>
        <s v="O000129"/>
        <s v="O000130"/>
        <s v="O000131"/>
        <s v="O000132"/>
        <s v="O000133"/>
        <s v="O000134"/>
        <s v="O000135"/>
        <s v="O000136"/>
        <s v="O000137"/>
        <s v="O000138"/>
        <s v="O000139"/>
        <s v="O000140"/>
        <s v="O000141"/>
        <s v="O000142"/>
        <s v="O000143"/>
        <s v="O000144"/>
        <s v="O000145"/>
        <s v="O000146"/>
        <s v="O000147"/>
        <s v="O000148"/>
        <s v="O000149"/>
        <s v="O000150"/>
        <s v="O000151"/>
        <s v="O000152"/>
        <s v="O000153"/>
        <s v="O000154"/>
        <s v="O000155"/>
        <s v="O000156"/>
        <s v="O000157"/>
        <s v="O000158"/>
        <s v="O000159"/>
        <s v="O000160"/>
        <s v="O000161"/>
        <s v="O000162"/>
        <s v="O000163"/>
        <s v="O000164"/>
        <s v="O000165"/>
        <s v="O000166"/>
        <s v="O000167"/>
        <s v="O000168"/>
        <s v="O000169"/>
        <s v="O000170"/>
        <s v="O000171"/>
        <s v="O000172"/>
        <s v="O000173"/>
        <s v="O000174"/>
        <s v="O000175"/>
        <s v="O000176"/>
        <s v="O000177"/>
        <s v="O000178"/>
        <s v="O000179"/>
        <s v="O000180"/>
        <s v="O000181"/>
        <s v="O000182"/>
        <s v="O000183"/>
        <s v="O000184"/>
        <s v="O000185"/>
        <s v="O000186"/>
        <s v="O000187"/>
        <s v="O000188"/>
        <s v="O000189"/>
        <s v="O000190"/>
        <s v="O000191"/>
        <s v="O000192"/>
        <s v="O000193"/>
        <s v="O000194"/>
        <s v="O000195"/>
        <s v="O000196"/>
        <s v="O000197"/>
        <s v="O000198"/>
        <s v="O000199"/>
        <s v="O000200"/>
        <s v="O000201"/>
        <s v="O000202"/>
        <s v="O000203"/>
        <s v="O000204"/>
        <s v="O000205"/>
        <s v="O000206"/>
        <s v="O000207"/>
        <s v="O000208"/>
        <s v="O000209"/>
        <s v="O000210"/>
        <s v="O000211"/>
        <s v="O000212"/>
        <s v="O000213"/>
        <s v="O000214"/>
        <s v="O000215"/>
        <s v="O000216"/>
        <s v="O000217"/>
        <s v="O000218"/>
        <s v="O000219"/>
        <s v="O000220"/>
        <s v="O000221"/>
        <s v="O000222"/>
        <s v="O000223"/>
        <s v="O000224"/>
        <s v="O000225"/>
        <s v="O000226"/>
        <s v="O000227"/>
        <s v="O000228"/>
        <s v="O000229"/>
        <s v="O000230"/>
        <s v="O000231"/>
        <s v="O000232"/>
        <s v="O000233"/>
        <s v="O000234"/>
        <s v="O000235"/>
        <s v="O000236"/>
        <s v="O000237"/>
        <s v="O000238"/>
        <s v="O000239"/>
        <s v="O000240"/>
        <s v="O000241"/>
        <s v="O000242"/>
        <s v="O000243"/>
        <s v="O000244"/>
        <s v="O000245"/>
        <s v="O000246"/>
        <s v="O000247"/>
        <s v="O000248"/>
        <s v="O000249"/>
        <s v="O000250"/>
        <s v="O000251"/>
        <s v="O000252"/>
        <s v="O000253"/>
        <s v="O000254"/>
        <s v="O000255"/>
        <s v="O000256"/>
        <s v="O000257"/>
        <s v="O000258"/>
        <s v="O000259"/>
        <s v="O000260"/>
        <s v="O000261"/>
        <s v="O000262"/>
        <s v="O000263"/>
        <s v="O000264"/>
        <s v="O000265"/>
        <s v="O000266"/>
        <s v="O000267"/>
        <s v="O000268"/>
        <s v="O000269"/>
        <s v="O000270"/>
        <s v="O000271"/>
        <s v="O000272"/>
        <s v="O000273"/>
        <s v="O000274"/>
        <s v="O000275"/>
        <s v="O000276"/>
        <s v="O000277"/>
        <s v="O000278"/>
        <s v="O000279"/>
        <s v="O000280"/>
        <s v="O000281"/>
        <s v="O000282"/>
        <s v="O000283"/>
        <s v="O000284"/>
        <s v="O000285"/>
        <s v="O000286"/>
        <s v="O000287"/>
        <s v="O000288"/>
        <s v="O000289"/>
        <s v="O000290"/>
        <s v="O000291"/>
        <s v="O000292"/>
        <s v="O000293"/>
        <s v="O000294"/>
        <s v="O000295"/>
        <s v="O000296"/>
        <s v="O000297"/>
        <s v="O000298"/>
        <s v="O000299"/>
        <s v="O000300"/>
        <s v="O000301"/>
        <s v="O000302"/>
        <s v="O000303"/>
        <s v="O000304"/>
        <s v="O000305"/>
        <s v="O000306"/>
        <s v="O000307"/>
        <s v="O000308"/>
        <s v="O000309"/>
        <s v="O000310"/>
        <s v="O000311"/>
        <s v="O000312"/>
        <s v="O000313"/>
        <s v="O000314"/>
        <s v="O000315"/>
        <s v="O000316"/>
        <s v="O000317"/>
        <s v="O000318"/>
        <s v="O000319"/>
        <s v="O000320"/>
        <s v="O000321"/>
        <s v="O000322"/>
        <s v="O000323"/>
        <s v="O000324"/>
        <s v="O000325"/>
        <s v="O000326"/>
        <s v="O000327"/>
        <s v="O000328"/>
        <s v="O000329"/>
        <s v="O000330"/>
        <s v="O000331"/>
        <s v="O000332"/>
        <s v="O000333"/>
        <s v="O000334"/>
        <s v="O000335"/>
        <s v="O000336"/>
        <s v="O000337"/>
        <s v="O000338"/>
        <s v="O000339"/>
        <s v="O000340"/>
        <s v="O000341"/>
        <s v="O000342"/>
        <s v="O000343"/>
        <s v="O000344"/>
        <s v="O000345"/>
        <s v="O000346"/>
        <s v="O000347"/>
        <s v="O000348"/>
        <s v="O000349"/>
        <s v="O000350"/>
        <s v="O000351"/>
        <s v="O000352"/>
        <s v="O000353"/>
        <s v="O000354"/>
        <s v="O000355"/>
        <s v="O000356"/>
        <s v="O000357"/>
        <s v="O000358"/>
        <s v="O000359"/>
        <s v="O000360"/>
        <s v="O000361"/>
        <s v="O000362"/>
        <s v="O000363"/>
        <s v="O000364"/>
        <s v="O000365"/>
        <s v="O000366"/>
        <s v="O000367"/>
        <s v="O000368"/>
        <s v="O000369"/>
        <s v="O000370"/>
        <s v="O000371"/>
        <s v="O000372"/>
        <s v="O000373"/>
        <s v="O000374"/>
        <s v="O000375"/>
        <s v="O000376"/>
        <s v="O000377"/>
        <s v="O000378"/>
        <s v="O000379"/>
        <s v="O000380"/>
        <s v="O000381"/>
        <s v="O000382"/>
        <s v="O000383"/>
        <s v="O000384"/>
        <s v="O000385"/>
        <s v="O000386"/>
        <s v="O000387"/>
        <s v="O000388"/>
        <s v="O000389"/>
        <s v="O000390"/>
        <s v="O000391"/>
        <s v="O000392"/>
        <s v="O000393"/>
        <s v="O000394"/>
        <s v="O000395"/>
        <s v="O000396"/>
        <s v="O000397"/>
        <s v="O000398"/>
        <s v="O000399"/>
        <s v="O000400"/>
        <s v="O000401"/>
        <s v="O000402"/>
        <s v="O000403"/>
        <s v="O000404"/>
        <s v="O000405"/>
        <s v="O000406"/>
        <s v="O000407"/>
        <s v="O000408"/>
        <s v="O000409"/>
        <s v="O000410"/>
        <s v="O000411"/>
        <s v="O000412"/>
        <s v="O000413"/>
        <s v="O000414"/>
        <s v="O000415"/>
        <s v="O000416"/>
        <s v="O000417"/>
        <s v="O000418"/>
        <s v="O000419"/>
        <s v="O000420"/>
        <s v="O000421"/>
        <s v="O000422"/>
        <s v="O000423"/>
        <s v="O000424"/>
        <s v="O000425"/>
        <s v="O000426"/>
        <s v="O000427"/>
        <s v="O000428"/>
        <s v="O000429"/>
        <s v="O000430"/>
        <s v="O000431"/>
        <s v="O000432"/>
        <s v="O000433"/>
        <s v="O000434"/>
        <s v="O000435"/>
        <s v="O000436"/>
        <s v="O000437"/>
        <s v="O000438"/>
        <s v="O000439"/>
        <s v="O000440"/>
        <s v="O000441"/>
        <s v="O000442"/>
        <s v="O000443"/>
        <s v="O000444"/>
        <s v="O000445"/>
        <s v="O000446"/>
        <s v="O000447"/>
        <s v="O000448"/>
        <s v="O000449"/>
        <s v="O000450"/>
        <s v="O000451"/>
        <s v="O000452"/>
        <s v="O000453"/>
        <s v="O000454"/>
        <s v="O000455"/>
        <s v="O000456"/>
        <s v="O000457"/>
        <s v="O000458"/>
        <s v="O000459"/>
        <s v="O000460"/>
        <s v="O000461"/>
        <s v="O000462"/>
        <s v="O000463"/>
        <s v="O000464"/>
        <s v="O000465"/>
        <s v="O000466"/>
        <s v="O000467"/>
        <s v="O000468"/>
        <s v="O000469"/>
        <s v="O000470"/>
        <s v="O000471"/>
        <s v="O000472"/>
        <s v="O000473"/>
        <s v="O000474"/>
        <s v="O000475"/>
        <s v="O000476"/>
        <s v="O000477"/>
        <s v="O000478"/>
        <s v="O000479"/>
        <s v="O000480"/>
        <s v="O000481"/>
        <s v="O000482"/>
        <s v="O000483"/>
        <s v="O000484"/>
        <s v="O000485"/>
        <s v="O000486"/>
        <s v="O000487"/>
        <s v="O000488"/>
        <s v="O000489"/>
        <s v="O000490"/>
        <s v="O000491"/>
        <s v="O000492"/>
        <s v="O000493"/>
        <s v="O000494"/>
        <s v="O000495"/>
        <s v="O000496"/>
        <s v="O000497"/>
        <s v="O000498"/>
        <s v="O000499"/>
        <s v="O000500"/>
        <s v="O000501"/>
        <s v="O000502"/>
        <s v="O000503"/>
        <s v="O000504"/>
        <s v="O000505"/>
        <s v="O000506"/>
        <s v="O000507"/>
        <s v="O000508"/>
        <s v="O000509"/>
        <s v="O000510"/>
        <s v="O000511"/>
        <s v="O000512"/>
        <s v="O000513"/>
        <s v="O000514"/>
        <s v="O000515"/>
        <s v="O000516"/>
        <s v="O000517"/>
        <s v="O000518"/>
        <s v="O000519"/>
        <s v="O000520"/>
        <s v="O000521"/>
        <s v="O000522"/>
        <s v="O000523"/>
        <s v="O000524"/>
        <s v="O000525"/>
        <s v="O000526"/>
        <s v="O000527"/>
        <s v="O000528"/>
        <s v="O000529"/>
        <s v="O000530"/>
        <s v="O000531"/>
        <s v="O000532"/>
        <s v="O000533"/>
        <s v="O000534"/>
        <s v="O000535"/>
        <s v="O000536"/>
        <s v="O000537"/>
        <s v="O000538"/>
        <s v="O000539"/>
        <s v="O000540"/>
        <s v="O000541"/>
        <s v="O000542"/>
        <s v="O000543"/>
        <s v="O000544"/>
        <s v="O000545"/>
        <s v="O000546"/>
        <s v="O000547"/>
        <s v="O000548"/>
        <s v="O000549"/>
        <s v="O000550"/>
        <s v="O000551"/>
        <s v="O000552"/>
        <s v="O000553"/>
        <s v="O000554"/>
        <s v="O000555"/>
        <s v="O000556"/>
        <s v="O000557"/>
        <s v="O000558"/>
        <s v="O000559"/>
        <s v="O000560"/>
        <s v="O000561"/>
        <s v="O000562"/>
        <s v="O000563"/>
        <s v="O000564"/>
        <s v="O000565"/>
        <s v="O000566"/>
        <s v="O000567"/>
        <s v="O000568"/>
        <s v="O000569"/>
        <s v="O000570"/>
        <s v="O000571"/>
        <s v="O000572"/>
        <s v="O000573"/>
        <s v="O000574"/>
        <s v="O000575"/>
        <s v="O000576"/>
        <s v="O000577"/>
        <s v="O000578"/>
        <s v="O000579"/>
        <s v="O000580"/>
        <s v="O000581"/>
        <s v="O000582"/>
        <s v="O000583"/>
        <s v="O000584"/>
        <s v="O000585"/>
        <s v="O000586"/>
        <s v="O000587"/>
        <s v="O000588"/>
        <s v="O000589"/>
        <s v="O000590"/>
        <s v="O000591"/>
        <s v="O000592"/>
        <s v="O000593"/>
        <s v="O000594"/>
        <s v="O000595"/>
        <s v="O000596"/>
        <s v="O000597"/>
        <s v="O000598"/>
        <s v="O000599"/>
        <s v="O000600"/>
        <s v="O000601"/>
        <s v="O000602"/>
        <s v="O000603"/>
        <s v="O000604"/>
        <s v="O000605"/>
        <s v="O000606"/>
        <s v="O000607"/>
        <s v="O000608"/>
        <s v="O000609"/>
        <s v="O000610"/>
        <s v="O000611"/>
        <s v="O000612"/>
        <s v="O000613"/>
        <s v="O000614"/>
        <s v="O000615"/>
        <s v="O000616"/>
        <s v="O000617"/>
        <s v="O000618"/>
        <s v="O000619"/>
        <s v="O000620"/>
        <s v="O000621"/>
        <s v="O000622"/>
        <s v="O000623"/>
        <s v="O000624"/>
        <s v="O000625"/>
        <s v="O000626"/>
        <s v="O000627"/>
        <s v="O000628"/>
        <s v="O000629"/>
        <s v="O000630"/>
        <s v="O000631"/>
        <s v="O000632"/>
        <s v="O000633"/>
        <s v="O000634"/>
        <s v="O000635"/>
        <s v="O000636"/>
        <s v="O000637"/>
        <s v="O000638"/>
        <s v="O000639"/>
        <s v="O000640"/>
        <s v="O000641"/>
        <s v="O000642"/>
        <s v="O000643"/>
        <s v="O000644"/>
        <s v="O000645"/>
        <s v="O000646"/>
        <s v="O000647"/>
        <s v="O000648"/>
        <s v="O000649"/>
        <s v="O000650"/>
        <s v="O000651"/>
        <s v="O000652"/>
        <s v="O000653"/>
        <s v="O000654"/>
        <s v="O000655"/>
        <s v="O000656"/>
        <s v="O000657"/>
        <s v="O000658"/>
        <s v="O000659"/>
        <s v="O000660"/>
        <s v="O000661"/>
        <s v="O000662"/>
        <s v="O000663"/>
        <s v="O000664"/>
        <s v="O000665"/>
        <s v="O000666"/>
        <s v="O000667"/>
        <s v="O000668"/>
        <s v="O000669"/>
        <s v="O000670"/>
        <s v="O000671"/>
        <s v="O000672"/>
        <s v="O000673"/>
        <s v="O000674"/>
        <s v="O000675"/>
        <s v="O000676"/>
        <s v="O000677"/>
        <s v="O000678"/>
        <s v="O000679"/>
        <s v="O000680"/>
        <s v="O000681"/>
        <s v="O000682"/>
        <s v="O000683"/>
        <s v="O000684"/>
        <s v="O000685"/>
        <s v="O000686"/>
        <s v="O000687"/>
        <s v="O000688"/>
        <s v="O000689"/>
        <s v="O000690"/>
        <s v="O000691"/>
        <s v="O000692"/>
        <s v="O000693"/>
        <s v="O000694"/>
        <s v="O000695"/>
        <s v="O000696"/>
        <s v="O000697"/>
        <s v="O000698"/>
        <s v="O000699"/>
        <s v="O000700"/>
        <s v="O000701"/>
        <s v="O000702"/>
        <s v="O000703"/>
        <s v="O000704"/>
        <s v="O000705"/>
        <s v="O000706"/>
        <s v="O000707"/>
        <s v="O000708"/>
        <s v="O000709"/>
        <s v="O000710"/>
        <s v="O000711"/>
        <s v="O000712"/>
        <s v="O000713"/>
        <s v="O000714"/>
        <s v="O000715"/>
        <s v="O000716"/>
        <s v="O000717"/>
        <s v="O000718"/>
        <s v="O000719"/>
        <s v="O000720"/>
        <s v="O000721"/>
        <s v="O000722"/>
        <s v="O000723"/>
        <s v="O000724"/>
        <s v="O000725"/>
        <s v="O000726"/>
        <s v="O000727"/>
        <s v="O000728"/>
        <s v="O000729"/>
        <s v="O000730"/>
        <s v="O000731"/>
        <s v="O000732"/>
        <s v="O000733"/>
        <s v="O000734"/>
        <s v="O000735"/>
        <s v="O000736"/>
        <s v="O000737"/>
        <s v="O000738"/>
        <s v="O000739"/>
        <s v="O000740"/>
        <s v="O000741"/>
        <s v="O000742"/>
        <s v="O000743"/>
        <s v="O000744"/>
        <s v="O000745"/>
        <s v="O000746"/>
        <s v="O000747"/>
        <s v="O000748"/>
        <s v="O000749"/>
        <s v="O000750"/>
        <s v="O000751"/>
        <s v="O000752"/>
        <s v="O000753"/>
        <s v="O000754"/>
        <s v="O000755"/>
        <s v="O000756"/>
        <s v="O000757"/>
        <s v="O000758"/>
        <s v="O000759"/>
        <s v="O000760"/>
        <s v="O000761"/>
        <s v="O000762"/>
        <s v="O000763"/>
        <s v="O000764"/>
        <s v="O000765"/>
        <s v="O000766"/>
        <s v="O000767"/>
        <s v="O000768"/>
        <s v="O000769"/>
        <s v="O000770"/>
        <s v="O000771"/>
        <s v="O000772"/>
        <s v="O000773"/>
        <s v="O000774"/>
        <s v="O000775"/>
        <s v="O000776"/>
        <s v="O000777"/>
        <s v="O000778"/>
        <s v="O000779"/>
        <s v="O000780"/>
        <s v="O000781"/>
        <s v="O000782"/>
        <s v="O000783"/>
        <s v="O000784"/>
        <s v="O000785"/>
        <s v="O000786"/>
        <s v="O000787"/>
        <s v="O000788"/>
        <s v="O000789"/>
        <s v="O000790"/>
        <s v="O000791"/>
        <s v="O000792"/>
        <s v="O000793"/>
        <s v="O000794"/>
        <s v="O000795"/>
        <s v="O000796"/>
        <s v="O000797"/>
        <s v="O000798"/>
        <s v="O000799"/>
        <s v="O000800"/>
        <s v="O000801"/>
        <s v="O000802"/>
        <s v="O000803"/>
        <s v="O000804"/>
        <s v="O000805"/>
        <s v="O000806"/>
        <s v="O000807"/>
        <s v="O000808"/>
        <s v="O000809"/>
        <s v="O000810"/>
        <s v="O000811"/>
        <s v="O000812"/>
        <s v="O000813"/>
        <s v="O000814"/>
        <s v="O000815"/>
        <s v="O000816"/>
        <s v="O000817"/>
        <s v="O000818"/>
        <s v="O000819"/>
        <s v="O000820"/>
        <s v="O000821"/>
        <s v="O000822"/>
        <s v="O000823"/>
        <s v="O000824"/>
        <s v="O000825"/>
        <s v="O000826"/>
        <s v="O000827"/>
        <s v="O000828"/>
        <s v="O000829"/>
        <s v="O000830"/>
        <s v="O000831"/>
        <s v="O000832"/>
        <s v="O000833"/>
        <s v="O000834"/>
        <s v="O000835"/>
        <s v="O000836"/>
        <s v="O000837"/>
        <s v="O000838"/>
        <s v="O000839"/>
        <s v="O000840"/>
        <s v="O000841"/>
        <s v="O000842"/>
        <s v="O000843"/>
        <s v="O000844"/>
        <s v="O000845"/>
        <s v="O000846"/>
        <s v="O000847"/>
        <s v="O000848"/>
        <s v="O000849"/>
        <s v="O000850"/>
        <s v="O000851"/>
        <s v="O000852"/>
        <s v="O000853"/>
        <s v="O000854"/>
        <s v="O000855"/>
        <s v="O000856"/>
        <s v="O000857"/>
        <s v="O000858"/>
        <s v="O000859"/>
        <s v="O000860"/>
        <s v="O000861"/>
        <s v="O000862"/>
        <s v="O000863"/>
        <s v="O000864"/>
        <s v="O000865"/>
        <s v="O000866"/>
        <s v="O000867"/>
        <s v="O000868"/>
        <s v="O000869"/>
        <s v="O000870"/>
        <s v="O000871"/>
        <s v="O000872"/>
        <s v="O000873"/>
        <s v="O000874"/>
        <s v="O000875"/>
        <s v="O000876"/>
        <s v="O000877"/>
        <s v="O000878"/>
        <s v="O000879"/>
        <s v="O000880"/>
        <s v="O000881"/>
        <s v="O000882"/>
        <s v="O000883"/>
        <s v="O000884"/>
        <s v="O000885"/>
        <s v="O000886"/>
        <s v="O000887"/>
        <s v="O000888"/>
        <s v="O000889"/>
        <s v="O000890"/>
        <s v="O000891"/>
        <s v="O000892"/>
        <s v="O000893"/>
        <s v="O000894"/>
        <s v="O000895"/>
        <s v="O000896"/>
        <s v="O000897"/>
        <s v="O000898"/>
        <s v="O000899"/>
        <s v="O000900"/>
        <s v="O000901"/>
        <s v="O000902"/>
        <s v="O000903"/>
        <s v="O000904"/>
        <s v="O000905"/>
        <s v="O000906"/>
        <s v="O000907"/>
        <s v="O000908"/>
        <s v="O000909"/>
        <s v="O000910"/>
        <s v="O000911"/>
        <s v="O000912"/>
        <s v="O000913"/>
        <s v="O000914"/>
        <s v="O000915"/>
        <s v="O000916"/>
        <s v="O000917"/>
        <s v="O000918"/>
        <s v="O000919"/>
        <s v="O000920"/>
        <s v="O000921"/>
        <s v="O000922"/>
        <s v="O000923"/>
        <s v="O000924"/>
        <s v="O000925"/>
        <s v="O000926"/>
        <s v="O000927"/>
        <s v="O000928"/>
        <s v="O000929"/>
        <s v="O000930"/>
        <s v="O000931"/>
        <s v="O000932"/>
        <s v="O000933"/>
        <s v="O000934"/>
        <s v="O000935"/>
        <s v="O000936"/>
        <s v="O000937"/>
        <s v="O000938"/>
        <s v="O000939"/>
        <s v="O000940"/>
        <s v="O000941"/>
        <s v="O000942"/>
        <s v="O000943"/>
        <s v="O000944"/>
        <s v="O000945"/>
        <s v="O000946"/>
        <s v="O000947"/>
        <s v="O000948"/>
        <s v="O000949"/>
        <s v="O000950"/>
        <m/>
      </sharedItems>
    </cacheField>
    <cacheField name="OrderDateTime" numFmtId="14">
      <sharedItems containsNonDate="0" containsDate="1" containsString="0" containsBlank="1" minDate="2024-01-01T12:54:00" maxDate="2025-04-24T14:24:00" count="948">
        <d v="2024-11-01T11:47:00"/>
        <d v="2024-06-09T13:39:00"/>
        <d v="2024-11-18T11:21:00"/>
        <d v="2024-01-27T11:26:00"/>
        <d v="2024-12-01T11:58:00"/>
        <d v="2024-03-07T11:08:00"/>
        <d v="2025-02-28T12:34:00"/>
        <d v="2024-06-09T12:42:00"/>
        <d v="2024-11-06T11:47:00"/>
        <d v="2024-03-22T12:02:00"/>
        <d v="2024-08-25T13:17:00"/>
        <d v="2024-03-17T09:37:00"/>
        <d v="2025-04-03T12:02:00"/>
        <d v="2025-01-04T16:24:00"/>
        <d v="2024-12-10T14:12:00"/>
        <d v="2024-11-21T14:42:00"/>
        <d v="2024-11-06T12:36:00"/>
        <d v="2025-03-06T12:29:00"/>
        <d v="2024-08-16T16:43:00"/>
        <d v="2025-03-06T16:46:00"/>
        <d v="2024-08-10T12:50:00"/>
        <d v="2024-05-13T13:16:00"/>
        <d v="2025-03-17T10:43:00"/>
        <d v="2024-09-08T12:04:00"/>
        <d v="2024-03-13T12:01:00"/>
        <d v="2024-11-12T15:06:00"/>
        <d v="2024-10-25T14:39:00"/>
        <d v="2025-02-10T13:51:00"/>
        <d v="2024-02-28T12:41:00"/>
        <d v="2024-10-11T11:52:00"/>
        <d v="2024-03-01T13:51:00"/>
        <d v="2024-10-11T10:10:00"/>
        <d v="2024-06-23T15:39:00"/>
        <d v="2024-07-28T10:38:00"/>
        <d v="2024-10-19T16:00:00"/>
        <d v="2024-12-11T14:24:00"/>
        <d v="2025-01-12T13:47:00"/>
        <d v="2024-10-28T13:52:00"/>
        <d v="2025-04-09T14:41:00"/>
        <d v="2024-10-28T14:21:00"/>
        <d v="2024-03-27T11:23:00"/>
        <d v="2024-05-09T11:58:00"/>
        <d v="2024-05-15T16:09:00"/>
        <d v="2024-11-18T14:30:00"/>
        <d v="2025-04-22T12:43:00"/>
        <d v="2024-12-05T12:45:00"/>
        <d v="2025-01-16T14:35:00"/>
        <d v="2024-09-26T14:32:00"/>
        <d v="2025-04-06T15:54:00"/>
        <d v="2025-01-03T10:19:00"/>
        <d v="2025-01-24T11:38:00"/>
        <d v="2024-02-02T12:04:00"/>
        <d v="2024-08-09T09:45:00"/>
        <d v="2024-04-04T11:16:00"/>
        <d v="2025-04-08T15:33:00"/>
        <d v="2024-03-11T13:58:00"/>
        <d v="2025-01-03T10:05:00"/>
        <d v="2024-02-06T14:49:00"/>
        <d v="2024-07-27T11:56:00"/>
        <d v="2024-01-26T12:52:00"/>
        <d v="2024-09-08T11:46:00"/>
        <d v="2024-04-15T13:32:00"/>
        <d v="2024-06-02T12:16:00"/>
        <d v="2024-11-19T12:07:00"/>
        <d v="2024-10-09T15:46:00"/>
        <d v="2024-10-10T14:52:00"/>
        <d v="2024-06-20T12:52:00"/>
        <d v="2024-08-21T11:36:00"/>
        <d v="2024-12-18T14:05:00"/>
        <d v="2024-03-05T13:32:00"/>
        <d v="2024-07-23T10:33:00"/>
        <d v="2024-04-07T14:09:00"/>
        <d v="2024-12-01T12:40:00"/>
        <d v="2025-02-14T14:34:00"/>
        <d v="2024-03-03T14:21:00"/>
        <d v="2025-04-14T13:12:00"/>
        <d v="2024-06-06T09:00:00"/>
        <d v="2024-02-01T13:21:00"/>
        <d v="2024-08-01T12:23:00"/>
        <d v="2025-03-08T10:34:00"/>
        <d v="2024-06-16T12:10:00"/>
        <d v="2024-01-26T16:37:00"/>
        <d v="2024-01-16T11:49:00"/>
        <d v="2024-04-09T10:40:00"/>
        <d v="2025-02-26T10:42:00"/>
        <d v="2024-11-22T11:43:00"/>
        <d v="2025-03-17T11:27:00"/>
        <d v="2024-03-31T12:12:00"/>
        <d v="2024-11-01T14:46:00"/>
        <d v="2024-12-04T13:49:00"/>
        <d v="2024-11-05T12:25:00"/>
        <d v="2024-03-02T11:43:00"/>
        <d v="2024-07-03T14:25:00"/>
        <d v="2025-01-02T13:42:00"/>
        <d v="2024-12-10T14:55:00"/>
        <d v="2024-12-25T12:25:00"/>
        <d v="2024-05-30T17:12:00"/>
        <d v="2025-01-13T10:13:00"/>
        <d v="2024-02-15T11:16:00"/>
        <d v="2024-10-12T10:35:00"/>
        <d v="2024-09-07T14:27:00"/>
        <d v="2024-05-25T14:12:00"/>
        <d v="2024-11-19T13:55:00"/>
        <d v="2024-01-06T12:16:00"/>
        <d v="2025-03-05T11:47:00"/>
        <d v="2024-06-19T12:12:00"/>
        <d v="2024-05-23T13:41:00"/>
        <d v="2024-01-09T14:47:00"/>
        <d v="2025-02-21T11:31:00"/>
        <d v="2024-06-04T13:13:00"/>
        <d v="2024-06-02T12:27:00"/>
        <d v="2024-04-23T12:09:00"/>
        <d v="2024-10-15T14:49:00"/>
        <d v="2024-01-24T13:08:00"/>
        <d v="2024-07-31T13:10:00"/>
        <d v="2025-01-18T17:15:00"/>
        <d v="2024-10-04T11:58:00"/>
        <d v="2025-01-05T10:47:00"/>
        <d v="2024-06-23T11:47:00"/>
        <d v="2024-12-07T12:55:00"/>
        <d v="2025-02-11T09:51:00"/>
        <d v="2024-07-05T11:16:00"/>
        <d v="2024-02-15T14:21:00"/>
        <d v="2024-12-27T14:37:00"/>
        <d v="2024-05-20T16:10:00"/>
        <d v="2025-03-03T08:24:00"/>
        <d v="2025-03-03T12:49:00"/>
        <d v="2024-12-04T09:12:00"/>
        <d v="2024-12-14T14:52:00"/>
        <d v="2024-10-24T11:07:00"/>
        <d v="2025-02-02T10:04:00"/>
        <d v="2025-02-11T14:03:00"/>
        <d v="2024-10-05T15:32:00"/>
        <d v="2024-11-15T12:44:00"/>
        <d v="2024-02-13T16:21:00"/>
        <d v="2025-02-03T11:45:00"/>
        <d v="2024-04-08T12:15:00"/>
        <d v="2024-01-08T14:29:00"/>
        <d v="2025-02-24T13:17:00"/>
        <d v="2024-10-24T11:55:00"/>
        <d v="2024-05-17T12:34:00"/>
        <d v="2024-01-14T16:33:00"/>
        <d v="2024-09-04T11:53:00"/>
        <d v="2024-10-17T08:32:00"/>
        <d v="2024-02-23T13:25:00"/>
        <d v="2025-02-11T13:43:00"/>
        <d v="2025-01-11T16:21:00"/>
        <d v="2025-02-13T14:25:00"/>
        <d v="2024-01-06T15:12:00"/>
        <d v="2024-02-15T12:27:00"/>
        <d v="2024-02-12T13:15:00"/>
        <d v="2024-02-16T14:53:00"/>
        <d v="2025-04-20T14:23:00"/>
        <d v="2024-09-15T13:59:00"/>
        <d v="2024-04-28T13:45:00"/>
        <d v="2024-09-22T11:09:00"/>
        <d v="2024-05-11T12:58:00"/>
        <d v="2024-12-17T11:52:00"/>
        <d v="2024-09-28T14:11:00"/>
        <d v="2024-10-21T13:01:00"/>
        <d v="2024-02-02T12:29:00"/>
        <d v="2024-07-29T11:59:00"/>
        <d v="2024-01-10T10:59:00"/>
        <d v="2025-04-07T16:15:00"/>
        <d v="2024-03-19T14:46:00"/>
        <d v="2025-03-27T15:42:00"/>
        <d v="2024-06-01T15:39:00"/>
        <d v="2025-02-06T10:46:00"/>
        <d v="2024-05-29T10:16:00"/>
        <d v="2024-12-12T16:17:00"/>
        <d v="2024-09-29T15:48:00"/>
        <d v="2024-09-12T13:43:00"/>
        <d v="2024-07-27T13:36:00"/>
        <d v="2024-07-31T13:28:00"/>
        <d v="2025-03-09T12:00:00"/>
        <d v="2024-06-24T12:38:00"/>
        <d v="2024-04-23T12:11:00"/>
        <d v="2024-06-30T12:34:00"/>
        <d v="2024-06-16T11:48:00"/>
        <d v="2024-09-24T13:32:00"/>
        <d v="2025-03-24T16:07:00"/>
        <d v="2025-04-19T14:17:00"/>
        <d v="2024-04-07T13:25:00"/>
        <d v="2024-02-03T16:34:00"/>
        <d v="2025-04-12T16:14:00"/>
        <d v="2024-11-22T10:02:00"/>
        <d v="2024-09-09T16:00:00"/>
        <d v="2025-03-23T14:41:00"/>
        <d v="2024-02-19T12:31:00"/>
        <d v="2025-01-04T15:30:00"/>
        <d v="2024-08-13T14:36:00"/>
        <d v="2024-10-13T11:34:00"/>
        <d v="2024-05-06T10:55:00"/>
        <d v="2024-03-08T10:15:00"/>
        <d v="2024-07-26T11:02:00"/>
        <d v="2024-11-02T10:17:00"/>
        <d v="2024-02-08T15:05:00"/>
        <d v="2024-05-25T11:05:00"/>
        <d v="2025-01-03T12:32:00"/>
        <d v="2025-01-22T15:43:00"/>
        <d v="2025-02-28T12:04:00"/>
        <d v="2024-07-19T14:03:00"/>
        <d v="2025-02-06T11:21:00"/>
        <d v="2024-12-10T12:26:00"/>
        <d v="2024-04-11T08:33:00"/>
        <d v="2025-03-23T13:16:00"/>
        <d v="2025-02-11T10:57:00"/>
        <d v="2024-08-12T13:02:00"/>
        <d v="2024-07-03T13:09:00"/>
        <d v="2024-08-24T14:36:00"/>
        <d v="2024-08-26T13:15:00"/>
        <d v="2024-04-09T13:45:00"/>
        <d v="2025-01-14T14:42:00"/>
        <d v="2024-05-14T16:32:00"/>
        <d v="2025-01-13T16:21:00"/>
        <d v="2024-04-24T16:22:00"/>
        <d v="2024-02-07T09:58:00"/>
        <d v="2025-04-04T11:10:00"/>
        <d v="2024-04-02T10:51:00"/>
        <d v="2024-05-17T12:30:00"/>
        <d v="2024-04-09T13:56:00"/>
        <d v="2024-11-25T13:57:00"/>
        <d v="2024-01-16T14:56:00"/>
        <d v="2025-01-07T13:54:00"/>
        <d v="2024-05-27T10:56:00"/>
        <d v="2025-03-15T09:15:00"/>
        <d v="2024-06-15T13:02:00"/>
        <d v="2024-03-14T10:27:00"/>
        <d v="2024-07-19T11:17:00"/>
        <d v="2024-11-21T11:26:00"/>
        <d v="2024-04-09T11:01:00"/>
        <d v="2024-06-13T11:19:00"/>
        <d v="2024-12-14T08:34:00"/>
        <d v="2024-05-30T10:59:00"/>
        <d v="2024-05-21T12:52:00"/>
        <d v="2024-11-01T14:06:00"/>
        <d v="2025-01-02T13:57:00"/>
        <d v="2024-07-10T13:10:00"/>
        <d v="2025-01-01T13:00:00"/>
        <d v="2024-01-17T12:31:00"/>
        <d v="2025-01-14T12:26:00"/>
        <d v="2024-09-01T09:36:00"/>
        <d v="2025-03-05T10:36:00"/>
        <d v="2024-12-01T10:51:00"/>
        <d v="2024-12-04T12:33:00"/>
        <d v="2024-03-29T12:17:00"/>
        <d v="2025-03-13T12:59:00"/>
        <d v="2024-04-23T14:14:00"/>
        <d v="2025-03-09T12:07:00"/>
        <d v="2024-05-13T13:25:00"/>
        <d v="2024-08-13T14:29:00"/>
        <d v="2024-04-08T13:49:00"/>
        <d v="2024-07-01T12:54:00"/>
        <d v="2024-04-26T10:40:00"/>
        <d v="2025-01-03T13:01:00"/>
        <d v="2025-03-30T14:09:00"/>
        <d v="2024-11-18T08:27:00"/>
        <d v="2024-04-28T15:06:00"/>
        <d v="2024-02-20T10:06:00"/>
        <d v="2025-04-23T15:30:00"/>
        <d v="2024-07-31T12:29:00"/>
        <d v="2024-07-03T13:55:00"/>
        <d v="2024-02-10T11:26:00"/>
        <d v="2024-04-08T13:06:00"/>
        <d v="2025-04-07T13:21:00"/>
        <d v="2024-12-07T13:41:00"/>
        <d v="2024-07-07T13:46:00"/>
        <d v="2024-12-03T15:56:00"/>
        <d v="2024-09-20T15:41:00"/>
        <d v="2024-01-14T13:41:00"/>
        <d v="2025-04-07T14:53:00"/>
        <d v="2024-05-18T11:22:00"/>
        <d v="2024-12-13T11:55:00"/>
        <d v="2024-10-05T14:24:00"/>
        <d v="2024-02-15T15:22:00"/>
        <d v="2024-03-01T14:21:00"/>
        <d v="2024-02-27T15:09:00"/>
        <d v="2024-09-22T12:52:00"/>
        <d v="2024-04-04T09:44:00"/>
        <d v="2024-10-09T13:29:00"/>
        <d v="2024-09-07T12:30:00"/>
        <d v="2024-05-16T12:21:00"/>
        <d v="2024-07-17T13:02:00"/>
        <d v="2024-10-07T12:08:00"/>
        <d v="2024-08-25T13:54:00"/>
        <d v="2024-03-04T15:20:00"/>
        <d v="2024-01-10T11:27:00"/>
        <d v="2024-10-25T13:46:00"/>
        <d v="2024-05-10T08:35:00"/>
        <d v="2025-03-04T10:51:00"/>
        <d v="2024-08-05T14:06:00"/>
        <d v="2024-10-21T12:02:00"/>
        <d v="2024-03-03T07:15:00"/>
        <d v="2025-04-22T12:07:00"/>
        <d v="2024-07-04T12:02:00"/>
        <d v="2024-10-19T08:52:00"/>
        <d v="2024-06-12T14:46:00"/>
        <d v="2024-12-06T12:43:00"/>
        <d v="2024-11-30T13:29:00"/>
        <d v="2024-03-08T12:50:00"/>
        <d v="2025-03-28T13:08:00"/>
        <d v="2024-02-10T13:41:00"/>
        <d v="2024-01-15T14:48:00"/>
        <d v="2024-04-19T11:48:00"/>
        <d v="2024-10-01T11:29:00"/>
        <d v="2024-07-04T12:41:00"/>
        <d v="2024-06-22T14:21:00"/>
        <d v="2024-09-23T13:11:00"/>
        <d v="2024-08-28T16:45:00"/>
        <d v="2024-12-18T13:09:00"/>
        <d v="2025-01-18T11:13:00"/>
        <d v="2025-01-09T11:55:00"/>
        <d v="2025-01-11T16:00:00"/>
        <d v="2024-10-01T12:02:00"/>
        <d v="2025-03-20T11:27:00"/>
        <d v="2024-02-02T12:53:00"/>
        <d v="2024-03-22T10:28:00"/>
        <d v="2024-12-28T09:28:00"/>
        <d v="2024-01-24T15:43:00"/>
        <d v="2024-02-19T13:02:00"/>
        <d v="2024-12-10T14:43:00"/>
        <d v="2024-01-26T11:06:00"/>
        <d v="2025-02-18T12:07:00"/>
        <d v="2024-02-11T10:05:00"/>
        <d v="2024-06-09T14:06:00"/>
        <d v="2024-09-28T13:27:00"/>
        <d v="2024-02-22T11:50:00"/>
        <d v="2024-02-14T10:26:00"/>
        <d v="2024-03-26T14:39:00"/>
        <d v="2024-02-23T12:36:00"/>
        <d v="2024-04-12T14:01:00"/>
        <d v="2024-09-10T10:14:00"/>
        <d v="2025-04-21T10:40:00"/>
        <d v="2025-03-29T15:54:00"/>
        <d v="2024-06-17T11:10:00"/>
        <d v="2024-10-17T12:49:00"/>
        <d v="2024-08-05T12:11:00"/>
        <d v="2024-06-08T15:01:00"/>
        <d v="2024-07-16T12:12:00"/>
        <d v="2024-08-29T13:00:00"/>
        <d v="2024-05-12T11:03:00"/>
        <d v="2024-09-30T12:55:00"/>
        <d v="2024-01-06T13:51:00"/>
        <d v="2024-01-12T12:21:00"/>
        <d v="2024-12-18T12:28:00"/>
        <d v="2025-04-22T10:35:00"/>
        <d v="2024-03-18T13:19:00"/>
        <d v="2024-02-10T11:06:00"/>
        <d v="2024-03-09T12:11:00"/>
        <d v="2024-04-19T12:38:00"/>
        <d v="2024-06-01T11:18:00"/>
        <d v="2024-06-25T12:22:00"/>
        <d v="2024-11-13T14:10:00"/>
        <d v="2024-01-14T14:35:00"/>
        <d v="2024-01-12T11:20:00"/>
        <d v="2025-02-21T12:50:00"/>
        <d v="2025-01-25T15:11:00"/>
        <d v="2024-05-22T10:37:00"/>
        <d v="2024-09-01T15:02:00"/>
        <d v="2025-03-24T11:03:00"/>
        <d v="2024-06-12T09:16:00"/>
        <d v="2025-01-22T13:50:00"/>
        <d v="2024-08-14T13:10:00"/>
        <d v="2024-05-25T12:52:00"/>
        <d v="2024-02-15T10:17:00"/>
        <d v="2024-09-26T12:19:00"/>
        <d v="2024-08-02T14:48:00"/>
        <d v="2024-05-21T11:10:00"/>
        <d v="2024-01-29T12:05:00"/>
        <d v="2024-04-01T12:32:00"/>
        <d v="2024-12-27T13:43:00"/>
        <d v="2024-12-04T10:20:00"/>
        <d v="2025-03-07T12:38:00"/>
        <d v="2024-11-22T11:02:00"/>
        <d v="2024-01-26T12:16:00"/>
        <d v="2025-02-16T10:36:00"/>
        <d v="2024-07-14T14:19:00"/>
        <d v="2024-02-14T13:09:00"/>
        <d v="2024-09-02T18:06:00"/>
        <d v="2024-10-16T12:52:00"/>
        <d v="2025-03-17T13:10:00"/>
        <d v="2024-05-30T11:34:00"/>
        <d v="2024-06-28T14:01:00"/>
        <d v="2025-03-27T12:58:00"/>
        <d v="2024-06-24T11:35:00"/>
        <d v="2024-05-11T15:48:00"/>
        <d v="2024-07-01T12:21:00"/>
        <d v="2024-01-14T13:00:00"/>
        <d v="2024-04-17T13:05:00"/>
        <d v="2024-10-11T11:48:00"/>
        <d v="2025-01-06T15:32:00"/>
        <d v="2024-09-04T15:44:00"/>
        <d v="2024-11-19T13:14:00"/>
        <d v="2024-03-19T14:10:00"/>
        <d v="2024-05-17T12:48:00"/>
        <d v="2024-01-06T15:42:00"/>
        <d v="2024-03-24T12:41:00"/>
        <d v="2024-02-06T10:03:00"/>
        <d v="2024-12-25T13:11:00"/>
        <d v="2024-08-17T14:53:00"/>
        <d v="2024-08-31T14:04:00"/>
        <d v="2025-01-10T13:21:00"/>
        <d v="2024-05-08T11:15:00"/>
        <d v="2024-06-18T12:53:00"/>
        <d v="2024-02-16T14:28:00"/>
        <d v="2025-03-26T14:03:00"/>
        <d v="2024-07-29T13:13:00"/>
        <d v="2025-01-30T12:27:00"/>
        <d v="2024-03-18T12:36:00"/>
        <d v="2025-04-04T13:44:00"/>
        <d v="2024-07-01T18:12:00"/>
        <d v="2025-01-17T12:03:00"/>
        <d v="2024-01-18T14:59:00"/>
        <d v="2025-03-21T12:51:00"/>
        <d v="2024-05-11T10:35:00"/>
        <d v="2024-10-30T14:45:00"/>
        <d v="2024-11-26T13:37:00"/>
        <d v="2024-02-14T11:24:00"/>
        <d v="2024-01-19T12:34:00"/>
        <d v="2025-03-22T16:18:00"/>
        <d v="2024-06-01T10:55:00"/>
        <d v="2025-01-15T13:15:00"/>
        <d v="2024-12-05T11:35:00"/>
        <d v="2025-03-02T09:14:00"/>
        <d v="2024-09-25T16:45:00"/>
        <d v="2025-04-24T10:36:00"/>
        <d v="2025-03-28T15:52:00"/>
        <d v="2024-03-18T11:40:00"/>
        <d v="2025-02-21T11:29:00"/>
        <d v="2025-04-13T11:21:00"/>
        <d v="2025-02-09T11:47:00"/>
        <d v="2025-04-05T09:02:00"/>
        <d v="2025-02-16T13:25:00"/>
        <d v="2024-11-08T11:45:00"/>
        <d v="2025-04-22T09:34:00"/>
        <d v="2024-09-19T13:52:00"/>
        <d v="2024-09-02T10:43:00"/>
        <d v="2024-08-03T19:27:00"/>
        <d v="2024-09-28T13:33:00"/>
        <d v="2025-04-22T13:13:00"/>
        <d v="2024-04-19T15:37:00"/>
        <d v="2024-04-26T11:00:00"/>
        <d v="2024-08-03T09:43:00"/>
        <d v="2025-04-20T11:32:00"/>
        <d v="2025-04-23T10:23:00"/>
        <d v="2024-11-14T16:45:00"/>
        <d v="2024-02-29T11:50:00"/>
        <d v="2024-05-23T15:06:00"/>
        <d v="2025-01-17T10:57:00"/>
        <d v="2024-06-04T14:51:00"/>
        <d v="2024-09-14T14:23:00"/>
        <d v="2024-05-14T13:18:00"/>
        <d v="2025-02-08T08:04:00"/>
        <d v="2024-12-18T12:53:00"/>
        <d v="2024-03-02T14:31:00"/>
        <d v="2024-08-15T14:20:00"/>
        <d v="2024-03-31T14:08:00"/>
        <d v="2024-03-16T12:50:00"/>
        <d v="2024-06-20T13:26:00"/>
        <d v="2024-09-28T15:53:00"/>
        <d v="2025-01-13T12:28:00"/>
        <d v="2025-01-24T15:40:00"/>
        <d v="2024-09-17T10:16:00"/>
        <d v="2025-04-12T13:08:00"/>
        <d v="2024-08-15T15:48:00"/>
        <d v="2025-04-20T15:53:00"/>
        <d v="2024-09-27T11:07:00"/>
        <d v="2025-04-15T13:54:00"/>
        <d v="2024-08-17T14:14:00"/>
        <d v="2025-04-03T11:25:00"/>
        <d v="2024-08-14T16:03:00"/>
        <d v="2024-12-21T14:44:00"/>
        <d v="2025-01-08T10:05:00"/>
        <d v="2024-07-01T11:30:00"/>
        <d v="2024-10-07T12:17:00"/>
        <d v="2024-07-15T12:59:00"/>
        <d v="2024-04-12T13:57:00"/>
        <d v="2024-09-06T08:22:00"/>
        <d v="2025-04-21T11:59:00"/>
        <d v="2025-01-25T11:16:00"/>
        <d v="2024-06-25T11:32:00"/>
        <d v="2024-01-28T12:09:00"/>
        <d v="2024-09-05T14:25:00"/>
        <d v="2025-01-22T12:16:00"/>
        <d v="2025-03-19T12:16:00"/>
        <d v="2024-10-21T13:52:00"/>
        <d v="2024-11-27T12:20:00"/>
        <d v="2025-03-27T10:27:00"/>
        <d v="2024-04-05T14:30:00"/>
        <d v="2024-07-05T14:30:00"/>
        <d v="2025-04-07T11:45:00"/>
        <d v="2024-02-14T12:54:00"/>
        <d v="2024-11-20T14:04:00"/>
        <d v="2024-06-11T13:12:00"/>
        <d v="2024-10-13T10:15:00"/>
        <d v="2024-09-24T12:22:00"/>
        <d v="2025-02-27T13:28:00"/>
        <d v="2025-01-18T15:48:00"/>
        <d v="2025-02-11T15:16:00"/>
        <d v="2024-09-22T10:28:00"/>
        <d v="2025-02-05T15:08:00"/>
        <d v="2024-10-24T11:14:00"/>
        <d v="2024-06-13T10:22:00"/>
        <d v="2024-10-04T09:47:00"/>
        <d v="2024-04-09T10:14:00"/>
        <d v="2024-12-10T11:56:00"/>
        <d v="2024-02-22T15:34:00"/>
        <d v="2024-10-14T11:50:00"/>
        <d v="2024-11-11T09:36:00"/>
        <d v="2024-04-11T11:45:00"/>
        <d v="2024-07-09T11:01:00"/>
        <d v="2024-01-11T12:01:00"/>
        <d v="2025-01-09T12:06:00"/>
        <d v="2024-07-08T11:13:00"/>
        <d v="2024-10-22T14:20:00"/>
        <d v="2024-07-11T10:16:00"/>
        <d v="2024-07-15T11:44:00"/>
        <d v="2024-11-09T11:35:00"/>
        <d v="2024-07-31T08:18:00"/>
        <d v="2024-11-23T09:56:00"/>
        <d v="2024-12-02T11:18:00"/>
        <d v="2024-07-26T10:22:00"/>
        <d v="2025-02-19T13:16:00"/>
        <d v="2024-02-09T14:59:00"/>
        <d v="2024-09-03T13:50:00"/>
        <d v="2024-02-15T14:16:00"/>
        <d v="2025-01-21T12:06:00"/>
        <d v="2024-05-25T14:10:00"/>
        <d v="2024-11-29T10:51:00"/>
        <d v="2024-02-02T14:17:00"/>
        <d v="2024-05-23T14:41:00"/>
        <d v="2024-03-12T13:29:00"/>
        <d v="2025-02-26T13:25:00"/>
        <d v="2024-09-07T14:15:00"/>
        <d v="2024-01-18T12:40:00"/>
        <d v="2024-05-02T10:01:00"/>
        <d v="2025-03-26T12:53:00"/>
        <d v="2024-04-01T12:09:00"/>
        <d v="2024-03-24T12:21:00"/>
        <d v="2024-08-25T12:17:00"/>
        <d v="2024-10-07T11:25:00"/>
        <d v="2024-05-30T11:45:00"/>
        <d v="2024-07-30T14:44:00"/>
        <d v="2024-05-26T11:38:00"/>
        <d v="2024-03-24T12:01:00"/>
        <d v="2024-09-29T15:54:00"/>
        <d v="2024-03-19T14:05:00"/>
        <d v="2024-12-10T15:26:00"/>
        <d v="2025-04-17T12:05:00"/>
        <d v="2025-02-05T10:39:00"/>
        <d v="2025-01-22T12:00:00"/>
        <d v="2024-01-12T09:20:00"/>
        <d v="2024-02-24T15:31:00"/>
        <d v="2024-07-21T11:17:00"/>
        <d v="2025-02-26T12:55:00"/>
        <d v="2024-12-02T13:56:00"/>
        <d v="2024-10-24T13:56:00"/>
        <d v="2024-11-29T12:06:00"/>
        <d v="2024-11-23T14:17:00"/>
        <d v="2025-03-06T14:09:00"/>
        <d v="2024-11-05T12:20:00"/>
        <d v="2025-01-21T12:33:00"/>
        <d v="2024-07-05T12:11:00"/>
        <d v="2024-12-01T17:27:00"/>
        <d v="2025-03-31T11:41:00"/>
        <d v="2024-07-16T15:59:00"/>
        <d v="2024-04-26T12:49:00"/>
        <d v="2024-11-21T14:29:00"/>
        <d v="2024-01-10T15:13:00"/>
        <d v="2024-12-16T11:53:00"/>
        <d v="2024-02-21T10:24:00"/>
        <d v="2024-12-23T13:41:00"/>
        <d v="2025-03-09T15:17:00"/>
        <d v="2024-09-28T09:45:00"/>
        <d v="2024-03-19T13:47:00"/>
        <d v="2025-02-16T13:48:00"/>
        <d v="2024-11-01T14:04:00"/>
        <d v="2024-11-18T11:27:00"/>
        <d v="2025-04-06T12:55:00"/>
        <d v="2024-05-17T11:22:00"/>
        <d v="2025-03-14T14:50:00"/>
        <d v="2024-02-22T12:07:00"/>
        <d v="2024-04-05T10:19:00"/>
        <d v="2024-05-05T11:35:00"/>
        <d v="2024-10-01T12:06:00"/>
        <d v="2024-03-28T12:11:00"/>
        <d v="2025-01-11T13:27:00"/>
        <d v="2024-06-16T15:53:00"/>
        <d v="2025-03-07T10:42:00"/>
        <d v="2024-08-02T10:52:00"/>
        <d v="2024-08-04T17:31:00"/>
        <d v="2024-08-13T11:04:00"/>
        <d v="2024-08-19T14:01:00"/>
        <d v="2024-08-11T11:39:00"/>
        <d v="2024-08-04T11:03:00"/>
        <d v="2024-10-23T13:16:00"/>
        <d v="2025-01-12T10:40:00"/>
        <d v="2024-01-07T11:33:00"/>
        <d v="2025-01-13T10:26:00"/>
        <d v="2024-01-09T12:36:00"/>
        <d v="2024-01-07T11:10:00"/>
        <d v="2025-02-23T15:36:00"/>
        <d v="2024-08-15T11:41:00"/>
        <d v="2024-08-04T11:30:00"/>
        <d v="2024-12-29T13:08:00"/>
        <d v="2025-03-29T12:11:00"/>
        <d v="2024-08-20T11:30:00"/>
        <d v="2024-10-05T11:02:00"/>
        <d v="2024-10-10T11:21:00"/>
        <d v="2024-06-13T12:56:00"/>
        <d v="2024-03-25T13:52:00"/>
        <d v="2024-04-02T14:53:00"/>
        <d v="2024-12-30T12:05:00"/>
        <d v="2024-07-28T09:06:00"/>
        <d v="2024-02-15T14:53:00"/>
        <d v="2024-10-31T14:33:00"/>
        <d v="2025-02-06T14:36:00"/>
        <d v="2024-06-28T13:18:00"/>
        <d v="2024-10-17T15:25:00"/>
        <d v="2024-03-12T11:25:00"/>
        <d v="2024-01-02T15:34:00"/>
        <d v="2024-09-11T13:14:00"/>
        <d v="2024-07-29T12:56:00"/>
        <d v="2024-04-29T13:35:00"/>
        <d v="2024-12-30T11:21:00"/>
        <d v="2024-01-12T09:31:00"/>
        <d v="2025-01-22T13:00:00"/>
        <d v="2025-03-04T17:02:00"/>
        <d v="2024-07-12T12:10:00"/>
        <d v="2024-12-03T14:47:00"/>
        <d v="2025-01-24T12:22:00"/>
        <d v="2024-12-21T12:45:00"/>
        <d v="2024-12-08T13:01:00"/>
        <d v="2024-09-23T08:38:00"/>
        <d v="2024-12-28T12:21:00"/>
        <d v="2025-04-06T11:47:00"/>
        <d v="2024-06-10T15:39:00"/>
        <d v="2024-04-26T16:19:00"/>
        <d v="2025-02-28T12:00:00"/>
        <d v="2024-08-21T12:52:00"/>
        <d v="2024-02-03T16:41:00"/>
        <d v="2025-03-23T10:29:00"/>
        <d v="2024-04-15T10:28:00"/>
        <d v="2024-12-20T09:00:00"/>
        <d v="2024-04-23T13:58:00"/>
        <d v="2024-10-22T16:15:00"/>
        <d v="2024-11-04T15:14:00"/>
        <d v="2024-07-10T14:29:00"/>
        <d v="2024-11-08T14:51:00"/>
        <d v="2024-09-02T11:57:00"/>
        <d v="2024-12-18T11:53:00"/>
        <d v="2024-10-10T15:26:00"/>
        <d v="2024-09-24T12:50:00"/>
        <d v="2024-05-05T18:16:00"/>
        <d v="2025-04-04T13:13:00"/>
        <d v="2024-06-12T10:02:00"/>
        <d v="2025-02-05T15:54:00"/>
        <d v="2024-11-18T16:53:00"/>
        <d v="2024-05-23T13:39:00"/>
        <d v="2024-06-05T12:39:00"/>
        <d v="2024-08-30T14:44:00"/>
        <d v="2024-11-27T12:21:00"/>
        <d v="2024-09-13T12:33:00"/>
        <d v="2024-11-28T10:51:00"/>
        <d v="2024-08-25T12:33:00"/>
        <d v="2025-04-23T10:20:00"/>
        <d v="2024-08-21T12:42:00"/>
        <d v="2024-01-02T12:09:00"/>
        <d v="2024-08-02T16:02:00"/>
        <d v="2024-10-16T12:05:00"/>
        <d v="2024-09-28T09:52:00"/>
        <d v="2024-10-24T10:33:00"/>
        <d v="2024-07-12T11:04:00"/>
        <d v="2024-08-25T13:08:00"/>
        <d v="2025-04-24T12:19:00"/>
        <d v="2025-04-20T13:17:00"/>
        <d v="2024-06-08T15:52:00"/>
        <d v="2024-11-06T12:57:00"/>
        <d v="2024-10-21T16:11:00"/>
        <d v="2024-04-28T13:37:00"/>
        <d v="2025-04-14T13:42:00"/>
        <d v="2024-07-13T13:36:00"/>
        <d v="2024-11-29T10:52:00"/>
        <d v="2024-02-09T11:27:00"/>
        <d v="2024-01-02T14:28:00"/>
        <d v="2024-02-22T15:17:00"/>
        <d v="2024-09-13T14:13:00"/>
        <d v="2024-04-04T12:34:00"/>
        <d v="2024-12-04T12:28:00"/>
        <d v="2024-10-26T13:31:00"/>
        <d v="2024-06-05T14:02:00"/>
        <d v="2024-01-05T14:18:00"/>
        <d v="2024-12-17T09:24:00"/>
        <d v="2024-08-11T12:23:00"/>
        <d v="2024-04-21T09:43:00"/>
        <d v="2024-05-27T11:17:00"/>
        <d v="2024-06-22T13:25:00"/>
        <d v="2024-11-26T11:57:00"/>
        <d v="2024-10-21T10:01:00"/>
        <d v="2024-01-10T11:22:00"/>
        <d v="2024-10-20T13:55:00"/>
        <d v="2024-07-31T13:15:00"/>
        <d v="2024-12-17T10:46:00"/>
        <d v="2024-04-10T09:00:00"/>
        <d v="2025-04-24T14:24:00"/>
        <d v="2024-03-25T11:03:00"/>
        <d v="2024-07-20T14:47:00"/>
        <d v="2024-09-27T14:57:00"/>
        <d v="2025-01-28T16:12:00"/>
        <d v="2024-09-30T09:48:00"/>
        <d v="2024-09-07T11:47:00"/>
        <d v="2025-04-13T12:53:00"/>
        <d v="2024-07-26T13:11:00"/>
        <d v="2024-05-03T16:18:00"/>
        <d v="2024-02-09T11:44:00"/>
        <d v="2024-10-21T10:58:00"/>
        <d v="2024-10-01T11:01:00"/>
        <d v="2024-05-05T16:25:00"/>
        <d v="2025-03-23T12:18:00"/>
        <d v="2024-12-01T13:07:00"/>
        <d v="2025-01-23T13:46:00"/>
        <d v="2024-02-15T10:16:00"/>
        <d v="2024-02-03T14:06:00"/>
        <d v="2024-06-11T11:30:00"/>
        <d v="2024-10-21T12:07:00"/>
        <d v="2024-12-25T14:24:00"/>
        <d v="2024-06-06T11:40:00"/>
        <d v="2024-11-26T11:56:00"/>
        <d v="2025-01-09T10:40:00"/>
        <d v="2024-01-06T15:59:00"/>
        <d v="2024-04-22T10:52:00"/>
        <d v="2024-05-23T11:53:00"/>
        <d v="2024-04-28T10:52:00"/>
        <d v="2025-03-20T11:55:00"/>
        <d v="2024-06-07T14:45:00"/>
        <d v="2025-01-12T13:21:00"/>
        <d v="2024-02-24T08:39:00"/>
        <d v="2025-02-19T13:57:00"/>
        <d v="2024-08-03T15:33:00"/>
        <d v="2025-04-13T13:48:00"/>
        <d v="2024-03-15T15:51:00"/>
        <d v="2024-11-18T15:07:00"/>
        <d v="2024-09-27T14:05:00"/>
        <d v="2024-08-08T16:47:00"/>
        <d v="2025-02-03T11:31:00"/>
        <d v="2025-04-09T13:28:00"/>
        <d v="2024-10-24T10:24:00"/>
        <d v="2024-05-03T11:28:00"/>
        <d v="2024-12-31T11:35:00"/>
        <d v="2024-07-22T16:23:00"/>
        <d v="2024-04-02T14:09:00"/>
        <d v="2025-02-01T13:28:00"/>
        <d v="2024-02-18T11:13:00"/>
        <d v="2024-06-01T11:43:00"/>
        <d v="2024-07-09T14:32:00"/>
        <d v="2024-04-18T13:02:00"/>
        <d v="2024-06-19T11:47:00"/>
        <d v="2024-01-11T14:08:00"/>
        <d v="2024-10-04T12:12:00"/>
        <d v="2024-08-05T14:00:00"/>
        <d v="2024-05-31T13:38:00"/>
        <d v="2025-03-21T11:36:00"/>
        <d v="2024-08-27T13:29:00"/>
        <d v="2025-01-22T12:27:00"/>
        <d v="2024-09-08T12:57:00"/>
        <d v="2024-10-25T16:00:00"/>
        <d v="2024-07-20T07:33:00"/>
        <d v="2024-09-15T12:29:00"/>
        <d v="2024-10-26T09:17:00"/>
        <d v="2024-09-01T11:52:00"/>
        <d v="2024-03-06T10:09:00"/>
        <d v="2025-04-07T14:18:00"/>
        <d v="2024-12-05T11:42:00"/>
        <d v="2025-02-27T14:12:00"/>
        <d v="2024-06-11T17:53:00"/>
        <d v="2024-02-23T07:39:00"/>
        <d v="2025-02-05T14:32:00"/>
        <d v="2024-06-29T10:48:00"/>
        <d v="2024-07-22T12:29:00"/>
        <d v="2024-01-23T11:56:00"/>
        <d v="2024-07-04T12:23:00"/>
        <d v="2025-04-07T17:19:00"/>
        <d v="2024-11-22T14:52:00"/>
        <d v="2024-12-29T12:30:00"/>
        <d v="2024-08-15T15:53:00"/>
        <d v="2024-10-02T16:56:00"/>
        <d v="2024-02-28T13:16:00"/>
        <d v="2024-12-19T13:34:00"/>
        <d v="2024-06-14T13:40:00"/>
        <d v="2024-11-15T18:02:00"/>
        <d v="2024-04-09T14:30:00"/>
        <d v="2024-03-03T14:46:00"/>
        <d v="2024-05-21T11:38:00"/>
        <d v="2024-01-01T17:04:00"/>
        <d v="2024-12-29T11:39:00"/>
        <d v="2024-02-15T11:38:00"/>
        <d v="2024-09-04T12:37:00"/>
        <d v="2025-02-04T15:24:00"/>
        <d v="2024-07-16T14:47:00"/>
        <d v="2024-12-17T13:43:00"/>
        <d v="2024-12-11T13:35:00"/>
        <d v="2024-03-03T16:31:00"/>
        <d v="2024-05-31T11:06:00"/>
        <d v="2025-04-09T13:50:00"/>
        <d v="2024-08-28T10:21:00"/>
        <d v="2024-09-16T16:04:00"/>
        <d v="2025-03-22T14:34:00"/>
        <d v="2024-01-24T13:30:00"/>
        <d v="2024-04-01T14:52:00"/>
        <d v="2024-08-15T11:59:00"/>
        <d v="2024-03-04T13:06:00"/>
        <d v="2025-04-12T14:42:00"/>
        <d v="2024-08-07T11:42:00"/>
        <d v="2024-09-12T13:13:00"/>
        <d v="2025-04-11T12:22:00"/>
        <d v="2025-01-03T12:26:00"/>
        <d v="2024-06-27T14:52:00"/>
        <d v="2024-03-02T12:44:00"/>
        <d v="2024-09-24T11:05:00"/>
        <d v="2024-05-28T14:34:00"/>
        <d v="2024-07-18T12:06:00"/>
        <d v="2024-01-15T11:51:00"/>
        <d v="2024-04-02T09:09:00"/>
        <d v="2024-10-19T11:44:00"/>
        <d v="2024-09-21T10:54:00"/>
        <d v="2024-10-28T12:14:00"/>
        <d v="2024-06-08T11:32:00"/>
        <d v="2025-01-14T14:13:00"/>
        <d v="2025-02-23T12:26:00"/>
        <d v="2024-05-30T15:13:00"/>
        <d v="2024-10-28T16:43:00"/>
        <d v="2024-03-12T11:19:00"/>
        <d v="2024-05-07T11:47:00"/>
        <d v="2025-03-27T08:49:00"/>
        <d v="2025-01-28T15:13:00"/>
        <d v="2024-03-11T15:00:00"/>
        <d v="2024-07-21T13:04:00"/>
        <d v="2024-03-11T11:44:00"/>
        <d v="2025-03-29T10:39:00"/>
        <d v="2025-04-21T12:16:00"/>
        <d v="2025-01-11T12:37:00"/>
        <d v="2025-03-18T14:02:00"/>
        <d v="2024-12-07T10:46:00"/>
        <d v="2024-03-22T14:14:00"/>
        <d v="2024-02-18T13:05:00"/>
        <d v="2024-01-15T11:17:00"/>
        <d v="2024-05-04T13:39:00"/>
        <d v="2024-12-11T13:16:00"/>
        <d v="2025-02-01T12:45:00"/>
        <d v="2024-07-26T13:35:00"/>
        <d v="2024-11-23T10:48:00"/>
        <d v="2024-11-05T14:00:00"/>
        <d v="2024-04-07T15:24:00"/>
        <d v="2024-06-30T15:58:00"/>
        <d v="2024-10-27T12:20:00"/>
        <d v="2024-10-29T12:14:00"/>
        <d v="2025-02-15T13:39:00"/>
        <d v="2024-04-10T14:02:00"/>
        <d v="2024-02-07T14:58:00"/>
        <d v="2024-10-25T13:09:00"/>
        <d v="2024-02-19T13:08:00"/>
        <d v="2025-03-31T13:18:00"/>
        <d v="2025-01-11T12:28:00"/>
        <d v="2024-12-20T10:31:00"/>
        <d v="2025-03-13T13:17:00"/>
        <d v="2024-11-29T11:39:00"/>
        <d v="2024-01-26T13:21:00"/>
        <d v="2024-02-09T12:53:00"/>
        <d v="2024-08-14T12:16:00"/>
        <d v="2025-03-09T07:42:00"/>
        <d v="2025-03-26T12:39:00"/>
        <d v="2024-06-24T12:57:00"/>
        <d v="2024-06-26T13:23:00"/>
        <d v="2024-07-21T15:34:00"/>
        <d v="2024-02-24T10:51:00"/>
        <d v="2025-03-12T13:08:00"/>
        <d v="2025-02-05T14:07:00"/>
        <d v="2024-02-24T14:27:00"/>
        <d v="2024-06-06T11:53:00"/>
        <d v="2025-02-05T12:43:00"/>
        <d v="2024-08-05T14:01:00"/>
        <d v="2024-02-19T11:35:00"/>
        <d v="2024-11-03T14:03:00"/>
        <d v="2025-02-21T14:53:00"/>
        <d v="2024-11-11T12:14:00"/>
        <d v="2025-03-23T10:10:00"/>
        <d v="2025-03-17T10:11:00"/>
        <d v="2025-01-05T14:36:00"/>
        <d v="2025-03-30T13:48:00"/>
        <d v="2024-07-19T13:57:00"/>
        <d v="2024-05-31T11:42:00"/>
        <d v="2024-02-07T14:02:00"/>
        <d v="2024-01-25T12:22:00"/>
        <d v="2025-04-01T11:59:00"/>
        <d v="2025-01-14T11:05:00"/>
        <d v="2024-08-20T13:50:00"/>
        <d v="2024-10-18T11:46:00"/>
        <d v="2024-03-08T11:31:00"/>
        <d v="2024-08-16T10:07:00"/>
        <d v="2024-12-14T11:29:00"/>
        <d v="2024-01-23T13:33:00"/>
        <d v="2024-04-26T10:16:00"/>
        <d v="2025-01-11T11:33:00"/>
        <d v="2024-12-25T14:47:00"/>
        <d v="2024-03-14T15:43:00"/>
        <d v="2024-12-19T15:33:00"/>
        <d v="2024-10-24T15:48:00"/>
        <d v="2024-11-26T11:55:00"/>
        <d v="2024-12-01T13:59:00"/>
        <d v="2024-08-26T14:00:00"/>
        <d v="2024-01-16T14:38:00"/>
        <d v="2024-05-24T12:32:00"/>
        <d v="2025-04-13T10:41:00"/>
        <d v="2024-10-17T10:44:00"/>
        <d v="2024-08-31T12:02:00"/>
        <d v="2025-01-03T12:03:00"/>
        <d v="2024-01-01T12:54:00"/>
        <d v="2024-03-18T15:43:00"/>
        <d v="2024-08-27T14:59:00"/>
        <d v="2024-05-04T11:40:00"/>
        <d v="2024-11-11T11:29:00"/>
        <d v="2024-02-17T09:53:00"/>
        <d v="2024-08-20T11:20:00"/>
        <d v="2025-03-27T13:12:00"/>
        <d v="2024-07-13T15:49:00"/>
        <d v="2024-06-20T13:04:00"/>
        <d v="2024-04-06T15:12:00"/>
        <d v="2024-11-07T11:47:00"/>
        <d v="2024-11-04T08:57:00"/>
        <d v="2024-04-26T12:04:00"/>
        <d v="2024-02-04T12:17:00"/>
        <d v="2024-03-30T14:27:00"/>
        <d v="2024-03-12T14:28:00"/>
        <d v="2025-03-15T14:40:00"/>
        <d v="2024-08-27T09:20:00"/>
        <d v="2024-03-23T11:51:00"/>
        <d v="2025-03-05T11:35:00"/>
        <d v="2025-01-24T11:37:00"/>
        <d v="2024-11-14T10:06:00"/>
        <d v="2024-05-16T12:25:00"/>
        <d v="2024-04-10T15:29:00"/>
        <d v="2024-03-11T13:05:00"/>
        <d v="2024-04-08T12:47:00"/>
        <d v="2024-12-09T15:28:00"/>
        <d v="2024-06-11T11:52:00"/>
        <d v="2025-01-04T15:42:00"/>
        <d v="2024-02-20T12:59:00"/>
        <m/>
      </sharedItems>
      <fieldGroup par="36"/>
    </cacheField>
    <cacheField name="CustomerID" numFmtId="0">
      <sharedItems containsBlank="1" count="180">
        <s v="C0079"/>
        <s v="C0063"/>
        <s v="C0038"/>
        <s v="C0089"/>
        <s v="C0126"/>
        <s v="C0119"/>
        <s v="C0162"/>
        <s v="C0114"/>
        <s v="C0083"/>
        <s v="C0037"/>
        <s v="C0165"/>
        <s v="C0053"/>
        <s v="C0032"/>
        <s v="C0125"/>
        <s v="C0143"/>
        <s v="C0129"/>
        <s v="C0087"/>
        <s v="C0139"/>
        <s v="C0069"/>
        <s v="C0169"/>
        <s v="C0159"/>
        <s v="C0102"/>
        <s v="C0120"/>
        <s v="C0048"/>
        <s v="C0107"/>
        <s v="C0180"/>
        <s v="C0148"/>
        <s v="C0075"/>
        <s v="C0092"/>
        <s v="C0035"/>
        <s v="C0021"/>
        <s v="C0043"/>
        <s v="C0099"/>
        <s v="C0024"/>
        <s v="C0005"/>
        <s v="C0074"/>
        <s v="C0006"/>
        <s v="C0101"/>
        <s v="C0135"/>
        <s v="C0055"/>
        <s v="C0152"/>
        <s v="C0133"/>
        <s v="C0100"/>
        <s v="C0130"/>
        <s v="C0145"/>
        <s v="C0070"/>
        <s v="C0097"/>
        <s v="C0096"/>
        <s v="C0166"/>
        <s v="C0077"/>
        <s v="C0052"/>
        <s v="C0086"/>
        <s v="C0020"/>
        <s v="C0146"/>
        <s v="C0002"/>
        <s v="C0081"/>
        <s v="C0104"/>
        <s v="C0062"/>
        <s v="C0098"/>
        <s v="C0003"/>
        <s v="C0103"/>
        <s v="C0067"/>
        <s v="C0095"/>
        <s v="C0132"/>
        <s v="C0134"/>
        <s v="C0116"/>
        <s v="C0106"/>
        <s v="C0150"/>
        <s v="C0091"/>
        <s v="C0157"/>
        <s v="C0158"/>
        <s v="C0128"/>
        <s v="C0123"/>
        <s v="C0015"/>
        <s v="C0179"/>
        <s v="C0012"/>
        <s v="C0013"/>
        <s v="C0072"/>
        <s v="C0050"/>
        <s v="C0090"/>
        <s v="C0025"/>
        <s v="C0017"/>
        <s v="C0073"/>
        <s v="C0058"/>
        <s v="C0044"/>
        <s v="C0078"/>
        <s v="C0138"/>
        <s v="C0117"/>
        <s v="C0111"/>
        <s v="C0173"/>
        <s v="C0010"/>
        <s v="C0064"/>
        <s v="C0027"/>
        <s v="C0082"/>
        <s v="C0028"/>
        <s v="C0007"/>
        <s v="C0088"/>
        <s v="C0136"/>
        <s v="C0109"/>
        <s v="C0164"/>
        <s v="C0061"/>
        <s v="C0071"/>
        <s v="C0036"/>
        <s v="C0108"/>
        <s v="C0001"/>
        <s v="C0051"/>
        <s v="C0040"/>
        <s v="C0042"/>
        <s v="C0033"/>
        <s v="C0057"/>
        <s v="C0046"/>
        <s v="C0054"/>
        <s v="C0176"/>
        <s v="C0047"/>
        <s v="C0127"/>
        <s v="C0041"/>
        <s v="C0080"/>
        <s v="C0112"/>
        <s v="C0172"/>
        <s v="C0167"/>
        <s v="C0022"/>
        <s v="C0084"/>
        <s v="C0113"/>
        <s v="C0065"/>
        <s v="C0060"/>
        <s v="C0031"/>
        <s v="C0115"/>
        <s v="C0008"/>
        <s v="C0174"/>
        <s v="C0144"/>
        <s v="C0118"/>
        <s v="C0131"/>
        <s v="C0045"/>
        <s v="C0019"/>
        <s v="C0124"/>
        <s v="C0147"/>
        <s v="C0160"/>
        <s v="C0171"/>
        <s v="C0151"/>
        <s v="C0009"/>
        <s v="C0178"/>
        <s v="C0105"/>
        <s v="C0026"/>
        <s v="C0004"/>
        <s v="C0137"/>
        <s v="C0018"/>
        <s v="C0023"/>
        <s v="C0153"/>
        <s v="C0049"/>
        <s v="C0011"/>
        <s v="C0121"/>
        <s v="C0155"/>
        <s v="C0085"/>
        <s v="C0168"/>
        <s v="C0056"/>
        <s v="C0122"/>
        <s v="C0142"/>
        <s v="C0110"/>
        <s v="C0066"/>
        <s v="C0016"/>
        <s v="C0094"/>
        <s v="C0068"/>
        <s v="C0030"/>
        <s v="C0177"/>
        <s v="C0059"/>
        <s v="C0170"/>
        <s v="C0154"/>
        <s v="C0093"/>
        <s v="C0076"/>
        <s v="C0141"/>
        <s v="C0156"/>
        <s v="C0034"/>
        <s v="C0163"/>
        <s v="C0039"/>
        <s v="C0014"/>
        <s v="C0029"/>
        <s v="C0161"/>
        <s v="C0175"/>
        <s v="C0149"/>
        <m/>
      </sharedItems>
    </cacheField>
    <cacheField name="Region" numFmtId="0">
      <sharedItems containsBlank="1" count="6">
        <s v="East"/>
        <s v="North"/>
        <s v="Central"/>
        <s v="West"/>
        <s v="South"/>
        <m/>
      </sharedItems>
    </cacheField>
    <cacheField name="City" numFmtId="0">
      <sharedItems containsBlank="1" count="21">
        <s v="Kolkata"/>
        <s v="Lucknow"/>
        <s v="Nagpur"/>
        <s v="Surat"/>
        <s v="Indore"/>
        <s v="Chandigarh"/>
        <s v="Raipur"/>
        <s v="Ahmedabad"/>
        <s v="Hyderabad"/>
        <s v="Bhopal"/>
        <s v="Mumbai"/>
        <s v="Chennai"/>
        <s v="Delhi"/>
        <s v="Patna"/>
        <s v="Bhubaneswar"/>
        <s v="Pune"/>
        <s v="Bengaluru"/>
        <s v="Kochi"/>
        <s v="Jaipur"/>
        <s v="Guwahati"/>
        <m/>
      </sharedItems>
    </cacheField>
    <cacheField name="SalesChannel" numFmtId="0">
      <sharedItems containsBlank="1" count="5">
        <s v="Online"/>
        <s v="Retail Store"/>
        <s v="Marketplace"/>
        <s v="Distributor"/>
        <m/>
      </sharedItems>
    </cacheField>
    <cacheField name="Category" numFmtId="0">
      <sharedItems containsBlank="1" count="6">
        <s v="Home"/>
        <s v="Grocery"/>
        <s v="Electronics"/>
        <s v="Sports"/>
        <s v="Clothing"/>
        <m/>
      </sharedItems>
    </cacheField>
    <cacheField name="SubCategory" numFmtId="0">
      <sharedItems containsBlank="1" count="26">
        <s v="Air Purifier"/>
        <s v="Cookware"/>
        <s v="Snacks"/>
        <s v="Smartphone"/>
        <s v="Tennis Racket"/>
        <s v="Dress"/>
        <s v="Oil"/>
        <s v="Dumbbells"/>
        <s v="Jacket"/>
        <s v="Hoodie"/>
        <s v="Yoga Mat"/>
        <s v="Cricket Bat"/>
        <s v="Headphones"/>
        <s v="Laptop"/>
        <s v="Vacuum"/>
        <s v="Rice"/>
        <s v="Football"/>
        <s v="T-Shirt"/>
        <s v="Beverage"/>
        <s v="Camera"/>
        <s v="Pulses"/>
        <s v="Lamp"/>
        <s v="Mixer"/>
        <s v="Smartwatch"/>
        <s v="Jeans"/>
        <m/>
      </sharedItems>
    </cacheField>
    <cacheField name="ProductID" numFmtId="0">
      <sharedItems containsBlank="1" count="76">
        <s v="P0037"/>
        <s v="P0038"/>
        <s v="P0039"/>
        <s v="P0042"/>
        <s v="P0055"/>
        <s v="P0003"/>
        <s v="P0072"/>
        <s v="P0027"/>
        <s v="P0052"/>
        <s v="P0075"/>
        <s v="P0024"/>
        <s v="P0030"/>
        <s v="P0067"/>
        <s v="P0028"/>
        <s v="P0061"/>
        <s v="P0008"/>
        <s v="P0004"/>
        <s v="P0036"/>
        <s v="P0029"/>
        <s v="P0025"/>
        <s v="P0070"/>
        <s v="P0048"/>
        <s v="P0064"/>
        <s v="P0073"/>
        <s v="P0063"/>
        <s v="P0017"/>
        <s v="P0059"/>
        <s v="P0046"/>
        <s v="P0053"/>
        <s v="P0058"/>
        <s v="P0069"/>
        <s v="P0035"/>
        <s v="P0018"/>
        <s v="P0074"/>
        <s v="P0054"/>
        <s v="P0014"/>
        <s v="P0051"/>
        <s v="P0045"/>
        <s v="P0040"/>
        <s v="P0015"/>
        <s v="P0032"/>
        <s v="P0006"/>
        <s v="P0060"/>
        <s v="P0022"/>
        <s v="P0033"/>
        <s v="P0012"/>
        <s v="P0007"/>
        <s v="P0010"/>
        <s v="P0065"/>
        <s v="P0062"/>
        <s v="P0005"/>
        <s v="P0044"/>
        <s v="P0068"/>
        <s v="P0026"/>
        <s v="P0031"/>
        <s v="P0020"/>
        <s v="P0002"/>
        <s v="P0001"/>
        <s v="P0047"/>
        <s v="P0056"/>
        <s v="P0034"/>
        <s v="P0009"/>
        <s v="P0057"/>
        <s v="P0043"/>
        <s v="P0019"/>
        <s v="P0049"/>
        <s v="P0021"/>
        <s v="P0041"/>
        <s v="P0011"/>
        <s v="P0016"/>
        <s v="P0066"/>
        <s v="P0071"/>
        <s v="P0023"/>
        <s v="P0013"/>
        <s v="P0050"/>
        <m/>
      </sharedItems>
    </cacheField>
    <cacheField name="ProductName" numFmtId="0">
      <sharedItems containsBlank="1"/>
    </cacheField>
    <cacheField name="Quantity" numFmtId="0">
      <sharedItems containsString="0" containsBlank="1" containsNumber="1" containsInteger="1" minValue="1" maxValue="5"/>
    </cacheField>
    <cacheField name="UnitPrice" numFmtId="0">
      <sharedItems containsString="0" containsBlank="1" containsNumber="1" containsInteger="1" minValue="84" maxValue="59543"/>
    </cacheField>
    <cacheField name="DiscountRate" numFmtId="0">
      <sharedItems containsString="0" containsBlank="1" containsNumber="1" minValue="0" maxValue="0.2"/>
    </cacheField>
    <cacheField name="NetUnitPrice" numFmtId="0">
      <sharedItems containsString="0" containsBlank="1" containsNumber="1" minValue="73.95" maxValue="59378"/>
    </cacheField>
    <cacheField name="TaxRate" numFmtId="0">
      <sharedItems containsString="0" containsBlank="1" containsNumber="1" minValue="0.05" maxValue="0.18"/>
    </cacheField>
    <cacheField name="SubTotal" numFmtId="0">
      <sharedItems containsString="0" containsBlank="1" containsNumber="1" minValue="73.95" maxValue="228995"/>
    </cacheField>
    <cacheField name="TaxAmount" numFmtId="0">
      <sharedItems containsString="0" containsBlank="1" containsNumber="1" minValue="6.7" maxValue="27596.16"/>
    </cacheField>
    <cacheField name="TotalAmount" numFmtId="0">
      <sharedItems containsString="0" containsBlank="1" containsNumber="1" minValue="87.260999999999996" maxValue="256474.4" count="944">
        <n v="15945.103999999999"/>
        <n v="29936.541000000001"/>
        <n v="25608.831999999999"/>
        <n v="16383.15"/>
        <n v="1464.38"/>
        <n v="126707.504"/>
        <n v="16163.28"/>
        <n v="7199.36"/>
        <n v="2358.7199999999998"/>
        <n v="1724.8"/>
        <n v="5095.4400000000014"/>
        <n v="1212.96"/>
        <n v="1359.5925"/>
        <n v="18889.919999999998"/>
        <n v="2554.2719999999999"/>
        <n v="8512.52"/>
        <n v="128943.36"/>
        <n v="26156.312000000002"/>
        <n v="10171.98"/>
        <n v="6872.0399999999991"/>
        <n v="7079.3099999999986"/>
        <n v="21768.32"/>
        <n v="2506.56"/>
        <n v="4209.03"/>
        <n v="41771.519999999997"/>
        <n v="179909.88"/>
        <n v="11437.44"/>
        <n v="20503.326000000001"/>
        <n v="2867.48"/>
        <n v="2978.5349999999999"/>
        <n v="1269.3520000000001"/>
        <n v="982.35"/>
        <n v="911.4"/>
        <n v="1791.3579999999999"/>
        <n v="1983.816"/>
        <n v="19532.016"/>
        <n v="35691.519"/>
        <n v="1143.42"/>
        <n v="12887.84"/>
        <n v="16780.344000000001"/>
        <n v="730.17"/>
        <n v="614.99199999999996"/>
        <n v="314.72000000000003"/>
        <n v="55315.745000000003"/>
        <n v="31351.040000000001"/>
        <n v="731.85"/>
        <n v="53816.7"/>
        <n v="733.82400000000007"/>
        <n v="6407.1"/>
        <n v="595.50749999999994"/>
        <n v="21402.15"/>
        <n v="8745.0720000000001"/>
        <n v="16104.48"/>
        <n v="2212.056"/>
        <n v="7484.74"/>
        <n v="3330.6"/>
        <n v="1597.4559999999999"/>
        <n v="3320.1"/>
        <n v="68039.98"/>
        <n v="63465.120000000003"/>
        <n v="1124.1824999999999"/>
        <n v="18413.849999999999"/>
        <n v="14712.6"/>
        <n v="472.59"/>
        <n v="8414.58"/>
        <n v="11071.94"/>
        <n v="789.18399999999997"/>
        <n v="373.8"/>
        <n v="421.73599999999999"/>
        <n v="2088.6320000000001"/>
        <n v="51505.466"/>
        <n v="89523"/>
        <n v="76716.52"/>
        <n v="35323.007999999987"/>
        <n v="1069.08"/>
        <n v="5775.84"/>
        <n v="17420.256000000001"/>
        <n v="54860.4"/>
        <n v="1260.24"/>
        <n v="4205.5200000000004"/>
        <n v="34397.885000000002"/>
        <n v="41721.567999999999"/>
        <n v="11763.584000000001"/>
        <n v="30983.68"/>
        <n v="2881.7040000000002"/>
        <n v="23587.200000000001"/>
        <n v="10951.808000000001"/>
        <n v="994.327"/>
        <n v="21893.144"/>
        <n v="4275.04"/>
        <n v="2067.9225000000001"/>
        <n v="7402.1399999999994"/>
        <n v="42338.400000000001"/>
        <n v="2042.1079999999999"/>
        <n v="1510.4"/>
        <n v="57222.684000000001"/>
        <n v="26758.367999999999"/>
        <n v="22745.128000000001"/>
        <n v="3882.672"/>
        <n v="24357.375"/>
        <n v="953.4"/>
        <n v="42405.187999999987"/>
        <n v="27388.2"/>
        <n v="13382.88"/>
        <n v="11707.724"/>
        <n v="64284.752"/>
        <n v="3286.08"/>
        <n v="6261.9059999999999"/>
        <n v="55401.919999999998"/>
        <n v="6907.72"/>
        <n v="13723.281999999999"/>
        <n v="2154.6799999999998"/>
        <n v="27150.62"/>
        <n v="4648.8960000000006"/>
        <n v="2268.904"/>
        <n v="22798.65"/>
        <n v="2204.8319999999999"/>
        <n v="233619.12"/>
        <n v="142619.51999999999"/>
        <n v="141192.9"/>
        <n v="8300.32"/>
        <n v="229.6"/>
        <n v="21814.66"/>
        <n v="787.36"/>
        <n v="28126.35"/>
        <n v="10131.52"/>
        <n v="1164.8"/>
        <n v="5831.7839999999997"/>
        <n v="4504.7519999999986"/>
        <n v="3220.22"/>
        <n v="3481.8"/>
        <n v="944.16"/>
        <n v="734.72"/>
        <n v="2205.42"/>
        <n v="695.02"/>
        <n v="206.584"/>
        <n v="5589.192"/>
        <n v="2855.1869999999999"/>
        <n v="98988.176000000007"/>
        <n v="3125.92"/>
        <n v="25831.203000000001"/>
        <n v="2904.16"/>
        <n v="9035.7119999999995"/>
        <n v="2308.6350000000002"/>
        <n v="3082.4639999999999"/>
        <n v="1147.6500000000001"/>
        <n v="1673.28"/>
        <n v="9605.119999999999"/>
        <n v="53562.559999999998"/>
        <n v="33285.735000000001"/>
        <n v="15474.52"/>
        <n v="16669.86"/>
        <n v="10748.62"/>
        <n v="4995.8999999999996"/>
        <n v="14160.51"/>
        <n v="16414.272000000001"/>
        <n v="1692.12"/>
        <n v="47413.58"/>
        <n v="41039.25"/>
        <n v="4495.05"/>
        <n v="334.16250000000002"/>
        <n v="1602.72"/>
        <n v="165.90799999999999"/>
        <n v="762.72"/>
        <n v="28198.755000000001"/>
        <n v="10691.072"/>
        <n v="9284.003999999999"/>
        <n v="13453.776"/>
        <n v="4822.424"/>
        <n v="246.75"/>
        <n v="2302.2719999999999"/>
        <n v="219.184"/>
        <n v="30161.25"/>
        <n v="717.20249999999999"/>
        <n v="10672.48"/>
        <n v="26790.400000000001"/>
        <n v="1745.9280000000001"/>
        <n v="15304.8"/>
        <n v="19466.46"/>
        <n v="7163.0474999999997"/>
        <n v="38870.720000000001"/>
        <n v="155400"/>
        <n v="2434.88"/>
        <n v="3815.5039999999999"/>
        <n v="8338.0499999999993"/>
        <n v="15653.567999999999"/>
        <n v="8483.7374999999993"/>
        <n v="98409.919999999998"/>
        <n v="309.01499999999999"/>
        <n v="31367.448"/>
        <n v="676.48"/>
        <n v="12415.031999999999"/>
        <n v="6943.8879999999999"/>
        <n v="48263.040000000001"/>
        <n v="79121.279999999999"/>
        <n v="6470.4119999999994"/>
        <n v="1104.32"/>
        <n v="11467.68"/>
        <n v="8585.68"/>
        <n v="13115.7"/>
        <n v="109669.67200000001"/>
        <n v="11965.2"/>
        <n v="6026.4960000000001"/>
        <n v="18050.445"/>
        <n v="611.24"/>
        <n v="47936.07"/>
        <n v="6032.88"/>
        <n v="2538.1799999999998"/>
        <n v="42331.32"/>
        <n v="45741.283999999992"/>
        <n v="28171.32"/>
        <n v="29213.495999999999"/>
        <n v="22149.119999999999"/>
        <n v="1268.96"/>
        <n v="17060.439999999999"/>
        <n v="46799.508000000002"/>
        <n v="3779.54"/>
        <n v="133568.92000000001"/>
        <n v="1462.72"/>
        <n v="2289.2800000000002"/>
        <n v="1424.6959999999999"/>
        <n v="1904.52"/>
        <n v="16973.12"/>
        <n v="3262.8960000000002"/>
        <n v="53344.2"/>
        <n v="136346.64000000001"/>
        <n v="14931.84"/>
        <n v="4008.48"/>
        <n v="1102.5920000000001"/>
        <n v="12061.96"/>
        <n v="112364.32"/>
        <n v="44058.84"/>
        <n v="25718.925999999999"/>
        <n v="11902.896000000001"/>
        <n v="7277.5319999999992"/>
        <n v="2476.8200000000002"/>
        <n v="1874.768"/>
        <n v="2186.2399999999998"/>
        <n v="10502.744000000001"/>
        <n v="20801.04"/>
        <n v="12555.554"/>
        <n v="29813.279999999999"/>
        <n v="2259.9360000000001"/>
        <n v="6198.08"/>
        <n v="2865.04"/>
        <n v="6798.8480000000009"/>
        <n v="6379.7439999999997"/>
        <n v="59574.423999999992"/>
        <n v="2003.9939999999999"/>
        <n v="30300.984"/>
        <n v="658.35"/>
        <n v="12914.982"/>
        <n v="26501.58"/>
        <n v="5025.03"/>
        <n v="12026.56"/>
        <n v="2777.72"/>
        <n v="44480.52"/>
        <n v="18979.8"/>
        <n v="788.55"/>
        <n v="11884.32"/>
        <n v="2577.54"/>
        <n v="180908.16"/>
        <n v="33085.08"/>
        <n v="1150.24"/>
        <n v="8528.5679999999993"/>
        <n v="964.06"/>
        <n v="60330.816000000013"/>
        <n v="21105.84"/>
        <n v="4593.6975000000002"/>
        <n v="648.48"/>
        <n v="57731.184000000008"/>
        <n v="31029.279999999999"/>
        <n v="8763.2999999999993"/>
        <n v="14387.74"/>
        <n v="92137.919999999998"/>
        <n v="3420.23"/>
        <n v="1064.4480000000001"/>
        <n v="37533.440000000002"/>
        <n v="5916.96"/>
        <n v="72656.639999999999"/>
        <n v="25054.94"/>
        <n v="7977.0360000000001"/>
        <n v="5874.75"/>
        <n v="12876.16"/>
        <n v="1959.39"/>
        <n v="7104.78"/>
        <n v="1397.76"/>
        <n v="9218.16"/>
        <n v="30668.736000000001"/>
        <n v="21299"/>
        <n v="855.68"/>
        <n v="32188.799999999999"/>
        <n v="11992.870999999999"/>
        <n v="16924.95"/>
        <n v="17052.223999999998"/>
        <n v="5344.9869999999992"/>
        <n v="1479.72"/>
        <n v="1288"/>
        <n v="33104.735999999997"/>
        <n v="30822.400000000001"/>
        <n v="2195.424"/>
        <n v="33441.660000000003"/>
        <n v="403.56"/>
        <n v="18471.04"/>
        <n v="3166.3519999999999"/>
        <n v="19393.024000000001"/>
        <n v="2198.2240000000002"/>
        <n v="12927.6"/>
        <n v="945.28"/>
        <n v="2199.6799999999998"/>
        <n v="3589.04"/>
        <n v="2048.1999999999998"/>
        <n v="14960.04"/>
        <n v="836.90249999999992"/>
        <n v="4065.6"/>
        <n v="12480.093000000001"/>
        <n v="60943.68"/>
        <n v="33888.959999999999"/>
        <n v="1016.688"/>
        <n v="4119.3599999999997"/>
        <n v="39793.14"/>
        <n v="4351.84"/>
        <n v="10214.4"/>
        <n v="114286.368"/>
        <n v="4364.6400000000003"/>
        <n v="1283.8399999999999"/>
        <n v="7591.6480000000001"/>
        <n v="439.82400000000001"/>
        <n v="4200"/>
        <n v="2336.1640000000002"/>
        <n v="8674.2075000000004"/>
        <n v="107077.92"/>
        <n v="998.98800000000006"/>
        <n v="7038.36"/>
        <n v="2401.2800000000002"/>
        <n v="11471.04"/>
        <n v="5600.28"/>
        <n v="471.24"/>
        <n v="8358.0524999999998"/>
        <n v="36157.968000000001"/>
        <n v="41933.303999999996"/>
        <n v="15823.8"/>
        <n v="40767.300000000003"/>
        <n v="18056.080000000002"/>
        <n v="3885.74"/>
        <n v="60076.631999999998"/>
        <n v="668.41600000000005"/>
        <n v="19664.96"/>
        <n v="4819.5"/>
        <n v="140.69999999999999"/>
        <n v="24131.295999999998"/>
        <n v="1442.56"/>
        <n v="25950.33"/>
        <n v="5845.28"/>
        <n v="2231.712"/>
        <n v="885.70800000000008"/>
        <n v="13405.28"/>
        <n v="56485.296000000002"/>
        <n v="2951.55"/>
        <n v="1654.8"/>
        <n v="676.70399999999995"/>
        <n v="5738.88"/>
        <n v="714.077"/>
        <n v="2043.944"/>
        <n v="282.24"/>
        <n v="9597.2939999999999"/>
        <n v="41916.262499999997"/>
        <n v="5221.72"/>
        <n v="28836.864000000001"/>
        <n v="2521.6799999999998"/>
        <n v="225195.264"/>
        <n v="189033.60000000001"/>
        <n v="475.33499999999998"/>
        <n v="16844.1525"/>
        <n v="1183.1679999999999"/>
        <n v="3268.6080000000002"/>
        <n v="26415.243999999999"/>
        <n v="119085.12"/>
        <n v="7991.9699999999993"/>
        <n v="11217.92"/>
        <n v="115279.08"/>
        <n v="663.04"/>
        <n v="25524.072"/>
        <n v="1274.8050000000001"/>
        <n v="31426.5"/>
        <n v="30234.624"/>
        <n v="122011.008"/>
        <n v="58314.42"/>
        <n v="3418.24"/>
        <n v="46566.45"/>
        <n v="3981.7919999999999"/>
        <n v="11524.824000000001"/>
        <n v="8286.768"/>
        <n v="541.74749999999995"/>
        <n v="1140.1600000000001"/>
        <n v="1408.7360000000001"/>
        <n v="8864.7999999999993"/>
        <n v="23245.056"/>
        <n v="1231.92"/>
        <n v="9844.4449999999997"/>
        <n v="4089.7919999999999"/>
        <n v="616.54999999999995"/>
        <n v="13998.6"/>
        <n v="10803.52"/>
        <n v="1961.12"/>
        <n v="19019.84"/>
        <n v="19854.240000000002"/>
        <n v="5048.04"/>
        <n v="493.92"/>
        <n v="21230.79"/>
        <n v="10233.552"/>
        <n v="13920.637000000001"/>
        <n v="61006.567999999992"/>
        <n v="1002.288"/>
        <n v="2467.36"/>
        <n v="10492.56"/>
        <n v="902.40499999999997"/>
        <n v="7352.58"/>
        <n v="25651.360000000001"/>
        <n v="12759.487999999999"/>
        <n v="8621.76"/>
        <n v="110241.60000000001"/>
        <n v="87.260999999999996"/>
        <n v="8583.75"/>
        <n v="67457.600000000006"/>
        <n v="15845.2875"/>
        <n v="3683.016000000001"/>
        <n v="15188.96"/>
        <n v="9572.64"/>
        <n v="22084.65"/>
        <n v="4085.16"/>
        <n v="10457.16"/>
        <n v="4281.76"/>
        <n v="1578.08"/>
        <n v="4644.3600000000006"/>
        <n v="593.6"/>
        <n v="21547.862000000001"/>
        <n v="108941.848"/>
        <n v="6039.9359999999997"/>
        <n v="1579.095"/>
        <n v="285.60000000000002"/>
        <n v="8359.0499999999993"/>
        <n v="9539.8239999999987"/>
        <n v="4635.04"/>
        <n v="9660.66"/>
        <n v="1302.72"/>
        <n v="3351.2"/>
        <n v="11361.276"/>
        <n v="1803.9"/>
        <n v="34339.199999999997"/>
        <n v="3243.4639999999999"/>
        <n v="103064.976"/>
        <n v="2263.8000000000002"/>
        <n v="1029"/>
        <n v="6811.84"/>
        <n v="74497.02399999999"/>
        <n v="7400.12"/>
        <n v="6832.2240000000002"/>
        <n v="1195.425"/>
        <n v="677.55600000000004"/>
        <n v="112321.44"/>
        <n v="19160.511999999999"/>
        <n v="7852.32"/>
        <n v="2789.92"/>
        <n v="2776.0320000000002"/>
        <n v="6834.0719999999992"/>
        <n v="24833.759999999998"/>
        <n v="28644"/>
        <n v="32328.576000000001"/>
        <n v="7228.68"/>
        <n v="214282.88"/>
        <n v="986.83199999999999"/>
        <n v="48369.3"/>
        <n v="15578.36"/>
        <n v="11218.368"/>
        <n v="4798.08"/>
        <n v="6280.4320000000007"/>
        <n v="309.12"/>
        <n v="210.74799999999999"/>
        <n v="837.76"/>
        <n v="270.89999999999998"/>
        <n v="124177.2"/>
        <n v="141398.22"/>
        <n v="1130.8499999999999"/>
        <n v="2098.5120000000002"/>
        <n v="8845.76"/>
        <n v="760.76"/>
        <n v="26817"/>
        <n v="86401.959999999992"/>
        <n v="71136.45"/>
        <n v="3597.6149999999998"/>
        <n v="2378.88"/>
        <n v="8488.2000000000007"/>
        <n v="871.01699999999994"/>
        <n v="598.08000000000004"/>
        <n v="24140.34"/>
        <n v="1124.9280000000001"/>
        <n v="433.755"/>
        <n v="13329.87"/>
        <n v="331.58"/>
        <n v="5330.64"/>
        <n v="55653.584000000003"/>
        <n v="1421.28"/>
        <n v="1311.924"/>
        <n v="410.64"/>
        <n v="661.64"/>
        <n v="7821.4639999999999"/>
        <n v="6307.84"/>
        <n v="2348.248"/>
        <n v="3106.32"/>
        <n v="26819.856"/>
        <n v="993.88799999999992"/>
        <n v="32590.655999999999"/>
        <n v="2141.11"/>
        <n v="3160.08"/>
        <n v="1711.944"/>
        <n v="6440"/>
        <n v="665.52"/>
        <n v="1765.28"/>
        <n v="2903.04"/>
        <n v="35272.559999999998"/>
        <n v="22271.759999999998"/>
        <n v="19863.815999999999"/>
        <n v="3826.74"/>
        <n v="14182.35"/>
        <n v="4312.5599999999986"/>
        <n v="46607.455999999991"/>
        <n v="1699.04"/>
        <n v="996.15600000000006"/>
        <n v="9262.4"/>
        <n v="4921.1899999999996"/>
        <n v="686.28"/>
        <n v="9706.5920000000006"/>
        <n v="2166.3040000000001"/>
        <n v="1261.1199999999999"/>
        <n v="117442.08"/>
        <n v="1161.1199999999999"/>
        <n v="1254.4000000000001"/>
        <n v="12067.152"/>
        <n v="2055.1999999999998"/>
        <n v="4154.8500000000004"/>
        <n v="174337.92000000001"/>
        <n v="1393.28"/>
        <n v="70900.2"/>
        <n v="2010.96"/>
        <n v="17638.991999999998"/>
        <n v="519.31799999999998"/>
        <n v="2925.44"/>
        <n v="1020.096"/>
        <n v="3887.52"/>
        <n v="6088.95"/>
        <n v="46381.440000000002"/>
        <n v="1634.3040000000001"/>
        <n v="85417.919999999998"/>
        <n v="51172.800000000003"/>
        <n v="2157.232"/>
        <n v="2911.1039999999998"/>
        <n v="1817.2"/>
        <n v="13937.335999999999"/>
        <n v="34443.360000000001"/>
        <n v="49427.131999999998"/>
        <n v="13567.68"/>
        <n v="16074.019"/>
        <n v="7024.64"/>
        <n v="3614.34"/>
        <n v="4299.232"/>
        <n v="25691.903999999999"/>
        <n v="15000.868"/>
        <n v="72291.047999999995"/>
        <n v="5967.36"/>
        <n v="10528.432000000001"/>
        <n v="598.61399999999992"/>
        <n v="22716.855"/>
        <n v="2718.52"/>
        <n v="96168.974999999991"/>
        <n v="4078.367999999999"/>
        <n v="7963.82"/>
        <n v="6861.12"/>
        <n v="5878.6"/>
        <n v="5170.76"/>
        <n v="4826.3040000000001"/>
        <n v="13192.2"/>
        <n v="56128.800000000003"/>
        <n v="1268.288"/>
        <n v="31416.083999999999"/>
        <n v="3295.74"/>
        <n v="27734.805"/>
        <n v="28767.455999999998"/>
        <n v="3969.28"/>
        <n v="27541.9725"/>
        <n v="9049.9500000000007"/>
        <n v="11891.567999999999"/>
        <n v="2452.8000000000002"/>
        <n v="2497.6"/>
        <n v="1400.1120000000001"/>
        <n v="6107.36"/>
        <n v="85145.76"/>
        <n v="9733.5"/>
        <n v="2501.6320000000001"/>
        <n v="104772.36"/>
        <n v="9002.1119999999992"/>
        <n v="2014.152"/>
        <n v="7497.9519999999993"/>
        <n v="2907.45"/>
        <n v="22570.240000000002"/>
        <n v="38082.239999999998"/>
        <n v="3423.18"/>
        <n v="599.42400000000009"/>
        <n v="99805.440000000002"/>
        <n v="2209.7600000000002"/>
        <n v="6142.9760000000006"/>
        <n v="297.36"/>
        <n v="1621.32"/>
        <n v="4460.3999999999996"/>
        <n v="8158.5"/>
        <n v="1180"/>
        <n v="7017.6960000000008"/>
        <n v="112972.374"/>
        <n v="978.88"/>
        <n v="6667.5"/>
        <n v="56259.839999999997"/>
        <n v="10174.432000000001"/>
        <n v="8163.5399999999991"/>
        <n v="13838.832"/>
        <n v="1990.8"/>
        <n v="11907.84"/>
        <n v="79838.304000000004"/>
        <n v="6329.1659999999993"/>
        <n v="5263.1039999999994"/>
        <n v="171.57"/>
        <n v="23094.400000000001"/>
        <n v="25005.75"/>
        <n v="1470.672"/>
        <n v="5588.48"/>
        <n v="686.44799999999998"/>
        <n v="3291.68"/>
        <n v="1039.248"/>
        <n v="1749.8879999999999"/>
        <n v="8377.4880000000012"/>
        <n v="7039.2"/>
        <n v="479.86399999999998"/>
        <n v="1561.28"/>
        <n v="5691.7349999999997"/>
        <n v="352.8"/>
        <n v="9804.48"/>
        <n v="3912.328"/>
        <n v="37977.660000000003"/>
        <n v="34884.864000000001"/>
        <n v="51616.32"/>
        <n v="1993.1379999999999"/>
        <n v="15626.24"/>
        <n v="12066.444"/>
        <n v="9733.643"/>
        <n v="2834.72"/>
        <n v="1263.78"/>
        <n v="1917.09"/>
        <n v="2511.5120000000002"/>
        <n v="499.96800000000002"/>
        <n v="2093.7525000000001"/>
        <n v="123019.68"/>
        <n v="647.36"/>
        <n v="13573.28"/>
        <n v="27621.439999999999"/>
        <n v="9416.4"/>
        <n v="3450.72"/>
        <n v="13003.144"/>
        <n v="97451.199999999997"/>
        <n v="20741.017500000002"/>
        <n v="1386.3920000000001"/>
        <n v="25289.599999999999"/>
        <n v="1266.1600000000001"/>
        <n v="528.36"/>
        <n v="3638.88"/>
        <n v="1700.2719999999999"/>
        <n v="33764.377500000002"/>
        <n v="30728.32"/>
        <n v="5042.24"/>
        <n v="608.16"/>
        <n v="55613.25"/>
        <n v="1424.192"/>
        <n v="7510.72"/>
        <n v="1333.5"/>
        <n v="19982.592000000001"/>
        <n v="2847.4319999999998"/>
        <n v="1642.2650000000001"/>
        <n v="7537.6"/>
        <n v="12610.188"/>
        <n v="6451.2"/>
        <n v="5157.6000000000004"/>
        <n v="157622.04"/>
        <n v="59575.95"/>
        <n v="8830.7519999999986"/>
        <n v="51686.478000000003"/>
        <n v="382.32"/>
        <n v="12754.56"/>
        <n v="6220.48"/>
        <n v="3313.2959999999998"/>
        <n v="25646.12"/>
        <n v="6879.4"/>
        <n v="26202.959999999999"/>
        <n v="26024.32"/>
        <n v="464.38900000000001"/>
        <n v="16223.111999999999"/>
        <n v="5078.08"/>
        <n v="703.58400000000006"/>
        <n v="5436.1440000000002"/>
        <n v="19058.367999999999"/>
        <n v="50475.68"/>
        <n v="10833.58"/>
        <n v="3168.9"/>
        <n v="7713.44"/>
        <n v="2591.2800000000002"/>
        <n v="79878.399999999994"/>
        <n v="14329.727999999999"/>
        <n v="4862.55"/>
        <n v="33332.639999999999"/>
        <n v="96194.111999999994"/>
        <n v="1034.2080000000001"/>
        <n v="8811.06"/>
        <n v="11456.368"/>
        <n v="52409.279999999999"/>
        <n v="7033.8239999999996"/>
        <n v="153948.48000000001"/>
        <n v="4798.3519999999999"/>
        <n v="2854.6559999999999"/>
        <n v="26857.599999999999"/>
        <n v="117015.36"/>
        <n v="40406.74"/>
        <n v="15850.24"/>
        <n v="2312.1"/>
        <n v="3316.32"/>
        <n v="25190.928"/>
        <n v="26507.488000000001"/>
        <n v="4749.695999999999"/>
        <n v="3662.82"/>
        <n v="11999.68"/>
        <n v="17773.84"/>
        <n v="2983.68"/>
        <n v="1012.44"/>
        <n v="4932.4799999999996"/>
        <n v="71668.800000000003"/>
        <n v="2577.4740000000002"/>
        <n v="7367.5349999999999"/>
        <n v="5158.8419999999996"/>
        <n v="11017.65"/>
        <n v="31977.75"/>
        <n v="28578.42"/>
        <n v="1085.28"/>
        <n v="598.52800000000002"/>
        <n v="256474.4"/>
        <n v="8628.16"/>
        <n v="9616.32"/>
        <n v="19160.84"/>
        <n v="62382.6"/>
        <n v="6305.04"/>
        <n v="15863.68"/>
        <n v="1723.68"/>
        <n v="26080.32"/>
        <n v="5314.68"/>
        <n v="74765.823999999993"/>
        <n v="3685.14"/>
        <n v="12400.64"/>
        <n v="9404.2724999999991"/>
        <n v="5100.4799999999996"/>
        <n v="5380.2"/>
        <n v="48579.048000000003"/>
        <n v="12243.84"/>
        <n v="1583.68"/>
        <n v="19212.288"/>
        <n v="2472.7359999999999"/>
        <n v="47923.343999999997"/>
        <n v="124.544"/>
        <n v="44168.108"/>
        <n v="41659.605000000003"/>
        <n v="21207.648000000001"/>
        <n v="3039.09"/>
        <n v="10752.784"/>
        <n v="607.04"/>
        <n v="521.26499999999999"/>
        <n v="4509.1200000000008"/>
        <n v="3169.48"/>
        <n v="57841.24"/>
        <n v="23583.48"/>
        <n v="16158.464"/>
        <n v="20126.080000000002"/>
        <n v="9021.8079999999991"/>
        <n v="58966.879999999997"/>
        <n v="105072.128"/>
        <n v="2076.9279999999999"/>
        <n v="66503.360000000001"/>
        <n v="11901.567999999999"/>
        <n v="3520.16"/>
        <n v="4900.2240000000011"/>
        <n v="140149.79999999999"/>
        <n v="6536.32"/>
        <n v="11346.048000000001"/>
        <n v="6887.16"/>
        <n v="5029.29"/>
        <n v="13442.56"/>
        <n v="2257.5"/>
        <n v="20379.52"/>
        <n v="90242.880000000005"/>
        <n v="2058"/>
        <n v="6239.1"/>
        <n v="16161.6"/>
        <n v="1916.46"/>
        <n v="138603.74400000001"/>
        <n v="1362.0740000000001"/>
        <n v="11301.804"/>
        <n v="15376.031999999999"/>
        <n v="19845.727999999999"/>
        <n v="108491.264"/>
        <n v="6323.9400000000014"/>
        <n v="318.60000000000002"/>
        <n v="5314.0639999999994"/>
        <n v="19090.63"/>
        <n v="8618.7199999999993"/>
        <n v="111091.1"/>
        <n v="1336.94"/>
        <n v="27061.02"/>
        <n v="4066.2719999999999"/>
        <n v="52860.584000000003"/>
        <n v="25888.184000000001"/>
        <n v="19498.080000000002"/>
        <n v="5121.76"/>
        <n v="2299.5"/>
        <n v="49381.919999999998"/>
        <n v="519.20000000000005"/>
        <n v="2774.0475000000001"/>
        <n v="3242.0079999999998"/>
        <n v="1144.08"/>
        <n v="59036.58"/>
        <n v="8603.7000000000007"/>
        <n v="3112.2"/>
        <n v="232.06399999999999"/>
        <n v="5367.88"/>
        <n v="4867.8"/>
        <n v="22444.799999999999"/>
        <n v="3620.9250000000002"/>
        <n v="929.78099999999995"/>
        <n v="115149.12"/>
        <n v="6553.0079999999998"/>
        <n v="2436"/>
        <n v="2465.9639999999999"/>
        <n v="4230.3975"/>
        <n v="8423.8875000000007"/>
        <n v="23297.919999999998"/>
        <n v="2763.56"/>
        <n v="3117.52"/>
        <n v="32079.040000000001"/>
        <n v="9275.9520000000011"/>
        <n v="33539.519999999997"/>
        <n v="55009.023999999998"/>
        <n v="20760.599999999999"/>
        <n v="5605.6"/>
        <n v="30209.088"/>
        <n v="1834.4024999999999"/>
        <n v="19754.261999999999"/>
        <n v="435.18400000000003"/>
        <n v="1986.768"/>
        <n v="9353.4"/>
        <n v="116203.815"/>
        <n v="1781.325"/>
        <n v="7840.6719999999996"/>
        <n v="55745.088000000003"/>
        <n v="23826.855"/>
        <n v="36610.559999999998"/>
        <n v="1705.0319999999999"/>
        <n v="108300.4"/>
        <n v="2286.585"/>
        <n v="131463.35999999999"/>
        <n v="93446.864000000001"/>
        <n v="9975.0559999999987"/>
        <n v="6156.64"/>
        <n v="91599.984000000011"/>
        <n v="5651.1"/>
        <n v="67333.16"/>
        <n v="10744.254000000001"/>
        <n v="6571.04"/>
        <n v="48639.15"/>
        <n v="531.21600000000001"/>
        <n v="62232.800000000003"/>
        <n v="19115.04"/>
        <n v="17682.653999999999"/>
        <n v="6622.3359999999993"/>
        <n v="16719.419999999998"/>
        <n v="12060.3"/>
        <n v="2615.7060000000001"/>
        <n v="621.6"/>
        <n v="50240.512000000002"/>
        <n v="1883.28"/>
        <n v="4535.92"/>
        <n v="9156.3279999999995"/>
        <n v="2803.64"/>
        <n v="21786.240000000002"/>
        <n v="971.04"/>
        <n v="40563.599999999999"/>
        <n v="25534.02"/>
        <n v="5747.19"/>
        <n v="3219.6640000000002"/>
        <n v="19470"/>
        <n v="27478.080000000002"/>
        <n v="16890.52"/>
        <n v="131776.95999999999"/>
        <n v="3823.2"/>
        <n v="2860.0320000000002"/>
        <n v="10059.84"/>
        <n v="1768.82"/>
        <n v="4513.5"/>
        <n v="23611.8"/>
        <n v="10118.263999999999"/>
        <n v="3039.68"/>
        <n v="92036.459999999992"/>
        <n v="22877.119999999999"/>
        <n v="5107.2"/>
        <n v="11251.3"/>
        <n v="1485.7919999999999"/>
        <n v="141613.92000000001"/>
        <n v="11062.24"/>
        <n v="32010.720000000001"/>
        <n v="48413.04"/>
        <n v="5731.9680000000008"/>
        <n v="361.08"/>
        <n v="3626.56"/>
        <n v="1433.712"/>
        <n v="5096"/>
        <n v="5827.5"/>
        <n v="10093.44"/>
        <n v="173865.04800000001"/>
        <n v="14480.96"/>
        <n v="104929.44"/>
        <n v="8099.616"/>
        <n v="17607.96"/>
        <n v="17657.22"/>
        <n v="34740.910999999993"/>
        <n v="3778.88"/>
        <n v="30528.959999999999"/>
        <n v="27049.008000000002"/>
        <n v="21404.25"/>
        <n v="47866.559999999998"/>
        <n v="26366.592000000001"/>
        <n v="19489.824000000001"/>
        <n v="2277.4"/>
        <m/>
      </sharedItems>
    </cacheField>
    <cacheField name="PaymentMethod" numFmtId="0">
      <sharedItems containsBlank="1"/>
    </cacheField>
    <cacheField name="DeliveryStatus" numFmtId="0">
      <sharedItems containsBlank="1"/>
    </cacheField>
    <cacheField name="ShipDate" numFmtId="14">
      <sharedItems containsNonDate="0" containsDate="1" containsString="0" containsBlank="1" minDate="2024-01-02T00:00:00" maxDate="2025-04-26T00:00:00"/>
    </cacheField>
    <cacheField name="DeliveryDate" numFmtId="14">
      <sharedItems containsNonDate="0" containsDate="1" containsString="0" containsBlank="1" minDate="2024-01-03T00:00:00" maxDate="2025-05-01T00:00:00"/>
    </cacheField>
    <cacheField name="IsReturned" numFmtId="0">
      <sharedItems containsBlank="1" count="3">
        <b v="0"/>
        <b v="1"/>
        <m/>
      </sharedItems>
    </cacheField>
    <cacheField name="ReturnDate" numFmtId="0">
      <sharedItems containsNonDate="0" containsDate="1" containsString="0" containsBlank="1" minDate="2024-01-15T00:00:00" maxDate="2025-05-11T00:00:00" count="43">
        <m/>
        <d v="2024-11-30T00:00:00"/>
        <d v="2024-03-27T00:00:00"/>
        <d v="2025-01-15T00:00:00"/>
        <d v="2024-06-17T00:00:00"/>
        <d v="2024-08-31T00:00:00"/>
        <d v="2025-03-17T00:00:00"/>
        <d v="2025-03-08T00:00:00"/>
        <d v="2024-07-10T00:00:00"/>
        <d v="2025-01-24T00:00:00"/>
        <d v="2025-02-22T00:00:00"/>
        <d v="2025-05-01T00:00:00"/>
        <d v="2024-06-16T00:00:00"/>
        <d v="2024-07-07T00:00:00"/>
        <d v="2024-06-30T00:00:00"/>
        <d v="2024-09-27T00:00:00"/>
        <d v="2024-07-13T00:00:00"/>
        <d v="2024-11-26T00:00:00"/>
        <d v="2024-09-13T00:00:00"/>
        <d v="2024-11-09T00:00:00"/>
        <d v="2025-05-10T00:00:00"/>
        <d v="2024-12-07T00:00:00"/>
        <d v="2025-04-22T00:00:00"/>
        <d v="2024-04-02T00:00:00"/>
        <d v="2024-04-24T00:00:00"/>
        <d v="2024-08-20T00:00:00"/>
        <d v="2025-04-11T00:00:00"/>
        <d v="2024-02-12T00:00:00"/>
        <d v="2024-01-15T00:00:00"/>
        <d v="2024-10-08T00:00:00"/>
        <d v="2024-05-19T00:00:00"/>
        <d v="2024-05-16T00:00:00"/>
        <d v="2024-04-25T00:00:00"/>
        <d v="2024-08-10T00:00:00"/>
        <d v="2025-03-12T00:00:00"/>
        <d v="2024-08-06T00:00:00"/>
        <d v="2025-01-28T00:00:00"/>
        <d v="2025-04-12T00:00:00"/>
        <d v="2024-12-22T00:00:00"/>
        <d v="2024-07-08T00:00:00"/>
        <d v="2025-03-24T00:00:00"/>
        <d v="2024-06-10T00:00:00"/>
        <d v="2025-03-06T00:00:00"/>
      </sharedItems>
      <fieldGroup par="33"/>
    </cacheField>
    <cacheField name="ReturnReason" numFmtId="0">
      <sharedItems containsNonDate="0" containsDate="1" containsString="0" containsBlank="1" minDate="2024-01-15T00:00:00" maxDate="2025-05-11T00:00:00" count="43">
        <m/>
        <d v="2024-11-30T00:00:00"/>
        <d v="2024-03-27T00:00:00"/>
        <d v="2025-01-15T00:00:00"/>
        <d v="2024-06-17T00:00:00"/>
        <d v="2024-08-31T00:00:00"/>
        <d v="2025-03-17T00:00:00"/>
        <d v="2025-03-08T00:00:00"/>
        <d v="2024-07-10T00:00:00"/>
        <d v="2025-01-24T00:00:00"/>
        <d v="2025-02-22T00:00:00"/>
        <d v="2025-05-01T00:00:00"/>
        <d v="2024-06-16T00:00:00"/>
        <d v="2024-07-07T00:00:00"/>
        <d v="2024-06-30T00:00:00"/>
        <d v="2024-09-27T00:00:00"/>
        <d v="2024-07-13T00:00:00"/>
        <d v="2024-11-26T00:00:00"/>
        <d v="2024-09-13T00:00:00"/>
        <d v="2024-11-09T00:00:00"/>
        <d v="2025-05-10T00:00:00"/>
        <d v="2024-12-07T00:00:00"/>
        <d v="2025-04-22T00:00:00"/>
        <d v="2024-04-02T00:00:00"/>
        <d v="2024-04-24T00:00:00"/>
        <d v="2024-08-20T00:00:00"/>
        <d v="2025-04-11T00:00:00"/>
        <d v="2024-02-12T00:00:00"/>
        <d v="2024-01-15T00:00:00"/>
        <d v="2024-10-08T00:00:00"/>
        <d v="2024-05-19T00:00:00"/>
        <d v="2024-05-16T00:00:00"/>
        <d v="2024-04-25T00:00:00"/>
        <d v="2024-08-10T00:00:00"/>
        <d v="2025-03-12T00:00:00"/>
        <d v="2024-08-06T00:00:00"/>
        <d v="2025-01-28T00:00:00"/>
        <d v="2025-04-12T00:00:00"/>
        <d v="2024-12-22T00:00:00"/>
        <d v="2024-07-08T00:00:00"/>
        <d v="2025-03-24T00:00:00"/>
        <d v="2024-06-10T00:00:00"/>
        <d v="2025-03-06T00:00:00"/>
      </sharedItems>
      <fieldGroup par="30"/>
    </cacheField>
    <cacheField name="SalesRep" numFmtId="0">
      <sharedItems containsBlank="1" count="11">
        <s v="Leena"/>
        <s v="Karthik"/>
        <s v="Ravi"/>
        <s v="Manoj"/>
        <s v="Gautam"/>
        <s v="Asha"/>
        <s v="Priya"/>
        <s v="Zara"/>
        <s v="Imran"/>
        <s v="Neha"/>
        <m/>
      </sharedItems>
    </cacheField>
    <cacheField name="Campaign" numFmtId="0">
      <sharedItems containsBlank="1"/>
    </cacheField>
    <cacheField name="Source" numFmtId="0">
      <sharedItems containsBlank="1" count="8">
        <s v="Google Ads"/>
        <s v="Instagram"/>
        <s v="Direct"/>
        <s v="Referral"/>
        <s v="Email"/>
        <s v="Facebook"/>
        <s v="Affiliates"/>
        <m/>
      </sharedItems>
    </cacheField>
    <cacheField name="Months (ReturnReason)" numFmtId="0" databaseField="0">
      <fieldGroup base="24">
        <rangePr groupBy="months" startDate="2024-01-15T00:00:00" endDate="2025-05-11T00:00:00"/>
        <groupItems count="14">
          <s v="&lt;15-01-2024"/>
          <s v="Jan"/>
          <s v="Feb"/>
          <s v="Mar"/>
          <s v="Apr"/>
          <s v="May"/>
          <s v="Jun"/>
          <s v="Jul"/>
          <s v="Aug"/>
          <s v="Sep"/>
          <s v="Oct"/>
          <s v="Nov"/>
          <s v="Dec"/>
          <s v="&gt;11-05-2025"/>
        </groupItems>
      </fieldGroup>
    </cacheField>
    <cacheField name="Quarters (ReturnReason)" numFmtId="0" databaseField="0">
      <fieldGroup base="24">
        <rangePr groupBy="quarters" startDate="2024-01-15T00:00:00" endDate="2025-05-11T00:00:00"/>
        <groupItems count="6">
          <s v="&lt;15-01-2024"/>
          <s v="Qtr1"/>
          <s v="Qtr2"/>
          <s v="Qtr3"/>
          <s v="Qtr4"/>
          <s v="&gt;11-05-2025"/>
        </groupItems>
      </fieldGroup>
    </cacheField>
    <cacheField name="Years (ReturnReason)" numFmtId="0" databaseField="0">
      <fieldGroup base="24">
        <rangePr groupBy="years" startDate="2024-01-15T00:00:00" endDate="2025-05-11T00:00:00"/>
        <groupItems count="4">
          <s v="&lt;15-01-2024"/>
          <s v="2024"/>
          <s v="2025"/>
          <s v="&gt;11-05-2025"/>
        </groupItems>
      </fieldGroup>
    </cacheField>
    <cacheField name="Months (ReturnDate)" numFmtId="0" databaseField="0">
      <fieldGroup base="23">
        <rangePr groupBy="months" startDate="2024-01-15T00:00:00" endDate="2025-05-11T00:00:00"/>
        <groupItems count="14">
          <s v="&lt;15-01-2024"/>
          <s v="Jan"/>
          <s v="Feb"/>
          <s v="Mar"/>
          <s v="Apr"/>
          <s v="May"/>
          <s v="Jun"/>
          <s v="Jul"/>
          <s v="Aug"/>
          <s v="Sep"/>
          <s v="Oct"/>
          <s v="Nov"/>
          <s v="Dec"/>
          <s v="&gt;11-05-2025"/>
        </groupItems>
      </fieldGroup>
    </cacheField>
    <cacheField name="Quarters (ReturnDate)" numFmtId="0" databaseField="0">
      <fieldGroup base="23">
        <rangePr groupBy="quarters" startDate="2024-01-15T00:00:00" endDate="2025-05-11T00:00:00"/>
        <groupItems count="6">
          <s v="&lt;15-01-2024"/>
          <s v="Qtr1"/>
          <s v="Qtr2"/>
          <s v="Qtr3"/>
          <s v="Qtr4"/>
          <s v="&gt;11-05-2025"/>
        </groupItems>
      </fieldGroup>
    </cacheField>
    <cacheField name="Years (ReturnDate)" numFmtId="0" databaseField="0">
      <fieldGroup base="23">
        <rangePr groupBy="years" startDate="2024-01-15T00:00:00" endDate="2025-05-11T00:00:00"/>
        <groupItems count="4">
          <s v="&lt;15-01-2024"/>
          <s v="2024"/>
          <s v="2025"/>
          <s v="&gt;11-05-2025"/>
        </groupItems>
      </fieldGroup>
    </cacheField>
    <cacheField name="Months (OrderDateTime)" numFmtId="0" databaseField="0">
      <fieldGroup base="1">
        <rangePr groupBy="months" startDate="2024-01-01T12:54:00" endDate="2025-04-24T14:24:00"/>
        <groupItems count="14">
          <s v="&lt;01-01-2024"/>
          <s v="Jan"/>
          <s v="Feb"/>
          <s v="Mar"/>
          <s v="Apr"/>
          <s v="May"/>
          <s v="Jun"/>
          <s v="Jul"/>
          <s v="Aug"/>
          <s v="Sep"/>
          <s v="Oct"/>
          <s v="Nov"/>
          <s v="Dec"/>
          <s v="&gt;24-04-2025"/>
        </groupItems>
      </fieldGroup>
    </cacheField>
    <cacheField name="Quarters (OrderDateTime)" numFmtId="0" databaseField="0">
      <fieldGroup base="1">
        <rangePr groupBy="quarters" startDate="2024-01-01T12:54:00" endDate="2025-04-24T14:24:00"/>
        <groupItems count="6">
          <s v="&lt;01-01-2024"/>
          <s v="Qtr1"/>
          <s v="Qtr2"/>
          <s v="Qtr3"/>
          <s v="Qtr4"/>
          <s v="&gt;24-04-2025"/>
        </groupItems>
      </fieldGroup>
    </cacheField>
    <cacheField name="Years (OrderDateTime)" numFmtId="0" databaseField="0">
      <fieldGroup base="1">
        <rangePr groupBy="years" startDate="2024-01-01T12:54:00" endDate="2025-04-24T14:24:00"/>
        <groupItems count="4">
          <s v="&lt;01-01-2024"/>
          <s v="2024"/>
          <s v="2025"/>
          <s v="&gt;24-04-2025"/>
        </groupItems>
      </fieldGroup>
    </cacheField>
  </cacheFields>
  <extLst>
    <ext xmlns:x14="http://schemas.microsoft.com/office/spreadsheetml/2009/9/main" uri="{725AE2AE-9491-48be-B2B4-4EB974FC3084}">
      <x14:pivotCacheDefinition pivotCacheId="8267545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refreshedDate="46025.513232407407" createdVersion="8" refreshedVersion="8" minRefreshableVersion="3" recordCount="5" xr:uid="{72FF20D6-A30D-4A98-BE6F-965F1F8CCBA2}">
  <cacheSource type="worksheet">
    <worksheetSource ref="L3:M8" sheet="Sheet3" r:id="rId2"/>
  </cacheSource>
  <cacheFields count="2">
    <cacheField name="Row Labels" numFmtId="0">
      <sharedItems count="5">
        <s v="East"/>
        <s v="South"/>
        <s v="North"/>
        <s v="West"/>
        <s v="Central"/>
      </sharedItems>
    </cacheField>
    <cacheField name="Sum of TotalAmount" numFmtId="0">
      <sharedItems containsSemiMixedTypes="0" containsString="0" containsNumber="1" minValue="3138698.8220000006" maxValue="5185348.672999999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1">
  <r>
    <x v="0"/>
    <x v="0"/>
    <x v="0"/>
    <x v="0"/>
    <x v="0"/>
    <x v="0"/>
    <x v="0"/>
    <x v="0"/>
    <x v="0"/>
    <s v="Air Purifier Model 1"/>
    <n v="1"/>
    <n v="14986"/>
    <n v="0.05"/>
    <n v="14236.7"/>
    <n v="0.12"/>
    <n v="14236.7"/>
    <n v="1708.404"/>
    <x v="0"/>
    <s v="UPI"/>
    <s v="Delivered"/>
    <d v="2024-11-02T00:00:00"/>
    <d v="2024-11-05T00:00:00"/>
    <x v="0"/>
    <x v="0"/>
    <x v="0"/>
    <x v="0"/>
    <s v="Festival Fever"/>
    <x v="0"/>
  </r>
  <r>
    <x v="1"/>
    <x v="1"/>
    <x v="1"/>
    <x v="1"/>
    <x v="1"/>
    <x v="1"/>
    <x v="0"/>
    <x v="0"/>
    <x v="1"/>
    <s v="Air Purifier Model 2"/>
    <n v="3"/>
    <n v="9949"/>
    <n v="0.15"/>
    <n v="8456.65"/>
    <n v="0.18"/>
    <n v="25369.95"/>
    <n v="4566.5909999999994"/>
    <x v="1"/>
    <s v="COD"/>
    <s v="Delivered"/>
    <d v="2024-06-10T00:00:00"/>
    <d v="2024-06-13T00:00:00"/>
    <x v="0"/>
    <x v="0"/>
    <x v="0"/>
    <x v="1"/>
    <s v="Festival Fever"/>
    <x v="1"/>
  </r>
  <r>
    <x v="2"/>
    <x v="2"/>
    <x v="2"/>
    <x v="2"/>
    <x v="2"/>
    <x v="0"/>
    <x v="0"/>
    <x v="0"/>
    <x v="2"/>
    <s v="Air Purifier Model 3"/>
    <n v="4"/>
    <n v="6782"/>
    <n v="0.2"/>
    <n v="5425.6"/>
    <n v="0.18"/>
    <n v="21702.400000000001"/>
    <n v="3906.4319999999998"/>
    <x v="2"/>
    <s v="Credit Card"/>
    <s v="Returned"/>
    <d v="2024-11-20T00:00:00"/>
    <m/>
    <x v="1"/>
    <x v="1"/>
    <x v="1"/>
    <x v="2"/>
    <s v="Festival Fever"/>
    <x v="2"/>
  </r>
  <r>
    <x v="3"/>
    <x v="3"/>
    <x v="3"/>
    <x v="3"/>
    <x v="3"/>
    <x v="1"/>
    <x v="0"/>
    <x v="1"/>
    <x v="3"/>
    <s v="Cookware Model 3"/>
    <n v="3"/>
    <n v="5201"/>
    <n v="0"/>
    <n v="5201"/>
    <n v="0.05"/>
    <n v="15603"/>
    <n v="780.15000000000009"/>
    <x v="3"/>
    <s v="UPI"/>
    <s v="Delivered"/>
    <d v="2024-01-28T00:00:00"/>
    <d v="2024-01-29T00:00:00"/>
    <x v="0"/>
    <x v="0"/>
    <x v="0"/>
    <x v="3"/>
    <s v="New Year Sale"/>
    <x v="2"/>
  </r>
  <r>
    <x v="4"/>
    <x v="4"/>
    <x v="4"/>
    <x v="2"/>
    <x v="4"/>
    <x v="0"/>
    <x v="1"/>
    <x v="2"/>
    <x v="4"/>
    <s v="Snacks Model 1"/>
    <n v="2"/>
    <n v="730"/>
    <n v="0.15"/>
    <n v="620.5"/>
    <n v="0.18"/>
    <n v="1241"/>
    <n v="223.38"/>
    <x v="4"/>
    <s v="Debit Card"/>
    <s v="Delivered"/>
    <d v="2024-12-03T00:00:00"/>
    <d v="2024-12-04T00:00:00"/>
    <x v="0"/>
    <x v="0"/>
    <x v="0"/>
    <x v="4"/>
    <s v="Back to School"/>
    <x v="2"/>
  </r>
  <r>
    <x v="5"/>
    <x v="5"/>
    <x v="5"/>
    <x v="2"/>
    <x v="4"/>
    <x v="1"/>
    <x v="2"/>
    <x v="3"/>
    <x v="5"/>
    <s v="Smartphone Model 3"/>
    <n v="2"/>
    <n v="59543"/>
    <n v="0.05"/>
    <n v="56565.85"/>
    <n v="0.12"/>
    <n v="113131.7"/>
    <n v="13575.804"/>
    <x v="5"/>
    <s v="UPI"/>
    <s v="Delivered"/>
    <d v="2024-03-08T00:00:00"/>
    <d v="2024-03-10T00:00:00"/>
    <x v="0"/>
    <x v="0"/>
    <x v="0"/>
    <x v="5"/>
    <s v="Festival Fever"/>
    <x v="0"/>
  </r>
  <r>
    <x v="6"/>
    <x v="6"/>
    <x v="6"/>
    <x v="1"/>
    <x v="5"/>
    <x v="0"/>
    <x v="3"/>
    <x v="4"/>
    <x v="6"/>
    <s v="Tennis Racket Model 3"/>
    <n v="3"/>
    <n v="5345"/>
    <n v="0.1"/>
    <n v="4810.5"/>
    <n v="0.12"/>
    <n v="14431.5"/>
    <n v="1731.78"/>
    <x v="6"/>
    <s v="Debit Card"/>
    <s v="Delivered"/>
    <d v="2025-03-01T00:00:00"/>
    <d v="2025-03-06T00:00:00"/>
    <x v="0"/>
    <x v="0"/>
    <x v="0"/>
    <x v="5"/>
    <s v="New Year Sale"/>
    <x v="3"/>
  </r>
  <r>
    <x v="7"/>
    <x v="7"/>
    <x v="7"/>
    <x v="2"/>
    <x v="6"/>
    <x v="0"/>
    <x v="4"/>
    <x v="5"/>
    <x v="7"/>
    <s v="Dress Model 3"/>
    <n v="4"/>
    <n v="1607"/>
    <n v="0"/>
    <n v="1607"/>
    <n v="0.12"/>
    <n v="6428"/>
    <n v="771.36"/>
    <x v="7"/>
    <s v="NetBanking"/>
    <s v="In Transit"/>
    <d v="2024-06-10T00:00:00"/>
    <m/>
    <x v="0"/>
    <x v="0"/>
    <x v="0"/>
    <x v="6"/>
    <s v="New Year Sale"/>
    <x v="4"/>
  </r>
  <r>
    <x v="8"/>
    <x v="8"/>
    <x v="8"/>
    <x v="3"/>
    <x v="7"/>
    <x v="0"/>
    <x v="0"/>
    <x v="0"/>
    <x v="0"/>
    <s v="Air Purifier Model 1"/>
    <n v="1"/>
    <n v="2340"/>
    <n v="0.1"/>
    <n v="2106"/>
    <n v="0.12"/>
    <n v="2106"/>
    <n v="252.72"/>
    <x v="8"/>
    <s v="COD"/>
    <s v="Delivered"/>
    <d v="2024-11-06T00:00:00"/>
    <d v="2024-11-11T00:00:00"/>
    <x v="0"/>
    <x v="0"/>
    <x v="0"/>
    <x v="7"/>
    <s v="Back to School"/>
    <x v="5"/>
  </r>
  <r>
    <x v="9"/>
    <x v="9"/>
    <x v="9"/>
    <x v="4"/>
    <x v="8"/>
    <x v="0"/>
    <x v="1"/>
    <x v="6"/>
    <x v="8"/>
    <s v="Oil Model 1"/>
    <n v="5"/>
    <n v="308"/>
    <n v="0"/>
    <n v="308"/>
    <n v="0.12"/>
    <n v="1540"/>
    <n v="184.8"/>
    <x v="9"/>
    <s v="COD"/>
    <s v="Delivered"/>
    <d v="2024-03-23T00:00:00"/>
    <d v="2024-03-25T00:00:00"/>
    <x v="0"/>
    <x v="0"/>
    <x v="0"/>
    <x v="3"/>
    <s v="Diwali Blast"/>
    <x v="6"/>
  </r>
  <r>
    <x v="10"/>
    <x v="10"/>
    <x v="10"/>
    <x v="2"/>
    <x v="2"/>
    <x v="2"/>
    <x v="3"/>
    <x v="7"/>
    <x v="9"/>
    <s v="Dumbbells Model 3"/>
    <n v="2"/>
    <n v="2696"/>
    <n v="0.1"/>
    <n v="2426.4"/>
    <n v="0.05"/>
    <n v="4852.8"/>
    <n v="242.64"/>
    <x v="10"/>
    <s v="NetBanking"/>
    <s v="Shipped"/>
    <d v="2024-08-26T00:00:00"/>
    <m/>
    <x v="0"/>
    <x v="0"/>
    <x v="0"/>
    <x v="8"/>
    <s v="New Year Sale"/>
    <x v="3"/>
  </r>
  <r>
    <x v="11"/>
    <x v="11"/>
    <x v="11"/>
    <x v="2"/>
    <x v="9"/>
    <x v="1"/>
    <x v="4"/>
    <x v="8"/>
    <x v="10"/>
    <s v="Jacket Model 3"/>
    <n v="2"/>
    <n v="570"/>
    <n v="0.05"/>
    <n v="541.5"/>
    <n v="0.12"/>
    <n v="1083"/>
    <n v="129.96"/>
    <x v="11"/>
    <s v="COD"/>
    <s v="Delivered"/>
    <d v="2024-03-18T00:00:00"/>
    <d v="2024-03-21T00:00:00"/>
    <x v="0"/>
    <x v="0"/>
    <x v="0"/>
    <x v="3"/>
    <s v="Diwali Blast"/>
    <x v="0"/>
  </r>
  <r>
    <x v="12"/>
    <x v="12"/>
    <x v="12"/>
    <x v="2"/>
    <x v="4"/>
    <x v="0"/>
    <x v="4"/>
    <x v="9"/>
    <x v="11"/>
    <s v="Hoodie Model 3"/>
    <n v="1"/>
    <n v="1363"/>
    <n v="0.05"/>
    <n v="1294.8499999999999"/>
    <n v="0.05"/>
    <n v="1294.8499999999999"/>
    <n v="64.742499999999993"/>
    <x v="12"/>
    <s v="UPI"/>
    <s v="Delivered"/>
    <d v="2025-04-03T00:00:00"/>
    <d v="2025-04-06T00:00:00"/>
    <x v="0"/>
    <x v="0"/>
    <x v="0"/>
    <x v="6"/>
    <s v="Summer Splash"/>
    <x v="4"/>
  </r>
  <r>
    <x v="13"/>
    <x v="13"/>
    <x v="13"/>
    <x v="2"/>
    <x v="4"/>
    <x v="2"/>
    <x v="3"/>
    <x v="10"/>
    <x v="12"/>
    <s v="Yoga Mat Model 1"/>
    <n v="2"/>
    <n v="9370"/>
    <n v="0.1"/>
    <n v="8433"/>
    <n v="0.12"/>
    <n v="16866"/>
    <n v="2023.92"/>
    <x v="13"/>
    <s v="Credit Card"/>
    <s v="Delivered"/>
    <d v="2025-01-05T00:00:00"/>
    <d v="2025-01-08T00:00:00"/>
    <x v="0"/>
    <x v="0"/>
    <x v="0"/>
    <x v="9"/>
    <s v="Monsoon Mania"/>
    <x v="0"/>
  </r>
  <r>
    <x v="14"/>
    <x v="14"/>
    <x v="14"/>
    <x v="3"/>
    <x v="10"/>
    <x v="0"/>
    <x v="4"/>
    <x v="9"/>
    <x v="13"/>
    <s v="Hoodie Model 1"/>
    <n v="2"/>
    <n v="1267"/>
    <n v="0.1"/>
    <n v="1140.3"/>
    <n v="0.12"/>
    <n v="2280.6"/>
    <n v="273.67200000000003"/>
    <x v="14"/>
    <s v="Debit Card"/>
    <s v="Shipped"/>
    <d v="2024-12-10T00:00:00"/>
    <m/>
    <x v="0"/>
    <x v="0"/>
    <x v="0"/>
    <x v="8"/>
    <s v="Monsoon Mania"/>
    <x v="1"/>
  </r>
  <r>
    <x v="15"/>
    <x v="15"/>
    <x v="15"/>
    <x v="1"/>
    <x v="1"/>
    <x v="0"/>
    <x v="3"/>
    <x v="11"/>
    <x v="14"/>
    <s v="Cricket Bat Model 1"/>
    <n v="1"/>
    <n v="7214"/>
    <n v="0"/>
    <n v="7214"/>
    <n v="0.18"/>
    <n v="7214"/>
    <n v="1298.52"/>
    <x v="15"/>
    <s v="Debit Card"/>
    <s v="Delivered"/>
    <d v="2024-11-22T00:00:00"/>
    <d v="2024-11-26T00:00:00"/>
    <x v="0"/>
    <x v="0"/>
    <x v="0"/>
    <x v="1"/>
    <s v="Diwali Blast"/>
    <x v="3"/>
  </r>
  <r>
    <x v="16"/>
    <x v="16"/>
    <x v="16"/>
    <x v="4"/>
    <x v="11"/>
    <x v="1"/>
    <x v="2"/>
    <x v="12"/>
    <x v="15"/>
    <s v="Headphones Model 2"/>
    <n v="3"/>
    <n v="38376"/>
    <n v="0"/>
    <n v="38376"/>
    <n v="0.12"/>
    <n v="115128"/>
    <n v="13815.36"/>
    <x v="16"/>
    <s v="UPI"/>
    <s v="Shipped"/>
    <d v="2024-11-08T00:00:00"/>
    <m/>
    <x v="0"/>
    <x v="0"/>
    <x v="0"/>
    <x v="1"/>
    <s v="New Year Sale"/>
    <x v="0"/>
  </r>
  <r>
    <x v="17"/>
    <x v="17"/>
    <x v="17"/>
    <x v="1"/>
    <x v="1"/>
    <x v="0"/>
    <x v="2"/>
    <x v="13"/>
    <x v="16"/>
    <s v="Laptop Model 1"/>
    <n v="1"/>
    <n v="24583"/>
    <n v="0.05"/>
    <n v="23353.85"/>
    <n v="0.12"/>
    <n v="23353.85"/>
    <n v="2802.462"/>
    <x v="17"/>
    <s v="Credit Card"/>
    <s v="Delivered"/>
    <d v="2025-03-06T00:00:00"/>
    <d v="2025-03-08T00:00:00"/>
    <x v="0"/>
    <x v="0"/>
    <x v="0"/>
    <x v="2"/>
    <s v="Summer Splash"/>
    <x v="4"/>
  </r>
  <r>
    <x v="18"/>
    <x v="18"/>
    <x v="18"/>
    <x v="0"/>
    <x v="0"/>
    <x v="0"/>
    <x v="0"/>
    <x v="14"/>
    <x v="17"/>
    <s v="Vacuum Model 3"/>
    <n v="1"/>
    <n v="10764"/>
    <n v="0.1"/>
    <n v="9687.6"/>
    <n v="0.05"/>
    <n v="9687.6"/>
    <n v="484.38000000000011"/>
    <x v="18"/>
    <s v="Credit Card"/>
    <s v="Delivered"/>
    <d v="2024-08-16T00:00:00"/>
    <d v="2024-08-17T00:00:00"/>
    <x v="0"/>
    <x v="0"/>
    <x v="0"/>
    <x v="0"/>
    <s v="Clearance"/>
    <x v="3"/>
  </r>
  <r>
    <x v="19"/>
    <x v="19"/>
    <x v="19"/>
    <x v="1"/>
    <x v="12"/>
    <x v="2"/>
    <x v="4"/>
    <x v="9"/>
    <x v="18"/>
    <s v="Hoodie Model 2"/>
    <n v="3"/>
    <n v="2424"/>
    <n v="0.1"/>
    <n v="2181.6"/>
    <n v="0.05"/>
    <n v="6544.7999999999993"/>
    <n v="327.24"/>
    <x v="19"/>
    <s v="Debit Card"/>
    <s v="Cancelled"/>
    <m/>
    <m/>
    <x v="0"/>
    <x v="0"/>
    <x v="0"/>
    <x v="3"/>
    <s v="Summer Splash"/>
    <x v="3"/>
  </r>
  <r>
    <x v="20"/>
    <x v="20"/>
    <x v="10"/>
    <x v="2"/>
    <x v="2"/>
    <x v="2"/>
    <x v="4"/>
    <x v="5"/>
    <x v="19"/>
    <s v="Dress Model 1"/>
    <n v="4"/>
    <n v="1983"/>
    <n v="0.15"/>
    <n v="1685.55"/>
    <n v="0.05"/>
    <n v="6742.2"/>
    <n v="337.11"/>
    <x v="20"/>
    <s v="Debit Card"/>
    <s v="Delivered"/>
    <d v="2024-08-10T00:00:00"/>
    <d v="2024-08-11T00:00:00"/>
    <x v="0"/>
    <x v="0"/>
    <x v="0"/>
    <x v="5"/>
    <s v="Back to School"/>
    <x v="4"/>
  </r>
  <r>
    <x v="21"/>
    <x v="21"/>
    <x v="20"/>
    <x v="0"/>
    <x v="0"/>
    <x v="0"/>
    <x v="3"/>
    <x v="4"/>
    <x v="20"/>
    <s v="Tennis Racket Model 1"/>
    <n v="2"/>
    <n v="9718"/>
    <n v="0"/>
    <n v="9718"/>
    <n v="0.12"/>
    <n v="19436"/>
    <n v="2332.3200000000002"/>
    <x v="21"/>
    <s v="UPI"/>
    <s v="Delivered"/>
    <d v="2024-05-13T00:00:00"/>
    <d v="2024-05-14T00:00:00"/>
    <x v="0"/>
    <x v="0"/>
    <x v="0"/>
    <x v="9"/>
    <s v="Monsoon Mania"/>
    <x v="5"/>
  </r>
  <r>
    <x v="22"/>
    <x v="22"/>
    <x v="21"/>
    <x v="4"/>
    <x v="8"/>
    <x v="1"/>
    <x v="1"/>
    <x v="15"/>
    <x v="21"/>
    <s v="Rice Model 3"/>
    <n v="3"/>
    <n v="746"/>
    <n v="0"/>
    <n v="746"/>
    <n v="0.12"/>
    <n v="2238"/>
    <n v="268.56"/>
    <x v="22"/>
    <s v="NetBanking"/>
    <s v="Delivered"/>
    <d v="2025-03-17T00:00:00"/>
    <d v="2025-03-18T00:00:00"/>
    <x v="0"/>
    <x v="0"/>
    <x v="0"/>
    <x v="6"/>
    <s v="Clearance"/>
    <x v="5"/>
  </r>
  <r>
    <x v="23"/>
    <x v="23"/>
    <x v="6"/>
    <x v="1"/>
    <x v="5"/>
    <x v="0"/>
    <x v="4"/>
    <x v="9"/>
    <x v="18"/>
    <s v="Hoodie Model 2"/>
    <n v="2"/>
    <n v="2227"/>
    <n v="0.1"/>
    <n v="2004.3"/>
    <n v="0.05"/>
    <n v="4008.6"/>
    <n v="200.43"/>
    <x v="23"/>
    <s v="Credit Card"/>
    <s v="Delivered"/>
    <d v="2024-09-10T00:00:00"/>
    <d v="2024-09-14T00:00:00"/>
    <x v="0"/>
    <x v="0"/>
    <x v="0"/>
    <x v="3"/>
    <s v="Monsoon Mania"/>
    <x v="6"/>
  </r>
  <r>
    <x v="24"/>
    <x v="24"/>
    <x v="9"/>
    <x v="4"/>
    <x v="8"/>
    <x v="1"/>
    <x v="2"/>
    <x v="13"/>
    <x v="16"/>
    <s v="Laptop Model 1"/>
    <n v="1"/>
    <n v="37296"/>
    <n v="0"/>
    <n v="37296"/>
    <n v="0.12"/>
    <n v="37296"/>
    <n v="4475.5200000000004"/>
    <x v="24"/>
    <s v="UPI"/>
    <s v="Returned"/>
    <d v="2024-03-15T00:00:00"/>
    <m/>
    <x v="1"/>
    <x v="2"/>
    <x v="2"/>
    <x v="5"/>
    <s v="Summer Splash"/>
    <x v="1"/>
  </r>
  <r>
    <x v="25"/>
    <x v="25"/>
    <x v="22"/>
    <x v="0"/>
    <x v="13"/>
    <x v="0"/>
    <x v="2"/>
    <x v="12"/>
    <x v="15"/>
    <s v="Headphones Model 2"/>
    <n v="3"/>
    <n v="50822"/>
    <n v="0"/>
    <n v="50822"/>
    <n v="0.18"/>
    <n v="152466"/>
    <n v="27443.88"/>
    <x v="25"/>
    <s v="COD"/>
    <s v="Delivered"/>
    <d v="2024-11-12T00:00:00"/>
    <d v="2024-11-15T00:00:00"/>
    <x v="0"/>
    <x v="0"/>
    <x v="0"/>
    <x v="8"/>
    <s v="Back to School"/>
    <x v="0"/>
  </r>
  <r>
    <x v="26"/>
    <x v="26"/>
    <x v="23"/>
    <x v="0"/>
    <x v="13"/>
    <x v="3"/>
    <x v="3"/>
    <x v="11"/>
    <x v="14"/>
    <s v="Cricket Bat Model 1"/>
    <n v="2"/>
    <n v="5106"/>
    <n v="0"/>
    <n v="5106"/>
    <n v="0.12"/>
    <n v="10212"/>
    <n v="1225.44"/>
    <x v="26"/>
    <s v="UPI"/>
    <s v="Delivered"/>
    <d v="2024-10-27T00:00:00"/>
    <d v="2024-10-29T00:00:00"/>
    <x v="0"/>
    <x v="0"/>
    <x v="0"/>
    <x v="3"/>
    <s v="Festival Fever"/>
    <x v="5"/>
  </r>
  <r>
    <x v="27"/>
    <x v="27"/>
    <x v="24"/>
    <x v="3"/>
    <x v="3"/>
    <x v="1"/>
    <x v="3"/>
    <x v="16"/>
    <x v="22"/>
    <s v="Football Model 1"/>
    <n v="3"/>
    <n v="6814"/>
    <n v="0.15"/>
    <n v="5791.9"/>
    <n v="0.18"/>
    <n v="17375.7"/>
    <n v="3127.6259999999988"/>
    <x v="27"/>
    <s v="NetBanking"/>
    <s v="In Transit"/>
    <d v="2025-02-12T00:00:00"/>
    <m/>
    <x v="0"/>
    <x v="0"/>
    <x v="0"/>
    <x v="7"/>
    <s v="Summer Splash"/>
    <x v="0"/>
  </r>
  <r>
    <x v="28"/>
    <x v="28"/>
    <x v="25"/>
    <x v="2"/>
    <x v="6"/>
    <x v="0"/>
    <x v="3"/>
    <x v="7"/>
    <x v="23"/>
    <s v="Dumbbells Model 1"/>
    <n v="1"/>
    <n v="2695"/>
    <n v="0.05"/>
    <n v="2560.25"/>
    <n v="0.12"/>
    <n v="2560.25"/>
    <n v="307.23"/>
    <x v="28"/>
    <s v="Debit Card"/>
    <s v="In Transit"/>
    <d v="2024-03-01T00:00:00"/>
    <m/>
    <x v="0"/>
    <x v="0"/>
    <x v="0"/>
    <x v="1"/>
    <s v="Summer Splash"/>
    <x v="0"/>
  </r>
  <r>
    <x v="29"/>
    <x v="29"/>
    <x v="26"/>
    <x v="1"/>
    <x v="12"/>
    <x v="0"/>
    <x v="3"/>
    <x v="11"/>
    <x v="24"/>
    <s v="Cricket Bat Model 3"/>
    <n v="1"/>
    <n v="2986"/>
    <n v="0.05"/>
    <n v="2836.7"/>
    <n v="0.05"/>
    <n v="2836.7"/>
    <n v="141.83500000000001"/>
    <x v="29"/>
    <s v="COD"/>
    <s v="Delivered"/>
    <d v="2024-10-11T00:00:00"/>
    <d v="2024-10-13T00:00:00"/>
    <x v="0"/>
    <x v="0"/>
    <x v="0"/>
    <x v="1"/>
    <s v="Back to School"/>
    <x v="5"/>
  </r>
  <r>
    <x v="30"/>
    <x v="30"/>
    <x v="27"/>
    <x v="2"/>
    <x v="6"/>
    <x v="1"/>
    <x v="4"/>
    <x v="17"/>
    <x v="25"/>
    <s v="T-Shirt Model 2"/>
    <n v="1"/>
    <n v="1193"/>
    <n v="0.05"/>
    <n v="1133.3499999999999"/>
    <n v="0.12"/>
    <n v="1133.3499999999999"/>
    <n v="136.00200000000001"/>
    <x v="30"/>
    <s v="Credit Card"/>
    <s v="Delivered"/>
    <d v="2024-03-03T00:00:00"/>
    <d v="2024-03-07T00:00:00"/>
    <x v="0"/>
    <x v="0"/>
    <x v="0"/>
    <x v="0"/>
    <s v="Diwali Blast"/>
    <x v="2"/>
  </r>
  <r>
    <x v="31"/>
    <x v="31"/>
    <x v="28"/>
    <x v="0"/>
    <x v="14"/>
    <x v="0"/>
    <x v="1"/>
    <x v="18"/>
    <x v="26"/>
    <s v="Beverage Model 2"/>
    <n v="1"/>
    <n v="925"/>
    <n v="0.1"/>
    <n v="832.5"/>
    <n v="0.18"/>
    <n v="832.5"/>
    <n v="149.85"/>
    <x v="31"/>
    <s v="Debit Card"/>
    <s v="Delivered"/>
    <d v="2024-10-12T00:00:00"/>
    <d v="2024-10-16T00:00:00"/>
    <x v="0"/>
    <x v="0"/>
    <x v="0"/>
    <x v="7"/>
    <s v="Clearance"/>
    <x v="6"/>
  </r>
  <r>
    <x v="32"/>
    <x v="32"/>
    <x v="29"/>
    <x v="0"/>
    <x v="0"/>
    <x v="0"/>
    <x v="1"/>
    <x v="15"/>
    <x v="27"/>
    <s v="Rice Model 1"/>
    <n v="4"/>
    <n v="217"/>
    <n v="0"/>
    <n v="217"/>
    <n v="0.05"/>
    <n v="868"/>
    <n v="43.400000000000013"/>
    <x v="32"/>
    <s v="Debit Card"/>
    <s v="Delivered"/>
    <d v="2024-06-24T00:00:00"/>
    <d v="2024-06-26T00:00:00"/>
    <x v="0"/>
    <x v="0"/>
    <x v="0"/>
    <x v="2"/>
    <s v="Diwali Blast"/>
    <x v="0"/>
  </r>
  <r>
    <x v="33"/>
    <x v="33"/>
    <x v="30"/>
    <x v="1"/>
    <x v="1"/>
    <x v="1"/>
    <x v="1"/>
    <x v="6"/>
    <x v="28"/>
    <s v="Oil Model 2"/>
    <n v="2"/>
    <n v="893"/>
    <n v="0.15"/>
    <n v="759.05"/>
    <n v="0.18"/>
    <n v="1518.1"/>
    <n v="273.25799999999998"/>
    <x v="33"/>
    <s v="NetBanking"/>
    <s v="Delivered"/>
    <d v="2024-07-30T00:00:00"/>
    <d v="2024-08-03T00:00:00"/>
    <x v="0"/>
    <x v="0"/>
    <x v="0"/>
    <x v="7"/>
    <s v="Diwali Blast"/>
    <x v="3"/>
  </r>
  <r>
    <x v="34"/>
    <x v="34"/>
    <x v="31"/>
    <x v="2"/>
    <x v="9"/>
    <x v="2"/>
    <x v="1"/>
    <x v="18"/>
    <x v="29"/>
    <s v="Beverage Model 1"/>
    <n v="2"/>
    <n v="934"/>
    <n v="0.1"/>
    <n v="840.6"/>
    <n v="0.18"/>
    <n v="1681.2"/>
    <n v="302.61599999999999"/>
    <x v="34"/>
    <s v="COD"/>
    <s v="Delivered"/>
    <d v="2024-10-19T00:00:00"/>
    <d v="2024-10-21T00:00:00"/>
    <x v="0"/>
    <x v="0"/>
    <x v="0"/>
    <x v="6"/>
    <s v="Back to School"/>
    <x v="2"/>
  </r>
  <r>
    <x v="35"/>
    <x v="35"/>
    <x v="32"/>
    <x v="3"/>
    <x v="15"/>
    <x v="1"/>
    <x v="3"/>
    <x v="10"/>
    <x v="30"/>
    <s v="Yoga Mat Model 3"/>
    <n v="3"/>
    <n v="6459"/>
    <n v="0.1"/>
    <n v="5813.1"/>
    <n v="0.12"/>
    <n v="17439.3"/>
    <n v="2092.7159999999999"/>
    <x v="35"/>
    <s v="Debit Card"/>
    <s v="Shipped"/>
    <d v="2024-12-13T00:00:00"/>
    <m/>
    <x v="0"/>
    <x v="0"/>
    <x v="0"/>
    <x v="0"/>
    <s v="Monsoon Mania"/>
    <x v="1"/>
  </r>
  <r>
    <x v="36"/>
    <x v="36"/>
    <x v="33"/>
    <x v="3"/>
    <x v="15"/>
    <x v="2"/>
    <x v="0"/>
    <x v="14"/>
    <x v="31"/>
    <s v="Vacuum Model 2"/>
    <n v="3"/>
    <n v="10613"/>
    <n v="0.05"/>
    <n v="10082.35"/>
    <n v="0.18"/>
    <n v="30247.05"/>
    <n v="5444.4690000000001"/>
    <x v="36"/>
    <s v="UPI"/>
    <s v="Delivered"/>
    <d v="2025-01-12T00:00:00"/>
    <d v="2025-01-14T00:00:00"/>
    <x v="0"/>
    <x v="0"/>
    <x v="0"/>
    <x v="9"/>
    <s v="Monsoon Mania"/>
    <x v="2"/>
  </r>
  <r>
    <x v="37"/>
    <x v="37"/>
    <x v="34"/>
    <x v="4"/>
    <x v="8"/>
    <x v="0"/>
    <x v="4"/>
    <x v="17"/>
    <x v="32"/>
    <s v="T-Shirt Model 3"/>
    <n v="1"/>
    <n v="1020"/>
    <n v="0.05"/>
    <n v="969"/>
    <n v="0.18"/>
    <n v="969"/>
    <n v="174.42"/>
    <x v="37"/>
    <s v="UPI"/>
    <s v="Delivered"/>
    <d v="2024-10-28T00:00:00"/>
    <d v="2024-10-30T00:00:00"/>
    <x v="0"/>
    <x v="0"/>
    <x v="0"/>
    <x v="4"/>
    <s v="Diwali Blast"/>
    <x v="2"/>
  </r>
  <r>
    <x v="38"/>
    <x v="38"/>
    <x v="35"/>
    <x v="4"/>
    <x v="16"/>
    <x v="1"/>
    <x v="0"/>
    <x v="14"/>
    <x v="31"/>
    <s v="Vacuum Model 2"/>
    <n v="1"/>
    <n v="11507"/>
    <n v="0"/>
    <n v="11507"/>
    <n v="0.12"/>
    <n v="11507"/>
    <n v="1380.84"/>
    <x v="38"/>
    <s v="Credit Card"/>
    <s v="Delivered"/>
    <d v="2025-04-10T00:00:00"/>
    <d v="2025-04-12T00:00:00"/>
    <x v="0"/>
    <x v="0"/>
    <x v="0"/>
    <x v="0"/>
    <s v="New Year Sale"/>
    <x v="5"/>
  </r>
  <r>
    <x v="39"/>
    <x v="39"/>
    <x v="36"/>
    <x v="4"/>
    <x v="17"/>
    <x v="0"/>
    <x v="3"/>
    <x v="7"/>
    <x v="33"/>
    <s v="Dumbbells Model 2"/>
    <n v="3"/>
    <n v="5257"/>
    <n v="0.05"/>
    <n v="4994.1499999999996"/>
    <n v="0.12"/>
    <n v="14982.45"/>
    <n v="1797.894"/>
    <x v="39"/>
    <s v="COD"/>
    <s v="Delivered"/>
    <d v="2024-10-30T00:00:00"/>
    <d v="2024-11-01T00:00:00"/>
    <x v="0"/>
    <x v="0"/>
    <x v="0"/>
    <x v="8"/>
    <s v="New Year Sale"/>
    <x v="5"/>
  </r>
  <r>
    <x v="40"/>
    <x v="40"/>
    <x v="37"/>
    <x v="1"/>
    <x v="1"/>
    <x v="2"/>
    <x v="1"/>
    <x v="6"/>
    <x v="34"/>
    <s v="Oil Model 3"/>
    <n v="4"/>
    <n v="183"/>
    <n v="0.05"/>
    <n v="173.85"/>
    <n v="0.05"/>
    <n v="695.4"/>
    <n v="34.770000000000003"/>
    <x v="40"/>
    <s v="Debit Card"/>
    <s v="Delivered"/>
    <d v="2024-03-27T00:00:00"/>
    <d v="2024-03-28T00:00:00"/>
    <x v="0"/>
    <x v="0"/>
    <x v="0"/>
    <x v="8"/>
    <s v="Back to School"/>
    <x v="5"/>
  </r>
  <r>
    <x v="41"/>
    <x v="41"/>
    <x v="38"/>
    <x v="0"/>
    <x v="14"/>
    <x v="1"/>
    <x v="4"/>
    <x v="5"/>
    <x v="7"/>
    <s v="Dress Model 3"/>
    <n v="1"/>
    <n v="646"/>
    <n v="0.15"/>
    <n v="549.1"/>
    <n v="0.12"/>
    <n v="549.1"/>
    <n v="65.891999999999996"/>
    <x v="41"/>
    <s v="Credit Card"/>
    <s v="Delivered"/>
    <d v="2024-05-11T00:00:00"/>
    <d v="2024-05-14T00:00:00"/>
    <x v="0"/>
    <x v="0"/>
    <x v="0"/>
    <x v="8"/>
    <s v="Diwali Blast"/>
    <x v="4"/>
  </r>
  <r>
    <x v="42"/>
    <x v="42"/>
    <x v="4"/>
    <x v="2"/>
    <x v="4"/>
    <x v="0"/>
    <x v="1"/>
    <x v="18"/>
    <x v="29"/>
    <s v="Beverage Model 1"/>
    <n v="1"/>
    <n v="281"/>
    <n v="0"/>
    <n v="281"/>
    <n v="0.12"/>
    <n v="281"/>
    <n v="33.72"/>
    <x v="42"/>
    <s v="COD"/>
    <s v="Delivered"/>
    <d v="2024-05-16T00:00:00"/>
    <d v="2024-05-17T00:00:00"/>
    <x v="0"/>
    <x v="0"/>
    <x v="0"/>
    <x v="5"/>
    <s v="Back to School"/>
    <x v="1"/>
  </r>
  <r>
    <x v="43"/>
    <x v="43"/>
    <x v="39"/>
    <x v="4"/>
    <x v="11"/>
    <x v="0"/>
    <x v="0"/>
    <x v="14"/>
    <x v="17"/>
    <s v="Vacuum Model 3"/>
    <n v="5"/>
    <n v="9869"/>
    <n v="0.05"/>
    <n v="9375.5499999999993"/>
    <n v="0.18"/>
    <n v="46877.75"/>
    <n v="8437.994999999999"/>
    <x v="43"/>
    <s v="UPI"/>
    <s v="Cancelled"/>
    <m/>
    <m/>
    <x v="0"/>
    <x v="0"/>
    <x v="0"/>
    <x v="6"/>
    <s v="Festival Fever"/>
    <x v="0"/>
  </r>
  <r>
    <x v="44"/>
    <x v="44"/>
    <x v="40"/>
    <x v="1"/>
    <x v="18"/>
    <x v="0"/>
    <x v="0"/>
    <x v="14"/>
    <x v="17"/>
    <s v="Vacuum Model 3"/>
    <n v="2"/>
    <n v="13996"/>
    <n v="0"/>
    <n v="13996"/>
    <n v="0.12"/>
    <n v="27992"/>
    <n v="3359.04"/>
    <x v="44"/>
    <s v="Credit Card"/>
    <s v="Delivered"/>
    <d v="2025-04-22T00:00:00"/>
    <d v="2025-04-27T00:00:00"/>
    <x v="0"/>
    <x v="0"/>
    <x v="0"/>
    <x v="5"/>
    <s v="Monsoon Mania"/>
    <x v="6"/>
  </r>
  <r>
    <x v="45"/>
    <x v="45"/>
    <x v="32"/>
    <x v="3"/>
    <x v="15"/>
    <x v="1"/>
    <x v="4"/>
    <x v="5"/>
    <x v="19"/>
    <s v="Dress Model 1"/>
    <n v="1"/>
    <n v="820"/>
    <n v="0.15"/>
    <n v="697"/>
    <n v="0.05"/>
    <n v="697"/>
    <n v="34.85"/>
    <x v="45"/>
    <s v="COD"/>
    <s v="Delivered"/>
    <d v="2024-12-06T00:00:00"/>
    <d v="2024-12-10T00:00:00"/>
    <x v="0"/>
    <x v="0"/>
    <x v="0"/>
    <x v="2"/>
    <s v="New Year Sale"/>
    <x v="0"/>
  </r>
  <r>
    <x v="46"/>
    <x v="46"/>
    <x v="41"/>
    <x v="4"/>
    <x v="11"/>
    <x v="0"/>
    <x v="2"/>
    <x v="19"/>
    <x v="35"/>
    <s v="Camera Model 2"/>
    <n v="1"/>
    <n v="51254"/>
    <n v="0"/>
    <n v="51254"/>
    <n v="0.05"/>
    <n v="51254"/>
    <n v="2562.6999999999998"/>
    <x v="46"/>
    <s v="UPI"/>
    <s v="In Transit"/>
    <d v="2025-01-18T00:00:00"/>
    <m/>
    <x v="0"/>
    <x v="0"/>
    <x v="0"/>
    <x v="1"/>
    <s v="Clearance"/>
    <x v="2"/>
  </r>
  <r>
    <x v="47"/>
    <x v="47"/>
    <x v="42"/>
    <x v="3"/>
    <x v="10"/>
    <x v="0"/>
    <x v="1"/>
    <x v="20"/>
    <x v="36"/>
    <s v="Pulses Model 3"/>
    <n v="2"/>
    <n v="364"/>
    <n v="0.1"/>
    <n v="327.60000000000002"/>
    <n v="0.12"/>
    <n v="655.20000000000005"/>
    <n v="78.624000000000009"/>
    <x v="47"/>
    <s v="NetBanking"/>
    <s v="Delivered"/>
    <d v="2024-09-27T00:00:00"/>
    <d v="2024-09-30T00:00:00"/>
    <x v="0"/>
    <x v="0"/>
    <x v="0"/>
    <x v="5"/>
    <s v="Diwali Blast"/>
    <x v="1"/>
  </r>
  <r>
    <x v="48"/>
    <x v="48"/>
    <x v="43"/>
    <x v="4"/>
    <x v="11"/>
    <x v="0"/>
    <x v="0"/>
    <x v="21"/>
    <x v="37"/>
    <s v="Lamp Model 3"/>
    <n v="1"/>
    <n v="6102"/>
    <n v="0"/>
    <n v="6102"/>
    <n v="0.05"/>
    <n v="6102"/>
    <n v="305.10000000000002"/>
    <x v="48"/>
    <s v="UPI"/>
    <s v="Delivered"/>
    <d v="2025-04-07T00:00:00"/>
    <d v="2025-04-10T00:00:00"/>
    <x v="0"/>
    <x v="0"/>
    <x v="0"/>
    <x v="1"/>
    <s v="Diwali Blast"/>
    <x v="2"/>
  </r>
  <r>
    <x v="49"/>
    <x v="49"/>
    <x v="23"/>
    <x v="0"/>
    <x v="13"/>
    <x v="0"/>
    <x v="1"/>
    <x v="2"/>
    <x v="4"/>
    <s v="Snacks Model 1"/>
    <n v="1"/>
    <n v="597"/>
    <n v="0.05"/>
    <n v="567.15"/>
    <n v="0.05"/>
    <n v="567.15"/>
    <n v="28.357500000000002"/>
    <x v="49"/>
    <s v="Debit Card"/>
    <s v="Delivered"/>
    <d v="2025-01-04T00:00:00"/>
    <d v="2025-01-05T00:00:00"/>
    <x v="0"/>
    <x v="0"/>
    <x v="0"/>
    <x v="6"/>
    <s v="Clearance"/>
    <x v="6"/>
  </r>
  <r>
    <x v="50"/>
    <x v="50"/>
    <x v="44"/>
    <x v="1"/>
    <x v="5"/>
    <x v="0"/>
    <x v="0"/>
    <x v="1"/>
    <x v="38"/>
    <s v="Cookware Model 1"/>
    <n v="2"/>
    <n v="11990"/>
    <n v="0.15"/>
    <n v="10191.5"/>
    <n v="0.05"/>
    <n v="20383"/>
    <n v="1019.15"/>
    <x v="50"/>
    <s v="UPI"/>
    <s v="Delivered"/>
    <d v="2025-01-26T00:00:00"/>
    <d v="2025-01-31T00:00:00"/>
    <x v="0"/>
    <x v="0"/>
    <x v="0"/>
    <x v="3"/>
    <s v="Festival Fever"/>
    <x v="1"/>
  </r>
  <r>
    <x v="51"/>
    <x v="51"/>
    <x v="11"/>
    <x v="2"/>
    <x v="9"/>
    <x v="1"/>
    <x v="2"/>
    <x v="19"/>
    <x v="39"/>
    <s v="Camera Model 3"/>
    <n v="1"/>
    <n v="9186"/>
    <n v="0.15"/>
    <n v="7808.0999999999995"/>
    <n v="0.12"/>
    <n v="7808.0999999999995"/>
    <n v="936.97199999999987"/>
    <x v="51"/>
    <s v="Debit Card"/>
    <s v="Cancelled"/>
    <m/>
    <m/>
    <x v="0"/>
    <x v="0"/>
    <x v="0"/>
    <x v="2"/>
    <s v="Clearance"/>
    <x v="3"/>
  </r>
  <r>
    <x v="52"/>
    <x v="52"/>
    <x v="34"/>
    <x v="4"/>
    <x v="8"/>
    <x v="1"/>
    <x v="0"/>
    <x v="0"/>
    <x v="0"/>
    <s v="Air Purifier Model 1"/>
    <n v="1"/>
    <n v="14379"/>
    <n v="0"/>
    <n v="14379"/>
    <n v="0.12"/>
    <n v="14379"/>
    <n v="1725.48"/>
    <x v="52"/>
    <s v="UPI"/>
    <s v="Shipped"/>
    <d v="2024-08-10T00:00:00"/>
    <m/>
    <x v="0"/>
    <x v="0"/>
    <x v="0"/>
    <x v="1"/>
    <s v="Festival Fever"/>
    <x v="5"/>
  </r>
  <r>
    <x v="53"/>
    <x v="53"/>
    <x v="45"/>
    <x v="0"/>
    <x v="14"/>
    <x v="0"/>
    <x v="0"/>
    <x v="22"/>
    <x v="40"/>
    <s v="Mixer Model 2"/>
    <n v="1"/>
    <n v="2079"/>
    <n v="0.05"/>
    <n v="1975.05"/>
    <n v="0.12"/>
    <n v="1975.05"/>
    <n v="237.006"/>
    <x v="53"/>
    <s v="Credit Card"/>
    <s v="Delivered"/>
    <d v="2024-04-05T00:00:00"/>
    <d v="2024-04-10T00:00:00"/>
    <x v="0"/>
    <x v="0"/>
    <x v="0"/>
    <x v="6"/>
    <s v="Festival Fever"/>
    <x v="2"/>
  </r>
  <r>
    <x v="54"/>
    <x v="54"/>
    <x v="17"/>
    <x v="1"/>
    <x v="1"/>
    <x v="0"/>
    <x v="3"/>
    <x v="10"/>
    <x v="12"/>
    <s v="Yoga Mat Model 1"/>
    <n v="1"/>
    <n v="6343"/>
    <n v="0"/>
    <n v="6343"/>
    <n v="0.18"/>
    <n v="6343"/>
    <n v="1141.74"/>
    <x v="54"/>
    <s v="Debit Card"/>
    <s v="Delivered"/>
    <d v="2025-04-09T00:00:00"/>
    <d v="2025-04-10T00:00:00"/>
    <x v="0"/>
    <x v="0"/>
    <x v="0"/>
    <x v="6"/>
    <s v="Diwali Blast"/>
    <x v="5"/>
  </r>
  <r>
    <x v="55"/>
    <x v="55"/>
    <x v="46"/>
    <x v="4"/>
    <x v="11"/>
    <x v="0"/>
    <x v="3"/>
    <x v="10"/>
    <x v="12"/>
    <s v="Yoga Mat Model 1"/>
    <n v="2"/>
    <n v="1586"/>
    <n v="0"/>
    <n v="1586"/>
    <n v="0.05"/>
    <n v="3172"/>
    <n v="158.6"/>
    <x v="55"/>
    <s v="UPI"/>
    <s v="Delivered"/>
    <d v="2024-03-13T00:00:00"/>
    <d v="2024-03-15T00:00:00"/>
    <x v="0"/>
    <x v="0"/>
    <x v="0"/>
    <x v="3"/>
    <s v="Clearance"/>
    <x v="1"/>
  </r>
  <r>
    <x v="56"/>
    <x v="56"/>
    <x v="47"/>
    <x v="2"/>
    <x v="6"/>
    <x v="0"/>
    <x v="4"/>
    <x v="9"/>
    <x v="18"/>
    <s v="Hoodie Model 2"/>
    <n v="1"/>
    <n v="1678"/>
    <n v="0.15"/>
    <n v="1426.3"/>
    <n v="0.12"/>
    <n v="1426.3"/>
    <n v="171.15600000000001"/>
    <x v="56"/>
    <s v="COD"/>
    <s v="Returned"/>
    <d v="2025-01-03T00:00:00"/>
    <m/>
    <x v="1"/>
    <x v="3"/>
    <x v="3"/>
    <x v="5"/>
    <s v="Diwali Blast"/>
    <x v="4"/>
  </r>
  <r>
    <x v="57"/>
    <x v="57"/>
    <x v="48"/>
    <x v="3"/>
    <x v="7"/>
    <x v="2"/>
    <x v="0"/>
    <x v="14"/>
    <x v="31"/>
    <s v="Vacuum Model 2"/>
    <n v="2"/>
    <n v="1860"/>
    <n v="0.15"/>
    <n v="1581"/>
    <n v="0.05"/>
    <n v="3162"/>
    <n v="158.1"/>
    <x v="57"/>
    <s v="COD"/>
    <s v="In Transit"/>
    <d v="2024-02-06T00:00:00"/>
    <m/>
    <x v="0"/>
    <x v="0"/>
    <x v="0"/>
    <x v="6"/>
    <s v="Back to School"/>
    <x v="5"/>
  </r>
  <r>
    <x v="58"/>
    <x v="58"/>
    <x v="49"/>
    <x v="2"/>
    <x v="4"/>
    <x v="0"/>
    <x v="2"/>
    <x v="13"/>
    <x v="41"/>
    <s v="Laptop Model 3"/>
    <n v="1"/>
    <n v="57661"/>
    <n v="0"/>
    <n v="57661"/>
    <n v="0.18"/>
    <n v="57661"/>
    <n v="10378.98"/>
    <x v="58"/>
    <s v="UPI"/>
    <s v="Delivered"/>
    <d v="2024-07-29T00:00:00"/>
    <d v="2024-08-01T00:00:00"/>
    <x v="0"/>
    <x v="0"/>
    <x v="0"/>
    <x v="4"/>
    <s v="Back to School"/>
    <x v="1"/>
  </r>
  <r>
    <x v="59"/>
    <x v="59"/>
    <x v="14"/>
    <x v="3"/>
    <x v="10"/>
    <x v="0"/>
    <x v="2"/>
    <x v="13"/>
    <x v="16"/>
    <s v="Laptop Model 1"/>
    <n v="1"/>
    <n v="53784"/>
    <n v="0"/>
    <n v="53784"/>
    <n v="0.18"/>
    <n v="53784"/>
    <n v="9681.119999999999"/>
    <x v="59"/>
    <s v="UPI"/>
    <s v="Delivered"/>
    <d v="2024-01-28T00:00:00"/>
    <d v="2024-01-31T00:00:00"/>
    <x v="0"/>
    <x v="0"/>
    <x v="0"/>
    <x v="1"/>
    <s v="New Year Sale"/>
    <x v="3"/>
  </r>
  <r>
    <x v="60"/>
    <x v="60"/>
    <x v="11"/>
    <x v="2"/>
    <x v="9"/>
    <x v="1"/>
    <x v="1"/>
    <x v="18"/>
    <x v="42"/>
    <s v="Beverage Model 3"/>
    <n v="1"/>
    <n v="1127"/>
    <n v="0.05"/>
    <n v="1070.6500000000001"/>
    <n v="0.05"/>
    <n v="1070.6500000000001"/>
    <n v="53.532499999999999"/>
    <x v="60"/>
    <s v="Debit Card"/>
    <s v="Shipped"/>
    <d v="2024-09-09T00:00:00"/>
    <m/>
    <x v="0"/>
    <x v="0"/>
    <x v="0"/>
    <x v="8"/>
    <s v="Back to School"/>
    <x v="1"/>
  </r>
  <r>
    <x v="61"/>
    <x v="61"/>
    <x v="50"/>
    <x v="3"/>
    <x v="15"/>
    <x v="0"/>
    <x v="4"/>
    <x v="8"/>
    <x v="43"/>
    <s v="Jacket Model 1"/>
    <n v="1"/>
    <n v="1140"/>
    <n v="0.05"/>
    <n v="1083"/>
    <n v="0.12"/>
    <n v="1083"/>
    <n v="129.96"/>
    <x v="11"/>
    <s v="UPI"/>
    <s v="Delivered"/>
    <d v="2024-04-16T00:00:00"/>
    <d v="2024-04-20T00:00:00"/>
    <x v="0"/>
    <x v="0"/>
    <x v="0"/>
    <x v="4"/>
    <s v="Diwali Blast"/>
    <x v="2"/>
  </r>
  <r>
    <x v="62"/>
    <x v="62"/>
    <x v="51"/>
    <x v="0"/>
    <x v="19"/>
    <x v="0"/>
    <x v="0"/>
    <x v="22"/>
    <x v="44"/>
    <s v="Mixer Model 3"/>
    <n v="2"/>
    <n v="9230"/>
    <n v="0.05"/>
    <n v="8768.5"/>
    <n v="0.05"/>
    <n v="17537"/>
    <n v="876.85"/>
    <x v="61"/>
    <s v="UPI"/>
    <s v="Returned"/>
    <d v="2024-06-04T00:00:00"/>
    <m/>
    <x v="1"/>
    <x v="4"/>
    <x v="4"/>
    <x v="0"/>
    <s v="Clearance"/>
    <x v="3"/>
  </r>
  <r>
    <x v="63"/>
    <x v="63"/>
    <x v="52"/>
    <x v="1"/>
    <x v="1"/>
    <x v="0"/>
    <x v="3"/>
    <x v="10"/>
    <x v="30"/>
    <s v="Yoga Mat Model 3"/>
    <n v="2"/>
    <n v="7006"/>
    <n v="0"/>
    <n v="7006"/>
    <n v="0.05"/>
    <n v="14012"/>
    <n v="700.6"/>
    <x v="62"/>
    <s v="Debit Card"/>
    <s v="Delivered"/>
    <d v="2024-11-21T00:00:00"/>
    <d v="2024-11-26T00:00:00"/>
    <x v="0"/>
    <x v="0"/>
    <x v="0"/>
    <x v="2"/>
    <s v="Diwali Blast"/>
    <x v="6"/>
  </r>
  <r>
    <x v="64"/>
    <x v="64"/>
    <x v="53"/>
    <x v="0"/>
    <x v="0"/>
    <x v="0"/>
    <x v="1"/>
    <x v="6"/>
    <x v="34"/>
    <s v="Oil Model 3"/>
    <n v="1"/>
    <n v="445"/>
    <n v="0.1"/>
    <n v="400.5"/>
    <n v="0.18"/>
    <n v="400.5"/>
    <n v="72.09"/>
    <x v="63"/>
    <s v="COD"/>
    <s v="Delivered"/>
    <d v="2024-10-09T00:00:00"/>
    <d v="2024-10-12T00:00:00"/>
    <x v="0"/>
    <x v="0"/>
    <x v="0"/>
    <x v="3"/>
    <s v="Diwali Blast"/>
    <x v="0"/>
  </r>
  <r>
    <x v="65"/>
    <x v="65"/>
    <x v="32"/>
    <x v="3"/>
    <x v="15"/>
    <x v="0"/>
    <x v="3"/>
    <x v="7"/>
    <x v="33"/>
    <s v="Dumbbells Model 2"/>
    <n v="3"/>
    <n v="2377"/>
    <n v="0"/>
    <n v="2377"/>
    <n v="0.18"/>
    <n v="7131"/>
    <n v="1283.58"/>
    <x v="64"/>
    <s v="UPI"/>
    <s v="Delivered"/>
    <d v="2024-10-11T00:00:00"/>
    <d v="2024-10-16T00:00:00"/>
    <x v="0"/>
    <x v="0"/>
    <x v="0"/>
    <x v="2"/>
    <s v="Monsoon Mania"/>
    <x v="5"/>
  </r>
  <r>
    <x v="66"/>
    <x v="66"/>
    <x v="54"/>
    <x v="2"/>
    <x v="9"/>
    <x v="0"/>
    <x v="3"/>
    <x v="10"/>
    <x v="30"/>
    <s v="Yoga Mat Model 3"/>
    <n v="1"/>
    <n v="9383"/>
    <n v="0"/>
    <n v="9383"/>
    <n v="0.18"/>
    <n v="9383"/>
    <n v="1688.94"/>
    <x v="65"/>
    <s v="Credit Card"/>
    <s v="Delivered"/>
    <d v="2024-06-22T00:00:00"/>
    <d v="2024-06-23T00:00:00"/>
    <x v="0"/>
    <x v="0"/>
    <x v="0"/>
    <x v="4"/>
    <s v="Back to School"/>
    <x v="2"/>
  </r>
  <r>
    <x v="67"/>
    <x v="67"/>
    <x v="37"/>
    <x v="1"/>
    <x v="1"/>
    <x v="3"/>
    <x v="1"/>
    <x v="18"/>
    <x v="29"/>
    <s v="Beverage Model 1"/>
    <n v="2"/>
    <n v="352"/>
    <n v="0.05"/>
    <n v="334.4"/>
    <n v="0.18"/>
    <n v="668.8"/>
    <n v="120.384"/>
    <x v="66"/>
    <s v="Debit Card"/>
    <s v="Returned"/>
    <d v="2024-08-22T00:00:00"/>
    <m/>
    <x v="1"/>
    <x v="5"/>
    <x v="5"/>
    <x v="4"/>
    <s v="Monsoon Mania"/>
    <x v="5"/>
  </r>
  <r>
    <x v="68"/>
    <x v="68"/>
    <x v="50"/>
    <x v="3"/>
    <x v="15"/>
    <x v="1"/>
    <x v="1"/>
    <x v="15"/>
    <x v="21"/>
    <s v="Rice Model 3"/>
    <n v="2"/>
    <n v="178"/>
    <n v="0"/>
    <n v="178"/>
    <n v="0.05"/>
    <n v="356"/>
    <n v="17.8"/>
    <x v="67"/>
    <s v="Debit Card"/>
    <s v="Delivered"/>
    <d v="2024-12-20T00:00:00"/>
    <d v="2024-12-21T00:00:00"/>
    <x v="0"/>
    <x v="0"/>
    <x v="0"/>
    <x v="7"/>
    <s v="Diwali Blast"/>
    <x v="4"/>
  </r>
  <r>
    <x v="69"/>
    <x v="69"/>
    <x v="55"/>
    <x v="4"/>
    <x v="8"/>
    <x v="1"/>
    <x v="4"/>
    <x v="17"/>
    <x v="25"/>
    <s v="T-Shirt Model 2"/>
    <n v="1"/>
    <n v="443"/>
    <n v="0.15"/>
    <n v="376.55"/>
    <n v="0.12"/>
    <n v="376.55"/>
    <n v="45.186"/>
    <x v="68"/>
    <s v="UPI"/>
    <s v="Delivered"/>
    <d v="2024-03-06T00:00:00"/>
    <d v="2024-03-08T00:00:00"/>
    <x v="0"/>
    <x v="0"/>
    <x v="0"/>
    <x v="9"/>
    <s v="Monsoon Mania"/>
    <x v="6"/>
  </r>
  <r>
    <x v="70"/>
    <x v="70"/>
    <x v="56"/>
    <x v="2"/>
    <x v="6"/>
    <x v="0"/>
    <x v="4"/>
    <x v="9"/>
    <x v="11"/>
    <s v="Hoodie Model 3"/>
    <n v="1"/>
    <n v="1963"/>
    <n v="0.05"/>
    <n v="1864.85"/>
    <n v="0.12"/>
    <n v="1864.85"/>
    <n v="223.78200000000001"/>
    <x v="69"/>
    <s v="UPI"/>
    <s v="Delivered"/>
    <d v="2024-07-23T00:00:00"/>
    <d v="2024-07-28T00:00:00"/>
    <x v="0"/>
    <x v="0"/>
    <x v="0"/>
    <x v="7"/>
    <s v="Clearance"/>
    <x v="3"/>
  </r>
  <r>
    <x v="71"/>
    <x v="71"/>
    <x v="57"/>
    <x v="4"/>
    <x v="17"/>
    <x v="0"/>
    <x v="2"/>
    <x v="23"/>
    <x v="45"/>
    <s v="Smartwatch Model 3"/>
    <n v="1"/>
    <n v="45946"/>
    <n v="0.05"/>
    <n v="43648.7"/>
    <n v="0.18"/>
    <n v="43648.7"/>
    <n v="7856.7659999999996"/>
    <x v="70"/>
    <s v="COD"/>
    <s v="Delivered"/>
    <d v="2024-04-09T00:00:00"/>
    <d v="2024-04-13T00:00:00"/>
    <x v="0"/>
    <x v="0"/>
    <x v="0"/>
    <x v="9"/>
    <s v="Back to School"/>
    <x v="3"/>
  </r>
  <r>
    <x v="72"/>
    <x v="72"/>
    <x v="30"/>
    <x v="1"/>
    <x v="1"/>
    <x v="3"/>
    <x v="2"/>
    <x v="12"/>
    <x v="46"/>
    <s v="Headphones Model 1"/>
    <n v="4"/>
    <n v="21315"/>
    <n v="0"/>
    <n v="21315"/>
    <n v="0.05"/>
    <n v="85260"/>
    <n v="4263"/>
    <x v="71"/>
    <s v="UPI"/>
    <s v="Delivered"/>
    <d v="2024-12-01T00:00:00"/>
    <d v="2024-12-04T00:00:00"/>
    <x v="0"/>
    <x v="0"/>
    <x v="0"/>
    <x v="2"/>
    <s v="Diwali Blast"/>
    <x v="1"/>
  </r>
  <r>
    <x v="73"/>
    <x v="73"/>
    <x v="58"/>
    <x v="4"/>
    <x v="11"/>
    <x v="2"/>
    <x v="2"/>
    <x v="23"/>
    <x v="47"/>
    <s v="Smartwatch Model 1"/>
    <n v="2"/>
    <n v="32507"/>
    <n v="0"/>
    <n v="32507"/>
    <n v="0.18"/>
    <n v="65014"/>
    <n v="11702.52"/>
    <x v="72"/>
    <s v="COD"/>
    <s v="Delivered"/>
    <d v="2025-02-16T00:00:00"/>
    <d v="2025-02-18T00:00:00"/>
    <x v="0"/>
    <x v="0"/>
    <x v="0"/>
    <x v="4"/>
    <s v="Diwali Blast"/>
    <x v="2"/>
  </r>
  <r>
    <x v="74"/>
    <x v="74"/>
    <x v="59"/>
    <x v="4"/>
    <x v="8"/>
    <x v="1"/>
    <x v="3"/>
    <x v="16"/>
    <x v="48"/>
    <s v="Football Model 2"/>
    <n v="4"/>
    <n v="9276"/>
    <n v="0.15"/>
    <n v="7884.5999999999995"/>
    <n v="0.12"/>
    <n v="31538.400000000001"/>
    <n v="3784.6080000000002"/>
    <x v="73"/>
    <s v="Credit Card"/>
    <s v="Delivered"/>
    <d v="2024-03-04T00:00:00"/>
    <d v="2024-03-07T00:00:00"/>
    <x v="0"/>
    <x v="0"/>
    <x v="0"/>
    <x v="8"/>
    <s v="Summer Splash"/>
    <x v="1"/>
  </r>
  <r>
    <x v="75"/>
    <x v="75"/>
    <x v="60"/>
    <x v="1"/>
    <x v="18"/>
    <x v="1"/>
    <x v="1"/>
    <x v="6"/>
    <x v="28"/>
    <s v="Oil Model 2"/>
    <n v="1"/>
    <n v="906"/>
    <n v="0"/>
    <n v="906"/>
    <n v="0.18"/>
    <n v="906"/>
    <n v="163.08000000000001"/>
    <x v="74"/>
    <s v="NetBanking"/>
    <s v="Delivered"/>
    <d v="2025-04-15T00:00:00"/>
    <d v="2025-04-17T00:00:00"/>
    <x v="0"/>
    <x v="0"/>
    <x v="0"/>
    <x v="4"/>
    <s v="Diwali Blast"/>
    <x v="5"/>
  </r>
  <r>
    <x v="76"/>
    <x v="76"/>
    <x v="61"/>
    <x v="0"/>
    <x v="13"/>
    <x v="1"/>
    <x v="3"/>
    <x v="4"/>
    <x v="20"/>
    <s v="Tennis Racket Model 1"/>
    <n v="3"/>
    <n v="1719"/>
    <n v="0"/>
    <n v="1719"/>
    <n v="0.12"/>
    <n v="5157"/>
    <n v="618.84"/>
    <x v="75"/>
    <s v="Credit Card"/>
    <s v="Delivered"/>
    <d v="2024-06-08T00:00:00"/>
    <d v="2024-06-13T00:00:00"/>
    <x v="0"/>
    <x v="0"/>
    <x v="0"/>
    <x v="3"/>
    <s v="Summer Splash"/>
    <x v="4"/>
  </r>
  <r>
    <x v="77"/>
    <x v="77"/>
    <x v="62"/>
    <x v="2"/>
    <x v="2"/>
    <x v="0"/>
    <x v="3"/>
    <x v="11"/>
    <x v="14"/>
    <s v="Cricket Bat Model 1"/>
    <n v="2"/>
    <n v="8641"/>
    <n v="0.1"/>
    <n v="7776.9000000000005"/>
    <n v="0.12"/>
    <n v="15553.8"/>
    <n v="1866.4559999999999"/>
    <x v="76"/>
    <s v="UPI"/>
    <s v="Cancelled"/>
    <m/>
    <m/>
    <x v="0"/>
    <x v="0"/>
    <x v="0"/>
    <x v="8"/>
    <s v="Summer Splash"/>
    <x v="3"/>
  </r>
  <r>
    <x v="78"/>
    <x v="78"/>
    <x v="9"/>
    <x v="4"/>
    <x v="8"/>
    <x v="3"/>
    <x v="2"/>
    <x v="13"/>
    <x v="16"/>
    <s v="Laptop Model 1"/>
    <n v="5"/>
    <n v="10885"/>
    <n v="0.1"/>
    <n v="9796.5"/>
    <n v="0.12"/>
    <n v="48982.5"/>
    <n v="5877.9"/>
    <x v="77"/>
    <s v="NetBanking"/>
    <s v="Cancelled"/>
    <m/>
    <m/>
    <x v="0"/>
    <x v="0"/>
    <x v="0"/>
    <x v="3"/>
    <s v="Monsoon Mania"/>
    <x v="2"/>
  </r>
  <r>
    <x v="79"/>
    <x v="79"/>
    <x v="63"/>
    <x v="1"/>
    <x v="1"/>
    <x v="0"/>
    <x v="3"/>
    <x v="11"/>
    <x v="49"/>
    <s v="Cricket Bat Model 2"/>
    <n v="1"/>
    <n v="1068"/>
    <n v="0"/>
    <n v="1068"/>
    <n v="0.18"/>
    <n v="1068"/>
    <n v="192.24"/>
    <x v="78"/>
    <s v="UPI"/>
    <s v="Returned"/>
    <d v="2025-03-08T00:00:00"/>
    <m/>
    <x v="1"/>
    <x v="6"/>
    <x v="6"/>
    <x v="5"/>
    <s v="Diwali Blast"/>
    <x v="0"/>
  </r>
  <r>
    <x v="80"/>
    <x v="80"/>
    <x v="64"/>
    <x v="2"/>
    <x v="4"/>
    <x v="1"/>
    <x v="0"/>
    <x v="21"/>
    <x v="37"/>
    <s v="Lamp Model 3"/>
    <n v="1"/>
    <n v="3960"/>
    <n v="0.1"/>
    <n v="3564"/>
    <n v="0.18"/>
    <n v="3564"/>
    <n v="641.52"/>
    <x v="79"/>
    <s v="Credit Card"/>
    <s v="Delivered"/>
    <d v="2024-06-16T00:00:00"/>
    <d v="2024-06-18T00:00:00"/>
    <x v="0"/>
    <x v="0"/>
    <x v="0"/>
    <x v="1"/>
    <s v="Monsoon Mania"/>
    <x v="1"/>
  </r>
  <r>
    <x v="81"/>
    <x v="81"/>
    <x v="65"/>
    <x v="0"/>
    <x v="14"/>
    <x v="3"/>
    <x v="2"/>
    <x v="12"/>
    <x v="46"/>
    <s v="Headphones Model 1"/>
    <n v="1"/>
    <n v="34295"/>
    <n v="0.15"/>
    <n v="29150.75"/>
    <n v="0.18"/>
    <n v="29150.75"/>
    <n v="5247.1350000000002"/>
    <x v="80"/>
    <s v="UPI"/>
    <s v="In Transit"/>
    <d v="2024-01-28T00:00:00"/>
    <m/>
    <x v="0"/>
    <x v="0"/>
    <x v="0"/>
    <x v="5"/>
    <s v="Back to School"/>
    <x v="0"/>
  </r>
  <r>
    <x v="82"/>
    <x v="82"/>
    <x v="61"/>
    <x v="0"/>
    <x v="13"/>
    <x v="0"/>
    <x v="2"/>
    <x v="23"/>
    <x v="45"/>
    <s v="Smartwatch Model 3"/>
    <n v="1"/>
    <n v="39212"/>
    <n v="0.05"/>
    <n v="37251.4"/>
    <n v="0.12"/>
    <n v="37251.4"/>
    <n v="4470.1679999999997"/>
    <x v="81"/>
    <s v="UPI"/>
    <s v="Delivered"/>
    <d v="2024-01-17T00:00:00"/>
    <d v="2024-01-21T00:00:00"/>
    <x v="0"/>
    <x v="0"/>
    <x v="0"/>
    <x v="6"/>
    <s v="Back to School"/>
    <x v="4"/>
  </r>
  <r>
    <x v="83"/>
    <x v="83"/>
    <x v="66"/>
    <x v="0"/>
    <x v="14"/>
    <x v="0"/>
    <x v="3"/>
    <x v="11"/>
    <x v="14"/>
    <s v="Cricket Bat Model 1"/>
    <n v="2"/>
    <n v="5528"/>
    <n v="0.05"/>
    <n v="5251.5999999999995"/>
    <n v="0.12"/>
    <n v="10503.2"/>
    <n v="1260.384"/>
    <x v="82"/>
    <s v="Credit Card"/>
    <s v="In Transit"/>
    <d v="2024-04-10T00:00:00"/>
    <m/>
    <x v="0"/>
    <x v="0"/>
    <x v="0"/>
    <x v="6"/>
    <s v="Diwali Blast"/>
    <x v="1"/>
  </r>
  <r>
    <x v="84"/>
    <x v="84"/>
    <x v="67"/>
    <x v="3"/>
    <x v="3"/>
    <x v="1"/>
    <x v="2"/>
    <x v="12"/>
    <x v="46"/>
    <s v="Headphones Model 1"/>
    <n v="4"/>
    <n v="6916"/>
    <n v="0"/>
    <n v="6916"/>
    <n v="0.12"/>
    <n v="27664"/>
    <n v="3319.68"/>
    <x v="83"/>
    <s v="Debit Card"/>
    <s v="Returned"/>
    <d v="2025-02-28T00:00:00"/>
    <m/>
    <x v="1"/>
    <x v="7"/>
    <x v="7"/>
    <x v="0"/>
    <s v="Summer Splash"/>
    <x v="6"/>
  </r>
  <r>
    <x v="85"/>
    <x v="85"/>
    <x v="32"/>
    <x v="3"/>
    <x v="15"/>
    <x v="0"/>
    <x v="1"/>
    <x v="20"/>
    <x v="36"/>
    <s v="Pulses Model 3"/>
    <n v="3"/>
    <n v="1009"/>
    <n v="0.15"/>
    <n v="857.65"/>
    <n v="0.12"/>
    <n v="2572.9499999999998"/>
    <n v="308.75400000000002"/>
    <x v="84"/>
    <s v="Credit Card"/>
    <s v="Delivered"/>
    <d v="2024-11-22T00:00:00"/>
    <d v="2024-11-26T00:00:00"/>
    <x v="0"/>
    <x v="0"/>
    <x v="0"/>
    <x v="0"/>
    <s v="Back to School"/>
    <x v="5"/>
  </r>
  <r>
    <x v="86"/>
    <x v="86"/>
    <x v="68"/>
    <x v="4"/>
    <x v="17"/>
    <x v="1"/>
    <x v="3"/>
    <x v="4"/>
    <x v="6"/>
    <s v="Tennis Racket Model 3"/>
    <n v="3"/>
    <n v="7020"/>
    <n v="0"/>
    <n v="7020"/>
    <n v="0.12"/>
    <n v="21060"/>
    <n v="2527.1999999999998"/>
    <x v="85"/>
    <s v="UPI"/>
    <s v="Delivered"/>
    <d v="2025-03-19T00:00:00"/>
    <d v="2025-03-21T00:00:00"/>
    <x v="0"/>
    <x v="0"/>
    <x v="0"/>
    <x v="9"/>
    <s v="Monsoon Mania"/>
    <x v="3"/>
  </r>
  <r>
    <x v="87"/>
    <x v="87"/>
    <x v="69"/>
    <x v="3"/>
    <x v="10"/>
    <x v="0"/>
    <x v="3"/>
    <x v="4"/>
    <x v="6"/>
    <s v="Tennis Racket Model 3"/>
    <n v="4"/>
    <n v="2876"/>
    <n v="0.15"/>
    <n v="2444.6"/>
    <n v="0.12"/>
    <n v="9778.4"/>
    <n v="1173.4079999999999"/>
    <x v="86"/>
    <s v="Credit Card"/>
    <s v="Delivered"/>
    <d v="2024-03-31T00:00:00"/>
    <d v="2024-04-05T00:00:00"/>
    <x v="0"/>
    <x v="0"/>
    <x v="0"/>
    <x v="9"/>
    <s v="Festival Fever"/>
    <x v="6"/>
  </r>
  <r>
    <x v="88"/>
    <x v="88"/>
    <x v="3"/>
    <x v="3"/>
    <x v="3"/>
    <x v="0"/>
    <x v="3"/>
    <x v="7"/>
    <x v="23"/>
    <s v="Dumbbells Model 1"/>
    <n v="1"/>
    <n v="887"/>
    <n v="0.05"/>
    <n v="842.65"/>
    <n v="0.18"/>
    <n v="842.65"/>
    <n v="151.67699999999999"/>
    <x v="87"/>
    <s v="Debit Card"/>
    <s v="Delivered"/>
    <d v="2024-11-02T00:00:00"/>
    <d v="2024-11-05T00:00:00"/>
    <x v="0"/>
    <x v="0"/>
    <x v="0"/>
    <x v="2"/>
    <s v="Back to School"/>
    <x v="0"/>
  </r>
  <r>
    <x v="89"/>
    <x v="89"/>
    <x v="69"/>
    <x v="3"/>
    <x v="10"/>
    <x v="1"/>
    <x v="2"/>
    <x v="13"/>
    <x v="50"/>
    <s v="Laptop Model 2"/>
    <n v="1"/>
    <n v="22997"/>
    <n v="0.15"/>
    <n v="19547.45"/>
    <n v="0.12"/>
    <n v="19547.45"/>
    <n v="2345.694"/>
    <x v="88"/>
    <s v="Debit Card"/>
    <s v="Delivered"/>
    <d v="2024-12-04T00:00:00"/>
    <d v="2024-12-06T00:00:00"/>
    <x v="0"/>
    <x v="0"/>
    <x v="0"/>
    <x v="3"/>
    <s v="New Year Sale"/>
    <x v="0"/>
  </r>
  <r>
    <x v="90"/>
    <x v="90"/>
    <x v="70"/>
    <x v="3"/>
    <x v="15"/>
    <x v="0"/>
    <x v="0"/>
    <x v="21"/>
    <x v="51"/>
    <s v="Lamp Model 2"/>
    <n v="1"/>
    <n v="3817"/>
    <n v="0"/>
    <n v="3817"/>
    <n v="0.12"/>
    <n v="3817"/>
    <n v="458.04"/>
    <x v="89"/>
    <s v="NetBanking"/>
    <s v="Cancelled"/>
    <m/>
    <m/>
    <x v="0"/>
    <x v="0"/>
    <x v="0"/>
    <x v="3"/>
    <s v="New Year Sale"/>
    <x v="6"/>
  </r>
  <r>
    <x v="91"/>
    <x v="91"/>
    <x v="55"/>
    <x v="4"/>
    <x v="8"/>
    <x v="0"/>
    <x v="3"/>
    <x v="11"/>
    <x v="24"/>
    <s v="Cricket Bat Model 3"/>
    <n v="1"/>
    <n v="2317"/>
    <n v="0.15"/>
    <n v="1969.45"/>
    <n v="0.05"/>
    <n v="1969.45"/>
    <n v="98.472500000000011"/>
    <x v="90"/>
    <s v="Debit Card"/>
    <s v="Shipped"/>
    <d v="2024-03-02T00:00:00"/>
    <m/>
    <x v="0"/>
    <x v="0"/>
    <x v="0"/>
    <x v="5"/>
    <s v="Back to School"/>
    <x v="5"/>
  </r>
  <r>
    <x v="92"/>
    <x v="92"/>
    <x v="2"/>
    <x v="2"/>
    <x v="2"/>
    <x v="2"/>
    <x v="3"/>
    <x v="10"/>
    <x v="52"/>
    <s v="Yoga Mat Model 2"/>
    <n v="1"/>
    <n v="6273"/>
    <n v="0"/>
    <n v="6273"/>
    <n v="0.18"/>
    <n v="6273"/>
    <n v="1129.1400000000001"/>
    <x v="91"/>
    <s v="UPI"/>
    <s v="Returned"/>
    <d v="2024-07-04T00:00:00"/>
    <m/>
    <x v="1"/>
    <x v="8"/>
    <x v="8"/>
    <x v="6"/>
    <s v="Monsoon Mania"/>
    <x v="0"/>
  </r>
  <r>
    <x v="93"/>
    <x v="93"/>
    <x v="20"/>
    <x v="0"/>
    <x v="0"/>
    <x v="1"/>
    <x v="0"/>
    <x v="0"/>
    <x v="2"/>
    <s v="Air Purifier Model 3"/>
    <n v="3"/>
    <n v="11960"/>
    <n v="0"/>
    <n v="11960"/>
    <n v="0.18"/>
    <n v="35880"/>
    <n v="6458.4"/>
    <x v="92"/>
    <s v="UPI"/>
    <s v="Delivered"/>
    <d v="2025-01-02T00:00:00"/>
    <d v="2025-01-07T00:00:00"/>
    <x v="0"/>
    <x v="0"/>
    <x v="0"/>
    <x v="1"/>
    <s v="New Year Sale"/>
    <x v="1"/>
  </r>
  <r>
    <x v="94"/>
    <x v="94"/>
    <x v="71"/>
    <x v="1"/>
    <x v="1"/>
    <x v="0"/>
    <x v="4"/>
    <x v="9"/>
    <x v="11"/>
    <s v="Hoodie Model 3"/>
    <n v="2"/>
    <n v="1018"/>
    <n v="0.15"/>
    <n v="865.3"/>
    <n v="0.18"/>
    <n v="1730.6"/>
    <n v="311.50799999999998"/>
    <x v="93"/>
    <s v="UPI"/>
    <s v="Delivered"/>
    <d v="2024-12-12T00:00:00"/>
    <d v="2024-12-16T00:00:00"/>
    <x v="0"/>
    <x v="0"/>
    <x v="0"/>
    <x v="4"/>
    <s v="Back to School"/>
    <x v="1"/>
  </r>
  <r>
    <x v="95"/>
    <x v="95"/>
    <x v="72"/>
    <x v="4"/>
    <x v="11"/>
    <x v="1"/>
    <x v="4"/>
    <x v="5"/>
    <x v="7"/>
    <s v="Dress Model 3"/>
    <n v="1"/>
    <n v="1280"/>
    <n v="0"/>
    <n v="1280"/>
    <n v="0.18"/>
    <n v="1280"/>
    <n v="230.4"/>
    <x v="94"/>
    <s v="COD"/>
    <s v="Delivered"/>
    <d v="2024-12-27T00:00:00"/>
    <d v="2024-12-30T00:00:00"/>
    <x v="0"/>
    <x v="0"/>
    <x v="0"/>
    <x v="0"/>
    <s v="Back to School"/>
    <x v="3"/>
  </r>
  <r>
    <x v="96"/>
    <x v="96"/>
    <x v="73"/>
    <x v="2"/>
    <x v="6"/>
    <x v="0"/>
    <x v="2"/>
    <x v="23"/>
    <x v="45"/>
    <s v="Smartwatch Model 3"/>
    <n v="1"/>
    <n v="53882"/>
    <n v="0.1"/>
    <n v="48493.8"/>
    <n v="0.18"/>
    <n v="48493.8"/>
    <n v="8728.884"/>
    <x v="95"/>
    <s v="NetBanking"/>
    <s v="Delivered"/>
    <d v="2024-05-31T00:00:00"/>
    <d v="2024-06-02T00:00:00"/>
    <x v="0"/>
    <x v="0"/>
    <x v="0"/>
    <x v="9"/>
    <s v="Monsoon Mania"/>
    <x v="5"/>
  </r>
  <r>
    <x v="97"/>
    <x v="97"/>
    <x v="28"/>
    <x v="0"/>
    <x v="14"/>
    <x v="0"/>
    <x v="2"/>
    <x v="13"/>
    <x v="41"/>
    <s v="Laptop Model 3"/>
    <n v="1"/>
    <n v="26546"/>
    <n v="0.1"/>
    <n v="23891.4"/>
    <n v="0.12"/>
    <n v="23891.4"/>
    <n v="2866.9679999999998"/>
    <x v="96"/>
    <s v="COD"/>
    <s v="Delivered"/>
    <d v="2025-01-14T00:00:00"/>
    <d v="2025-01-15T00:00:00"/>
    <x v="0"/>
    <x v="0"/>
    <x v="0"/>
    <x v="3"/>
    <s v="Festival Fever"/>
    <x v="3"/>
  </r>
  <r>
    <x v="98"/>
    <x v="98"/>
    <x v="74"/>
    <x v="1"/>
    <x v="18"/>
    <x v="0"/>
    <x v="2"/>
    <x v="19"/>
    <x v="35"/>
    <s v="Camera Model 2"/>
    <n v="1"/>
    <n v="21377"/>
    <n v="0.05"/>
    <n v="20308.150000000001"/>
    <n v="0.12"/>
    <n v="20308.150000000001"/>
    <n v="2436.9780000000001"/>
    <x v="97"/>
    <s v="UPI"/>
    <s v="Delivered"/>
    <d v="2024-02-16T00:00:00"/>
    <d v="2024-02-18T00:00:00"/>
    <x v="0"/>
    <x v="0"/>
    <x v="0"/>
    <x v="2"/>
    <s v="New Year Sale"/>
    <x v="3"/>
  </r>
  <r>
    <x v="99"/>
    <x v="99"/>
    <x v="61"/>
    <x v="0"/>
    <x v="13"/>
    <x v="0"/>
    <x v="4"/>
    <x v="5"/>
    <x v="53"/>
    <s v="Dress Model 2"/>
    <n v="2"/>
    <n v="1828"/>
    <n v="0.1"/>
    <n v="1645.2"/>
    <n v="0.18"/>
    <n v="3290.4"/>
    <n v="592.27200000000005"/>
    <x v="98"/>
    <s v="Credit Card"/>
    <s v="Delivered"/>
    <d v="2024-10-12T00:00:00"/>
    <d v="2024-10-14T00:00:00"/>
    <x v="0"/>
    <x v="0"/>
    <x v="0"/>
    <x v="5"/>
    <s v="Festival Fever"/>
    <x v="6"/>
  </r>
  <r>
    <x v="100"/>
    <x v="100"/>
    <x v="75"/>
    <x v="0"/>
    <x v="14"/>
    <x v="3"/>
    <x v="2"/>
    <x v="13"/>
    <x v="50"/>
    <s v="Laptop Model 2"/>
    <n v="1"/>
    <n v="25775"/>
    <n v="0.1"/>
    <n v="23197.5"/>
    <n v="0.05"/>
    <n v="23197.5"/>
    <n v="1159.875"/>
    <x v="99"/>
    <s v="UPI"/>
    <s v="Cancelled"/>
    <m/>
    <m/>
    <x v="0"/>
    <x v="0"/>
    <x v="0"/>
    <x v="4"/>
    <s v="Summer Splash"/>
    <x v="2"/>
  </r>
  <r>
    <x v="101"/>
    <x v="101"/>
    <x v="76"/>
    <x v="2"/>
    <x v="9"/>
    <x v="1"/>
    <x v="1"/>
    <x v="15"/>
    <x v="27"/>
    <s v="Rice Model 1"/>
    <n v="4"/>
    <n v="227"/>
    <n v="0"/>
    <n v="227"/>
    <n v="0.05"/>
    <n v="908"/>
    <n v="45.400000000000013"/>
    <x v="100"/>
    <s v="NetBanking"/>
    <s v="Delivered"/>
    <d v="2024-05-27T00:00:00"/>
    <d v="2024-05-31T00:00:00"/>
    <x v="0"/>
    <x v="0"/>
    <x v="0"/>
    <x v="5"/>
    <s v="New Year Sale"/>
    <x v="6"/>
  </r>
  <r>
    <x v="102"/>
    <x v="102"/>
    <x v="77"/>
    <x v="4"/>
    <x v="16"/>
    <x v="0"/>
    <x v="3"/>
    <x v="7"/>
    <x v="33"/>
    <s v="Dumbbells Model 2"/>
    <n v="4"/>
    <n v="9457"/>
    <n v="0.05"/>
    <n v="8984.15"/>
    <n v="0.18"/>
    <n v="35936.6"/>
    <n v="6468.5879999999997"/>
    <x v="101"/>
    <s v="UPI"/>
    <s v="Delivered"/>
    <d v="2024-11-21T00:00:00"/>
    <d v="2024-11-26T00:00:00"/>
    <x v="0"/>
    <x v="0"/>
    <x v="0"/>
    <x v="9"/>
    <s v="Monsoon Mania"/>
    <x v="6"/>
  </r>
  <r>
    <x v="103"/>
    <x v="103"/>
    <x v="78"/>
    <x v="2"/>
    <x v="2"/>
    <x v="0"/>
    <x v="3"/>
    <x v="4"/>
    <x v="6"/>
    <s v="Tennis Racket Model 3"/>
    <n v="5"/>
    <n v="6521"/>
    <n v="0.2"/>
    <n v="5216.8"/>
    <n v="0.05"/>
    <n v="26084"/>
    <n v="1304.2"/>
    <x v="102"/>
    <s v="Credit Card"/>
    <s v="Delivered"/>
    <d v="2024-01-06T00:00:00"/>
    <d v="2024-01-11T00:00:00"/>
    <x v="0"/>
    <x v="0"/>
    <x v="0"/>
    <x v="3"/>
    <s v="Summer Splash"/>
    <x v="0"/>
  </r>
  <r>
    <x v="104"/>
    <x v="104"/>
    <x v="11"/>
    <x v="2"/>
    <x v="9"/>
    <x v="2"/>
    <x v="3"/>
    <x v="7"/>
    <x v="33"/>
    <s v="Dumbbells Model 2"/>
    <n v="3"/>
    <n v="3983"/>
    <n v="0"/>
    <n v="3983"/>
    <n v="0.12"/>
    <n v="11949"/>
    <n v="1433.88"/>
    <x v="103"/>
    <s v="COD"/>
    <s v="Delivered"/>
    <d v="2025-03-06T00:00:00"/>
    <d v="2025-03-11T00:00:00"/>
    <x v="0"/>
    <x v="0"/>
    <x v="0"/>
    <x v="2"/>
    <s v="Festival Fever"/>
    <x v="2"/>
  </r>
  <r>
    <x v="105"/>
    <x v="105"/>
    <x v="27"/>
    <x v="2"/>
    <x v="6"/>
    <x v="1"/>
    <x v="0"/>
    <x v="22"/>
    <x v="54"/>
    <s v="Mixer Model 1"/>
    <n v="1"/>
    <n v="10444"/>
    <n v="0.05"/>
    <n v="9921.7999999999993"/>
    <n v="0.18"/>
    <n v="9921.7999999999993"/>
    <n v="1785.924"/>
    <x v="104"/>
    <s v="Debit Card"/>
    <s v="Delivered"/>
    <d v="2024-06-19T00:00:00"/>
    <d v="2024-06-21T00:00:00"/>
    <x v="0"/>
    <x v="0"/>
    <x v="0"/>
    <x v="9"/>
    <s v="New Year Sale"/>
    <x v="0"/>
  </r>
  <r>
    <x v="106"/>
    <x v="106"/>
    <x v="79"/>
    <x v="4"/>
    <x v="11"/>
    <x v="2"/>
    <x v="2"/>
    <x v="12"/>
    <x v="46"/>
    <s v="Headphones Model 1"/>
    <n v="2"/>
    <n v="30209"/>
    <n v="0.05"/>
    <n v="28698.55"/>
    <n v="0.12"/>
    <n v="57397.1"/>
    <n v="6887.6519999999991"/>
    <x v="105"/>
    <s v="UPI"/>
    <s v="Delivered"/>
    <d v="2024-05-24T00:00:00"/>
    <d v="2024-05-29T00:00:00"/>
    <x v="0"/>
    <x v="0"/>
    <x v="0"/>
    <x v="9"/>
    <s v="Monsoon Mania"/>
    <x v="3"/>
  </r>
  <r>
    <x v="107"/>
    <x v="107"/>
    <x v="80"/>
    <x v="2"/>
    <x v="2"/>
    <x v="0"/>
    <x v="4"/>
    <x v="5"/>
    <x v="19"/>
    <s v="Dress Model 1"/>
    <n v="2"/>
    <n v="1630"/>
    <n v="0.1"/>
    <n v="1467"/>
    <n v="0.12"/>
    <n v="2934"/>
    <n v="352.08"/>
    <x v="106"/>
    <s v="UPI"/>
    <s v="Shipped"/>
    <d v="2024-01-11T00:00:00"/>
    <m/>
    <x v="0"/>
    <x v="0"/>
    <x v="0"/>
    <x v="1"/>
    <s v="Festival Fever"/>
    <x v="0"/>
  </r>
  <r>
    <x v="108"/>
    <x v="108"/>
    <x v="81"/>
    <x v="1"/>
    <x v="12"/>
    <x v="0"/>
    <x v="4"/>
    <x v="9"/>
    <x v="11"/>
    <s v="Hoodie Model 3"/>
    <n v="2"/>
    <n v="2793"/>
    <n v="0.05"/>
    <n v="2653.35"/>
    <n v="0.18"/>
    <n v="5306.7"/>
    <n v="955.2059999999999"/>
    <x v="107"/>
    <s v="UPI"/>
    <s v="Cancelled"/>
    <m/>
    <m/>
    <x v="0"/>
    <x v="0"/>
    <x v="0"/>
    <x v="4"/>
    <s v="New Year Sale"/>
    <x v="0"/>
  </r>
  <r>
    <x v="109"/>
    <x v="109"/>
    <x v="82"/>
    <x v="1"/>
    <x v="1"/>
    <x v="1"/>
    <x v="2"/>
    <x v="3"/>
    <x v="5"/>
    <s v="Smartphone Model 3"/>
    <n v="2"/>
    <n v="24733"/>
    <n v="0"/>
    <n v="24733"/>
    <n v="0.12"/>
    <n v="49466"/>
    <n v="5935.92"/>
    <x v="108"/>
    <s v="Debit Card"/>
    <s v="Delivered"/>
    <d v="2024-06-04T00:00:00"/>
    <d v="2024-06-08T00:00:00"/>
    <x v="0"/>
    <x v="0"/>
    <x v="0"/>
    <x v="2"/>
    <s v="Summer Splash"/>
    <x v="6"/>
  </r>
  <r>
    <x v="110"/>
    <x v="110"/>
    <x v="83"/>
    <x v="1"/>
    <x v="18"/>
    <x v="3"/>
    <x v="3"/>
    <x v="16"/>
    <x v="22"/>
    <s v="Football Model 1"/>
    <n v="1"/>
    <n v="5854"/>
    <n v="0"/>
    <n v="5854"/>
    <n v="0.18"/>
    <n v="5854"/>
    <n v="1053.72"/>
    <x v="109"/>
    <s v="Debit Card"/>
    <s v="In Transit"/>
    <d v="2024-06-03T00:00:00"/>
    <m/>
    <x v="0"/>
    <x v="0"/>
    <x v="0"/>
    <x v="5"/>
    <s v="Summer Splash"/>
    <x v="3"/>
  </r>
  <r>
    <x v="111"/>
    <x v="111"/>
    <x v="55"/>
    <x v="4"/>
    <x v="8"/>
    <x v="1"/>
    <x v="0"/>
    <x v="0"/>
    <x v="1"/>
    <s v="Air Purifier Model 2"/>
    <n v="2"/>
    <n v="6121"/>
    <n v="0.05"/>
    <n v="5814.95"/>
    <n v="0.18"/>
    <n v="11629.9"/>
    <n v="2093.3820000000001"/>
    <x v="110"/>
    <s v="UPI"/>
    <s v="Shipped"/>
    <d v="2024-04-24T00:00:00"/>
    <m/>
    <x v="0"/>
    <x v="0"/>
    <x v="0"/>
    <x v="3"/>
    <s v="Clearance"/>
    <x v="1"/>
  </r>
  <r>
    <x v="112"/>
    <x v="112"/>
    <x v="84"/>
    <x v="4"/>
    <x v="8"/>
    <x v="2"/>
    <x v="4"/>
    <x v="5"/>
    <x v="7"/>
    <s v="Dress Model 3"/>
    <n v="1"/>
    <n v="1826"/>
    <n v="0"/>
    <n v="1826"/>
    <n v="0.18"/>
    <n v="1826"/>
    <n v="328.68"/>
    <x v="111"/>
    <s v="Credit Card"/>
    <s v="Delivered"/>
    <d v="2024-10-15T00:00:00"/>
    <d v="2024-10-16T00:00:00"/>
    <x v="0"/>
    <x v="0"/>
    <x v="0"/>
    <x v="7"/>
    <s v="Back to School"/>
    <x v="2"/>
  </r>
  <r>
    <x v="113"/>
    <x v="113"/>
    <x v="82"/>
    <x v="1"/>
    <x v="1"/>
    <x v="1"/>
    <x v="2"/>
    <x v="13"/>
    <x v="16"/>
    <s v="Laptop Model 1"/>
    <n v="1"/>
    <n v="23009"/>
    <n v="0"/>
    <n v="23009"/>
    <n v="0.18"/>
    <n v="23009"/>
    <n v="4141.62"/>
    <x v="112"/>
    <s v="UPI"/>
    <s v="Delivered"/>
    <d v="2024-01-26T00:00:00"/>
    <d v="2024-01-27T00:00:00"/>
    <x v="0"/>
    <x v="0"/>
    <x v="0"/>
    <x v="5"/>
    <s v="Clearance"/>
    <x v="4"/>
  </r>
  <r>
    <x v="114"/>
    <x v="114"/>
    <x v="59"/>
    <x v="4"/>
    <x v="8"/>
    <x v="0"/>
    <x v="4"/>
    <x v="24"/>
    <x v="55"/>
    <s v="Jeans Model 2"/>
    <n v="2"/>
    <n v="2306"/>
    <n v="0.1"/>
    <n v="2075.4"/>
    <n v="0.12"/>
    <n v="4150.8"/>
    <n v="498.096"/>
    <x v="113"/>
    <s v="UPI"/>
    <s v="Delivered"/>
    <d v="2024-08-02T00:00:00"/>
    <d v="2024-08-07T00:00:00"/>
    <x v="0"/>
    <x v="0"/>
    <x v="0"/>
    <x v="5"/>
    <s v="Diwali Blast"/>
    <x v="5"/>
  </r>
  <r>
    <x v="115"/>
    <x v="115"/>
    <x v="50"/>
    <x v="3"/>
    <x v="15"/>
    <x v="1"/>
    <x v="4"/>
    <x v="17"/>
    <x v="25"/>
    <s v="T-Shirt Model 2"/>
    <n v="1"/>
    <n v="2024"/>
    <n v="0.05"/>
    <n v="1922.8"/>
    <n v="0.18"/>
    <n v="1922.8"/>
    <n v="346.10399999999998"/>
    <x v="114"/>
    <s v="NetBanking"/>
    <s v="Delivered"/>
    <d v="2025-01-19T00:00:00"/>
    <d v="2025-01-20T00:00:00"/>
    <x v="0"/>
    <x v="0"/>
    <x v="0"/>
    <x v="9"/>
    <s v="New Year Sale"/>
    <x v="6"/>
  </r>
  <r>
    <x v="116"/>
    <x v="116"/>
    <x v="58"/>
    <x v="4"/>
    <x v="11"/>
    <x v="0"/>
    <x v="2"/>
    <x v="13"/>
    <x v="16"/>
    <s v="Laptop Model 1"/>
    <n v="1"/>
    <n v="21713"/>
    <n v="0"/>
    <n v="21713"/>
    <n v="0.05"/>
    <n v="21713"/>
    <n v="1085.6500000000001"/>
    <x v="115"/>
    <s v="UPI"/>
    <s v="Delivered"/>
    <d v="2024-10-04T00:00:00"/>
    <d v="2024-10-05T00:00:00"/>
    <x v="0"/>
    <x v="0"/>
    <x v="0"/>
    <x v="9"/>
    <s v="Festival Fever"/>
    <x v="6"/>
  </r>
  <r>
    <x v="117"/>
    <x v="117"/>
    <x v="85"/>
    <x v="2"/>
    <x v="9"/>
    <x v="1"/>
    <x v="1"/>
    <x v="6"/>
    <x v="34"/>
    <s v="Oil Model 3"/>
    <n v="2"/>
    <n v="1158"/>
    <n v="0.15"/>
    <n v="984.3"/>
    <n v="0.12"/>
    <n v="1968.6"/>
    <n v="236.232"/>
    <x v="116"/>
    <s v="NetBanking"/>
    <s v="Returned"/>
    <d v="2025-01-07T00:00:00"/>
    <m/>
    <x v="1"/>
    <x v="9"/>
    <x v="9"/>
    <x v="4"/>
    <s v="New Year Sale"/>
    <x v="0"/>
  </r>
  <r>
    <x v="118"/>
    <x v="118"/>
    <x v="86"/>
    <x v="3"/>
    <x v="10"/>
    <x v="0"/>
    <x v="2"/>
    <x v="3"/>
    <x v="56"/>
    <s v="Smartphone Model 2"/>
    <n v="5"/>
    <n v="46353"/>
    <n v="0.1"/>
    <n v="41717.699999999997"/>
    <n v="0.12"/>
    <n v="208588.5"/>
    <n v="25030.62"/>
    <x v="117"/>
    <s v="Debit Card"/>
    <s v="Delivered"/>
    <d v="2024-06-25T00:00:00"/>
    <d v="2024-06-28T00:00:00"/>
    <x v="0"/>
    <x v="0"/>
    <x v="0"/>
    <x v="7"/>
    <s v="Monsoon Mania"/>
    <x v="1"/>
  </r>
  <r>
    <x v="119"/>
    <x v="119"/>
    <x v="54"/>
    <x v="2"/>
    <x v="9"/>
    <x v="2"/>
    <x v="2"/>
    <x v="13"/>
    <x v="41"/>
    <s v="Laptop Model 3"/>
    <n v="3"/>
    <n v="40288"/>
    <n v="0"/>
    <n v="40288"/>
    <n v="0.18"/>
    <n v="120864"/>
    <n v="21755.52"/>
    <x v="118"/>
    <s v="COD"/>
    <s v="Delivered"/>
    <d v="2024-12-09T00:00:00"/>
    <d v="2024-12-12T00:00:00"/>
    <x v="0"/>
    <x v="0"/>
    <x v="0"/>
    <x v="2"/>
    <s v="New Year Sale"/>
    <x v="5"/>
  </r>
  <r>
    <x v="120"/>
    <x v="120"/>
    <x v="87"/>
    <x v="3"/>
    <x v="7"/>
    <x v="0"/>
    <x v="2"/>
    <x v="3"/>
    <x v="57"/>
    <s v="Smartphone Model 1"/>
    <n v="3"/>
    <n v="39885"/>
    <n v="0"/>
    <n v="39885"/>
    <n v="0.18"/>
    <n v="119655"/>
    <n v="21537.9"/>
    <x v="119"/>
    <s v="Credit Card"/>
    <s v="Returned"/>
    <d v="2025-02-13T00:00:00"/>
    <m/>
    <x v="1"/>
    <x v="10"/>
    <x v="10"/>
    <x v="9"/>
    <s v="New Year Sale"/>
    <x v="0"/>
  </r>
  <r>
    <x v="121"/>
    <x v="121"/>
    <x v="88"/>
    <x v="4"/>
    <x v="16"/>
    <x v="0"/>
    <x v="2"/>
    <x v="23"/>
    <x v="45"/>
    <s v="Smartwatch Model 3"/>
    <n v="1"/>
    <n v="7411"/>
    <n v="0"/>
    <n v="7411"/>
    <n v="0.12"/>
    <n v="7411"/>
    <n v="889.31999999999994"/>
    <x v="120"/>
    <s v="Credit Card"/>
    <s v="Delivered"/>
    <d v="2024-07-06T00:00:00"/>
    <d v="2024-07-07T00:00:00"/>
    <x v="0"/>
    <x v="0"/>
    <x v="0"/>
    <x v="9"/>
    <s v="Clearance"/>
    <x v="5"/>
  </r>
  <r>
    <x v="122"/>
    <x v="122"/>
    <x v="9"/>
    <x v="4"/>
    <x v="8"/>
    <x v="0"/>
    <x v="1"/>
    <x v="6"/>
    <x v="8"/>
    <s v="Oil Model 1"/>
    <n v="1"/>
    <n v="205"/>
    <n v="0"/>
    <n v="205"/>
    <n v="0.12"/>
    <n v="205"/>
    <n v="24.6"/>
    <x v="121"/>
    <s v="Credit Card"/>
    <s v="Delivered"/>
    <d v="2024-02-17T00:00:00"/>
    <d v="2024-02-20T00:00:00"/>
    <x v="0"/>
    <x v="0"/>
    <x v="0"/>
    <x v="0"/>
    <s v="Diwali Blast"/>
    <x v="5"/>
  </r>
  <r>
    <x v="123"/>
    <x v="123"/>
    <x v="89"/>
    <x v="3"/>
    <x v="10"/>
    <x v="1"/>
    <x v="3"/>
    <x v="10"/>
    <x v="30"/>
    <s v="Yoga Mat Model 3"/>
    <n v="2"/>
    <n v="9730"/>
    <n v="0.05"/>
    <n v="9243.5"/>
    <n v="0.18"/>
    <n v="18487"/>
    <n v="3327.66"/>
    <x v="122"/>
    <s v="COD"/>
    <s v="Delivered"/>
    <d v="2024-12-27T00:00:00"/>
    <d v="2024-12-31T00:00:00"/>
    <x v="0"/>
    <x v="0"/>
    <x v="0"/>
    <x v="2"/>
    <s v="Summer Splash"/>
    <x v="3"/>
  </r>
  <r>
    <x v="124"/>
    <x v="124"/>
    <x v="90"/>
    <x v="2"/>
    <x v="9"/>
    <x v="1"/>
    <x v="1"/>
    <x v="20"/>
    <x v="36"/>
    <s v="Pulses Model 3"/>
    <n v="1"/>
    <n v="703"/>
    <n v="0"/>
    <n v="703"/>
    <n v="0.12"/>
    <n v="703"/>
    <n v="84.36"/>
    <x v="123"/>
    <s v="Credit Card"/>
    <s v="In Transit"/>
    <d v="2024-05-20T00:00:00"/>
    <m/>
    <x v="0"/>
    <x v="0"/>
    <x v="0"/>
    <x v="3"/>
    <s v="Monsoon Mania"/>
    <x v="6"/>
  </r>
  <r>
    <x v="125"/>
    <x v="125"/>
    <x v="35"/>
    <x v="4"/>
    <x v="16"/>
    <x v="0"/>
    <x v="3"/>
    <x v="7"/>
    <x v="33"/>
    <s v="Dumbbells Model 2"/>
    <n v="3"/>
    <n v="8929"/>
    <n v="0"/>
    <n v="8929"/>
    <n v="0.05"/>
    <n v="26787"/>
    <n v="1339.35"/>
    <x v="124"/>
    <s v="Debit Card"/>
    <s v="Delivered"/>
    <d v="2025-03-04T00:00:00"/>
    <d v="2025-03-07T00:00:00"/>
    <x v="0"/>
    <x v="0"/>
    <x v="0"/>
    <x v="3"/>
    <s v="Diwali Blast"/>
    <x v="5"/>
  </r>
  <r>
    <x v="126"/>
    <x v="126"/>
    <x v="46"/>
    <x v="4"/>
    <x v="11"/>
    <x v="1"/>
    <x v="0"/>
    <x v="22"/>
    <x v="44"/>
    <s v="Mixer Model 3"/>
    <n v="1"/>
    <n v="9046"/>
    <n v="0"/>
    <n v="9046"/>
    <n v="0.12"/>
    <n v="9046"/>
    <n v="1085.52"/>
    <x v="125"/>
    <s v="Credit Card"/>
    <s v="Delivered"/>
    <d v="2025-03-04T00:00:00"/>
    <d v="2025-03-07T00:00:00"/>
    <x v="0"/>
    <x v="0"/>
    <x v="0"/>
    <x v="2"/>
    <s v="Summer Splash"/>
    <x v="6"/>
  </r>
  <r>
    <x v="127"/>
    <x v="127"/>
    <x v="67"/>
    <x v="3"/>
    <x v="3"/>
    <x v="0"/>
    <x v="4"/>
    <x v="9"/>
    <x v="11"/>
    <s v="Hoodie Model 3"/>
    <n v="1"/>
    <n v="1040"/>
    <n v="0"/>
    <n v="1040"/>
    <n v="0.12"/>
    <n v="1040"/>
    <n v="124.8"/>
    <x v="126"/>
    <s v="UPI"/>
    <s v="Shipped"/>
    <d v="2024-12-04T00:00:00"/>
    <m/>
    <x v="0"/>
    <x v="0"/>
    <x v="0"/>
    <x v="6"/>
    <s v="Monsoon Mania"/>
    <x v="5"/>
  </r>
  <r>
    <x v="128"/>
    <x v="128"/>
    <x v="91"/>
    <x v="1"/>
    <x v="1"/>
    <x v="1"/>
    <x v="3"/>
    <x v="16"/>
    <x v="22"/>
    <s v="Football Model 1"/>
    <n v="1"/>
    <n v="5481"/>
    <n v="0.05"/>
    <n v="5206.95"/>
    <n v="0.12"/>
    <n v="5206.95"/>
    <n v="624.83399999999995"/>
    <x v="127"/>
    <s v="NetBanking"/>
    <s v="Delivered"/>
    <d v="2024-12-14T00:00:00"/>
    <d v="2024-12-17T00:00:00"/>
    <x v="0"/>
    <x v="0"/>
    <x v="0"/>
    <x v="7"/>
    <s v="Diwali Blast"/>
    <x v="4"/>
  </r>
  <r>
    <x v="129"/>
    <x v="129"/>
    <x v="30"/>
    <x v="1"/>
    <x v="1"/>
    <x v="2"/>
    <x v="2"/>
    <x v="3"/>
    <x v="5"/>
    <s v="Smartphone Model 3"/>
    <n v="1"/>
    <n v="4469"/>
    <n v="0.1"/>
    <n v="4022.1"/>
    <n v="0.12"/>
    <n v="4022.1"/>
    <n v="482.65199999999999"/>
    <x v="128"/>
    <s v="Credit Card"/>
    <s v="Delivered"/>
    <d v="2024-10-24T00:00:00"/>
    <d v="2024-10-26T00:00:00"/>
    <x v="0"/>
    <x v="0"/>
    <x v="0"/>
    <x v="7"/>
    <s v="Diwali Blast"/>
    <x v="3"/>
  </r>
  <r>
    <x v="130"/>
    <x v="130"/>
    <x v="51"/>
    <x v="0"/>
    <x v="19"/>
    <x v="0"/>
    <x v="0"/>
    <x v="1"/>
    <x v="3"/>
    <s v="Cookware Model 3"/>
    <n v="1"/>
    <n v="2729"/>
    <n v="0"/>
    <n v="2729"/>
    <n v="0.18"/>
    <n v="2729"/>
    <n v="491.22"/>
    <x v="129"/>
    <s v="NetBanking"/>
    <s v="Shipped"/>
    <d v="2025-02-02T00:00:00"/>
    <m/>
    <x v="0"/>
    <x v="0"/>
    <x v="0"/>
    <x v="3"/>
    <s v="Monsoon Mania"/>
    <x v="2"/>
  </r>
  <r>
    <x v="131"/>
    <x v="131"/>
    <x v="92"/>
    <x v="2"/>
    <x v="2"/>
    <x v="0"/>
    <x v="0"/>
    <x v="21"/>
    <x v="51"/>
    <s v="Lamp Model 2"/>
    <n v="2"/>
    <n v="1658"/>
    <n v="0"/>
    <n v="1658"/>
    <n v="0.05"/>
    <n v="3316"/>
    <n v="165.8"/>
    <x v="130"/>
    <s v="NetBanking"/>
    <s v="Delivered"/>
    <d v="2025-02-13T00:00:00"/>
    <d v="2025-02-18T00:00:00"/>
    <x v="0"/>
    <x v="0"/>
    <x v="0"/>
    <x v="3"/>
    <s v="Diwali Blast"/>
    <x v="3"/>
  </r>
  <r>
    <x v="132"/>
    <x v="132"/>
    <x v="93"/>
    <x v="1"/>
    <x v="1"/>
    <x v="0"/>
    <x v="3"/>
    <x v="7"/>
    <x v="33"/>
    <s v="Dumbbells Model 2"/>
    <n v="1"/>
    <n v="843"/>
    <n v="0"/>
    <n v="843"/>
    <n v="0.12"/>
    <n v="843"/>
    <n v="101.16"/>
    <x v="131"/>
    <s v="Credit Card"/>
    <s v="Delivered"/>
    <d v="2024-10-07T00:00:00"/>
    <d v="2024-10-12T00:00:00"/>
    <x v="0"/>
    <x v="0"/>
    <x v="0"/>
    <x v="1"/>
    <s v="New Year Sale"/>
    <x v="0"/>
  </r>
  <r>
    <x v="133"/>
    <x v="133"/>
    <x v="94"/>
    <x v="3"/>
    <x v="15"/>
    <x v="0"/>
    <x v="3"/>
    <x v="7"/>
    <x v="23"/>
    <s v="Dumbbells Model 1"/>
    <n v="1"/>
    <n v="656"/>
    <n v="0"/>
    <n v="656"/>
    <n v="0.12"/>
    <n v="656"/>
    <n v="78.72"/>
    <x v="132"/>
    <s v="UPI"/>
    <s v="Delivered"/>
    <d v="2024-11-16T00:00:00"/>
    <d v="2024-11-21T00:00:00"/>
    <x v="0"/>
    <x v="0"/>
    <x v="0"/>
    <x v="9"/>
    <s v="Monsoon Mania"/>
    <x v="5"/>
  </r>
  <r>
    <x v="134"/>
    <x v="134"/>
    <x v="95"/>
    <x v="2"/>
    <x v="2"/>
    <x v="1"/>
    <x v="1"/>
    <x v="15"/>
    <x v="58"/>
    <s v="Rice Model 2"/>
    <n v="3"/>
    <n v="623"/>
    <n v="0"/>
    <n v="623"/>
    <n v="0.18"/>
    <n v="1869"/>
    <n v="336.42"/>
    <x v="133"/>
    <s v="COD"/>
    <s v="Delivered"/>
    <d v="2024-02-14T00:00:00"/>
    <d v="2024-02-15T00:00:00"/>
    <x v="0"/>
    <x v="0"/>
    <x v="0"/>
    <x v="8"/>
    <s v="Clearance"/>
    <x v="1"/>
  </r>
  <r>
    <x v="135"/>
    <x v="135"/>
    <x v="96"/>
    <x v="3"/>
    <x v="3"/>
    <x v="1"/>
    <x v="1"/>
    <x v="2"/>
    <x v="59"/>
    <s v="Snacks Model 2"/>
    <n v="2"/>
    <n v="310"/>
    <n v="0.05"/>
    <n v="294.5"/>
    <n v="0.18"/>
    <n v="589"/>
    <n v="106.02"/>
    <x v="134"/>
    <s v="Credit Card"/>
    <s v="Delivered"/>
    <d v="2025-02-04T00:00:00"/>
    <d v="2025-02-09T00:00:00"/>
    <x v="0"/>
    <x v="0"/>
    <x v="0"/>
    <x v="1"/>
    <s v="Diwali Blast"/>
    <x v="5"/>
  </r>
  <r>
    <x v="136"/>
    <x v="136"/>
    <x v="97"/>
    <x v="4"/>
    <x v="8"/>
    <x v="0"/>
    <x v="1"/>
    <x v="6"/>
    <x v="8"/>
    <s v="Oil Model 1"/>
    <n v="1"/>
    <n v="217"/>
    <n v="0.15"/>
    <n v="184.45"/>
    <n v="0.12"/>
    <n v="184.45"/>
    <n v="22.134"/>
    <x v="135"/>
    <s v="COD"/>
    <s v="Delivered"/>
    <d v="2024-04-08T00:00:00"/>
    <d v="2024-04-11T00:00:00"/>
    <x v="0"/>
    <x v="0"/>
    <x v="0"/>
    <x v="1"/>
    <s v="Diwali Blast"/>
    <x v="2"/>
  </r>
  <r>
    <x v="137"/>
    <x v="137"/>
    <x v="98"/>
    <x v="2"/>
    <x v="4"/>
    <x v="0"/>
    <x v="4"/>
    <x v="17"/>
    <x v="32"/>
    <s v="T-Shirt Model 3"/>
    <n v="3"/>
    <n v="1957"/>
    <n v="0.15"/>
    <n v="1663.45"/>
    <n v="0.12"/>
    <n v="4990.3500000000004"/>
    <n v="598.84199999999998"/>
    <x v="136"/>
    <s v="UPI"/>
    <s v="Cancelled"/>
    <m/>
    <m/>
    <x v="0"/>
    <x v="0"/>
    <x v="0"/>
    <x v="7"/>
    <s v="Back to School"/>
    <x v="2"/>
  </r>
  <r>
    <x v="138"/>
    <x v="138"/>
    <x v="99"/>
    <x v="4"/>
    <x v="8"/>
    <x v="3"/>
    <x v="4"/>
    <x v="9"/>
    <x v="13"/>
    <s v="Hoodie Model 1"/>
    <n v="1"/>
    <n v="2547"/>
    <n v="0.05"/>
    <n v="2419.65"/>
    <n v="0.18"/>
    <n v="2419.65"/>
    <n v="435.53699999999998"/>
    <x v="137"/>
    <s v="COD"/>
    <s v="Delivered"/>
    <d v="2025-02-26T00:00:00"/>
    <d v="2025-03-01T00:00:00"/>
    <x v="0"/>
    <x v="0"/>
    <x v="0"/>
    <x v="5"/>
    <s v="Diwali Blast"/>
    <x v="4"/>
  </r>
  <r>
    <x v="139"/>
    <x v="139"/>
    <x v="100"/>
    <x v="2"/>
    <x v="6"/>
    <x v="0"/>
    <x v="2"/>
    <x v="23"/>
    <x v="45"/>
    <s v="Smartwatch Model 3"/>
    <n v="2"/>
    <n v="46517"/>
    <n v="0.05"/>
    <n v="44191.15"/>
    <n v="0.12"/>
    <n v="88382.3"/>
    <n v="10605.876"/>
    <x v="138"/>
    <s v="Debit Card"/>
    <s v="Delivered"/>
    <d v="2024-10-25T00:00:00"/>
    <d v="2024-10-28T00:00:00"/>
    <x v="0"/>
    <x v="0"/>
    <x v="0"/>
    <x v="6"/>
    <s v="Clearance"/>
    <x v="2"/>
  </r>
  <r>
    <x v="140"/>
    <x v="140"/>
    <x v="101"/>
    <x v="4"/>
    <x v="11"/>
    <x v="0"/>
    <x v="4"/>
    <x v="9"/>
    <x v="11"/>
    <s v="Hoodie Model 3"/>
    <n v="1"/>
    <n v="2791"/>
    <n v="0"/>
    <n v="2791"/>
    <n v="0.12"/>
    <n v="2791"/>
    <n v="334.92"/>
    <x v="139"/>
    <s v="COD"/>
    <s v="In Transit"/>
    <d v="2024-05-18T00:00:00"/>
    <m/>
    <x v="0"/>
    <x v="0"/>
    <x v="0"/>
    <x v="1"/>
    <s v="Back to School"/>
    <x v="6"/>
  </r>
  <r>
    <x v="141"/>
    <x v="141"/>
    <x v="102"/>
    <x v="0"/>
    <x v="13"/>
    <x v="1"/>
    <x v="3"/>
    <x v="7"/>
    <x v="33"/>
    <s v="Dumbbells Model 2"/>
    <n v="3"/>
    <n v="7681"/>
    <n v="0.05"/>
    <n v="7296.95"/>
    <n v="0.18"/>
    <n v="21890.85"/>
    <n v="3940.3530000000001"/>
    <x v="140"/>
    <s v="UPI"/>
    <s v="Delivered"/>
    <d v="2024-01-14T00:00:00"/>
    <d v="2024-01-15T00:00:00"/>
    <x v="0"/>
    <x v="0"/>
    <x v="0"/>
    <x v="3"/>
    <s v="New Year Sale"/>
    <x v="2"/>
  </r>
  <r>
    <x v="142"/>
    <x v="142"/>
    <x v="71"/>
    <x v="1"/>
    <x v="1"/>
    <x v="2"/>
    <x v="3"/>
    <x v="4"/>
    <x v="6"/>
    <s v="Tennis Racket Model 3"/>
    <n v="1"/>
    <n v="2593"/>
    <n v="0"/>
    <n v="2593"/>
    <n v="0.12"/>
    <n v="2593"/>
    <n v="311.16000000000003"/>
    <x v="141"/>
    <s v="UPI"/>
    <s v="Shipped"/>
    <d v="2024-09-04T00:00:00"/>
    <m/>
    <x v="0"/>
    <x v="0"/>
    <x v="0"/>
    <x v="5"/>
    <s v="Diwali Blast"/>
    <x v="4"/>
  </r>
  <r>
    <x v="143"/>
    <x v="143"/>
    <x v="54"/>
    <x v="2"/>
    <x v="9"/>
    <x v="3"/>
    <x v="4"/>
    <x v="9"/>
    <x v="18"/>
    <s v="Hoodie Model 2"/>
    <n v="3"/>
    <n v="2988"/>
    <n v="0.1"/>
    <n v="2689.2"/>
    <n v="0.12"/>
    <n v="8067.6"/>
    <n v="968.11199999999997"/>
    <x v="142"/>
    <s v="Debit Card"/>
    <s v="Delivered"/>
    <d v="2024-10-19T00:00:00"/>
    <d v="2024-10-22T00:00:00"/>
    <x v="0"/>
    <x v="0"/>
    <x v="0"/>
    <x v="2"/>
    <s v="Festival Fever"/>
    <x v="0"/>
  </r>
  <r>
    <x v="144"/>
    <x v="144"/>
    <x v="103"/>
    <x v="1"/>
    <x v="5"/>
    <x v="1"/>
    <x v="0"/>
    <x v="14"/>
    <x v="60"/>
    <s v="Vacuum Model 1"/>
    <n v="1"/>
    <n v="2443"/>
    <n v="0.1"/>
    <n v="2198.6999999999998"/>
    <n v="0.05"/>
    <n v="2198.6999999999998"/>
    <n v="109.935"/>
    <x v="143"/>
    <s v="UPI"/>
    <s v="Delivered"/>
    <d v="2024-02-25T00:00:00"/>
    <d v="2024-03-01T00:00:00"/>
    <x v="0"/>
    <x v="0"/>
    <x v="0"/>
    <x v="9"/>
    <s v="Festival Fever"/>
    <x v="5"/>
  </r>
  <r>
    <x v="145"/>
    <x v="145"/>
    <x v="10"/>
    <x v="2"/>
    <x v="2"/>
    <x v="0"/>
    <x v="3"/>
    <x v="11"/>
    <x v="49"/>
    <s v="Cricket Bat Model 2"/>
    <n v="2"/>
    <n v="1529"/>
    <n v="0.1"/>
    <n v="1376.1"/>
    <n v="0.12"/>
    <n v="2752.2"/>
    <n v="330.26400000000001"/>
    <x v="144"/>
    <s v="Credit Card"/>
    <s v="Delivered"/>
    <d v="2025-02-12T00:00:00"/>
    <d v="2025-02-13T00:00:00"/>
    <x v="0"/>
    <x v="0"/>
    <x v="0"/>
    <x v="7"/>
    <s v="New Year Sale"/>
    <x v="3"/>
  </r>
  <r>
    <x v="146"/>
    <x v="146"/>
    <x v="70"/>
    <x v="3"/>
    <x v="15"/>
    <x v="1"/>
    <x v="4"/>
    <x v="24"/>
    <x v="55"/>
    <s v="Jeans Model 2"/>
    <n v="1"/>
    <n v="1093"/>
    <n v="0"/>
    <n v="1093"/>
    <n v="0.05"/>
    <n v="1093"/>
    <n v="54.650000000000013"/>
    <x v="145"/>
    <s v="UPI"/>
    <s v="In Transit"/>
    <d v="2025-01-13T00:00:00"/>
    <m/>
    <x v="0"/>
    <x v="0"/>
    <x v="0"/>
    <x v="0"/>
    <s v="Summer Splash"/>
    <x v="1"/>
  </r>
  <r>
    <x v="147"/>
    <x v="147"/>
    <x v="69"/>
    <x v="3"/>
    <x v="10"/>
    <x v="0"/>
    <x v="4"/>
    <x v="17"/>
    <x v="25"/>
    <s v="T-Shirt Model 2"/>
    <n v="2"/>
    <n v="747"/>
    <n v="0"/>
    <n v="747"/>
    <n v="0.12"/>
    <n v="1494"/>
    <n v="179.28"/>
    <x v="146"/>
    <s v="Debit Card"/>
    <s v="Delivered"/>
    <d v="2025-02-14T00:00:00"/>
    <d v="2025-02-16T00:00:00"/>
    <x v="0"/>
    <x v="0"/>
    <x v="0"/>
    <x v="6"/>
    <s v="Monsoon Mania"/>
    <x v="4"/>
  </r>
  <r>
    <x v="148"/>
    <x v="148"/>
    <x v="20"/>
    <x v="0"/>
    <x v="0"/>
    <x v="2"/>
    <x v="0"/>
    <x v="22"/>
    <x v="54"/>
    <s v="Mixer Model 1"/>
    <n v="2"/>
    <n v="4288"/>
    <n v="0"/>
    <n v="4288"/>
    <n v="0.12"/>
    <n v="8576"/>
    <n v="1029.1199999999999"/>
    <x v="147"/>
    <s v="UPI"/>
    <s v="Delivered"/>
    <d v="2024-01-07T00:00:00"/>
    <d v="2024-01-09T00:00:00"/>
    <x v="0"/>
    <x v="0"/>
    <x v="0"/>
    <x v="4"/>
    <s v="New Year Sale"/>
    <x v="4"/>
  </r>
  <r>
    <x v="149"/>
    <x v="149"/>
    <x v="27"/>
    <x v="2"/>
    <x v="6"/>
    <x v="1"/>
    <x v="0"/>
    <x v="22"/>
    <x v="44"/>
    <s v="Mixer Model 3"/>
    <n v="4"/>
    <n v="11348"/>
    <n v="0"/>
    <n v="11348"/>
    <n v="0.18"/>
    <n v="45392"/>
    <n v="8170.5599999999986"/>
    <x v="148"/>
    <s v="Credit Card"/>
    <s v="Shipped"/>
    <d v="2024-02-15T00:00:00"/>
    <m/>
    <x v="0"/>
    <x v="0"/>
    <x v="0"/>
    <x v="1"/>
    <s v="New Year Sale"/>
    <x v="3"/>
  </r>
  <r>
    <x v="150"/>
    <x v="150"/>
    <x v="95"/>
    <x v="2"/>
    <x v="2"/>
    <x v="0"/>
    <x v="0"/>
    <x v="0"/>
    <x v="0"/>
    <s v="Air Purifier Model 1"/>
    <n v="3"/>
    <n v="11741"/>
    <n v="0.1"/>
    <n v="10566.9"/>
    <n v="0.05"/>
    <n v="31700.7"/>
    <n v="1585.0350000000001"/>
    <x v="149"/>
    <s v="COD"/>
    <s v="Delivered"/>
    <d v="2024-02-14T00:00:00"/>
    <d v="2024-02-18T00:00:00"/>
    <x v="0"/>
    <x v="0"/>
    <x v="0"/>
    <x v="6"/>
    <s v="Back to School"/>
    <x v="1"/>
  </r>
  <r>
    <x v="151"/>
    <x v="151"/>
    <x v="104"/>
    <x v="0"/>
    <x v="13"/>
    <x v="1"/>
    <x v="2"/>
    <x v="12"/>
    <x v="61"/>
    <s v="Headphones Model 3"/>
    <n v="2"/>
    <n v="6557"/>
    <n v="0"/>
    <n v="6557"/>
    <n v="0.18"/>
    <n v="13114"/>
    <n v="2360.52"/>
    <x v="150"/>
    <s v="COD"/>
    <s v="Delivered"/>
    <d v="2024-02-16T00:00:00"/>
    <d v="2024-02-21T00:00:00"/>
    <x v="0"/>
    <x v="0"/>
    <x v="0"/>
    <x v="5"/>
    <s v="Monsoon Mania"/>
    <x v="3"/>
  </r>
  <r>
    <x v="152"/>
    <x v="152"/>
    <x v="100"/>
    <x v="2"/>
    <x v="6"/>
    <x v="2"/>
    <x v="2"/>
    <x v="12"/>
    <x v="61"/>
    <s v="Headphones Model 3"/>
    <n v="2"/>
    <n v="8310"/>
    <n v="0.15"/>
    <n v="7063.5"/>
    <n v="0.18"/>
    <n v="14127"/>
    <n v="2542.86"/>
    <x v="151"/>
    <s v="UPI"/>
    <s v="Returned"/>
    <d v="2025-04-21T00:00:00"/>
    <m/>
    <x v="1"/>
    <x v="11"/>
    <x v="11"/>
    <x v="6"/>
    <s v="New Year Sale"/>
    <x v="5"/>
  </r>
  <r>
    <x v="153"/>
    <x v="153"/>
    <x v="105"/>
    <x v="0"/>
    <x v="0"/>
    <x v="3"/>
    <x v="3"/>
    <x v="11"/>
    <x v="49"/>
    <s v="Cricket Bat Model 2"/>
    <n v="1"/>
    <n v="9109"/>
    <n v="0"/>
    <n v="9109"/>
    <n v="0.18"/>
    <n v="9109"/>
    <n v="1639.62"/>
    <x v="152"/>
    <s v="Credit Card"/>
    <s v="Delivered"/>
    <d v="2024-09-15T00:00:00"/>
    <d v="2024-09-19T00:00:00"/>
    <x v="0"/>
    <x v="0"/>
    <x v="0"/>
    <x v="4"/>
    <s v="Festival Fever"/>
    <x v="4"/>
  </r>
  <r>
    <x v="154"/>
    <x v="154"/>
    <x v="106"/>
    <x v="2"/>
    <x v="4"/>
    <x v="3"/>
    <x v="0"/>
    <x v="14"/>
    <x v="17"/>
    <s v="Vacuum Model 3"/>
    <n v="2"/>
    <n v="2379"/>
    <n v="0"/>
    <n v="2379"/>
    <n v="0.05"/>
    <n v="4758"/>
    <n v="237.9"/>
    <x v="153"/>
    <s v="COD"/>
    <s v="Delivered"/>
    <d v="2024-04-30T00:00:00"/>
    <d v="2024-05-03T00:00:00"/>
    <x v="0"/>
    <x v="0"/>
    <x v="0"/>
    <x v="1"/>
    <s v="Monsoon Mania"/>
    <x v="5"/>
  </r>
  <r>
    <x v="155"/>
    <x v="155"/>
    <x v="79"/>
    <x v="4"/>
    <x v="11"/>
    <x v="0"/>
    <x v="2"/>
    <x v="3"/>
    <x v="5"/>
    <s v="Smartphone Model 3"/>
    <n v="1"/>
    <n v="14196"/>
    <n v="0.05"/>
    <n v="13486.2"/>
    <n v="0.05"/>
    <n v="13486.2"/>
    <n v="674.31"/>
    <x v="154"/>
    <s v="COD"/>
    <s v="Cancelled"/>
    <m/>
    <m/>
    <x v="0"/>
    <x v="0"/>
    <x v="0"/>
    <x v="6"/>
    <s v="New Year Sale"/>
    <x v="1"/>
  </r>
  <r>
    <x v="156"/>
    <x v="156"/>
    <x v="107"/>
    <x v="1"/>
    <x v="12"/>
    <x v="0"/>
    <x v="0"/>
    <x v="1"/>
    <x v="3"/>
    <s v="Cookware Model 3"/>
    <n v="4"/>
    <n v="4071"/>
    <n v="0.1"/>
    <n v="3663.9"/>
    <n v="0.12"/>
    <n v="14655.6"/>
    <n v="1758.672"/>
    <x v="155"/>
    <s v="UPI"/>
    <s v="Delivered"/>
    <d v="2024-05-12T00:00:00"/>
    <d v="2024-05-17T00:00:00"/>
    <x v="0"/>
    <x v="0"/>
    <x v="0"/>
    <x v="0"/>
    <s v="Festival Fever"/>
    <x v="6"/>
  </r>
  <r>
    <x v="157"/>
    <x v="157"/>
    <x v="108"/>
    <x v="0"/>
    <x v="14"/>
    <x v="1"/>
    <x v="1"/>
    <x v="15"/>
    <x v="27"/>
    <s v="Rice Model 1"/>
    <n v="3"/>
    <n v="478"/>
    <n v="0"/>
    <n v="478"/>
    <n v="0.18"/>
    <n v="1434"/>
    <n v="258.12"/>
    <x v="156"/>
    <s v="UPI"/>
    <s v="Delivered"/>
    <d v="2024-12-17T00:00:00"/>
    <d v="2024-12-22T00:00:00"/>
    <x v="0"/>
    <x v="0"/>
    <x v="0"/>
    <x v="4"/>
    <s v="Diwali Blast"/>
    <x v="2"/>
  </r>
  <r>
    <x v="158"/>
    <x v="158"/>
    <x v="109"/>
    <x v="1"/>
    <x v="1"/>
    <x v="0"/>
    <x v="2"/>
    <x v="13"/>
    <x v="16"/>
    <s v="Laptop Model 1"/>
    <n v="1"/>
    <n v="40181"/>
    <n v="0"/>
    <n v="40181"/>
    <n v="0.18"/>
    <n v="40181"/>
    <n v="7232.58"/>
    <x v="157"/>
    <s v="Credit Card"/>
    <s v="Delivered"/>
    <d v="2024-09-30T00:00:00"/>
    <d v="2024-10-05T00:00:00"/>
    <x v="0"/>
    <x v="0"/>
    <x v="0"/>
    <x v="8"/>
    <s v="Summer Splash"/>
    <x v="0"/>
  </r>
  <r>
    <x v="159"/>
    <x v="159"/>
    <x v="110"/>
    <x v="3"/>
    <x v="3"/>
    <x v="1"/>
    <x v="2"/>
    <x v="23"/>
    <x v="47"/>
    <s v="Smartwatch Model 1"/>
    <n v="1"/>
    <n v="39085"/>
    <n v="0"/>
    <n v="39085"/>
    <n v="0.05"/>
    <n v="39085"/>
    <n v="1954.25"/>
    <x v="158"/>
    <s v="Credit Card"/>
    <s v="Delivered"/>
    <d v="2024-10-23T00:00:00"/>
    <d v="2024-10-24T00:00:00"/>
    <x v="0"/>
    <x v="0"/>
    <x v="0"/>
    <x v="9"/>
    <s v="Summer Splash"/>
    <x v="2"/>
  </r>
  <r>
    <x v="160"/>
    <x v="160"/>
    <x v="111"/>
    <x v="0"/>
    <x v="13"/>
    <x v="0"/>
    <x v="4"/>
    <x v="8"/>
    <x v="43"/>
    <s v="Jacket Model 1"/>
    <n v="3"/>
    <n v="1427"/>
    <n v="0"/>
    <n v="1427"/>
    <n v="0.05"/>
    <n v="4281"/>
    <n v="214.05"/>
    <x v="159"/>
    <s v="UPI"/>
    <s v="Cancelled"/>
    <m/>
    <m/>
    <x v="0"/>
    <x v="0"/>
    <x v="0"/>
    <x v="1"/>
    <s v="Festival Fever"/>
    <x v="1"/>
  </r>
  <r>
    <x v="161"/>
    <x v="161"/>
    <x v="0"/>
    <x v="0"/>
    <x v="0"/>
    <x v="1"/>
    <x v="1"/>
    <x v="15"/>
    <x v="21"/>
    <s v="Rice Model 3"/>
    <n v="1"/>
    <n v="335"/>
    <n v="0.05"/>
    <n v="318.25"/>
    <n v="0.05"/>
    <n v="318.25"/>
    <n v="15.9125"/>
    <x v="160"/>
    <s v="UPI"/>
    <s v="Delivered"/>
    <d v="2024-07-31T00:00:00"/>
    <d v="2024-08-04T00:00:00"/>
    <x v="0"/>
    <x v="0"/>
    <x v="0"/>
    <x v="2"/>
    <s v="Diwali Blast"/>
    <x v="3"/>
  </r>
  <r>
    <x v="162"/>
    <x v="162"/>
    <x v="112"/>
    <x v="1"/>
    <x v="18"/>
    <x v="1"/>
    <x v="3"/>
    <x v="7"/>
    <x v="9"/>
    <s v="Dumbbells Model 3"/>
    <n v="1"/>
    <n v="1431"/>
    <n v="0"/>
    <n v="1431"/>
    <n v="0.12"/>
    <n v="1431"/>
    <n v="171.72"/>
    <x v="161"/>
    <s v="Debit Card"/>
    <s v="Delivered"/>
    <d v="2024-01-10T00:00:00"/>
    <d v="2024-01-15T00:00:00"/>
    <x v="0"/>
    <x v="0"/>
    <x v="0"/>
    <x v="8"/>
    <s v="Clearance"/>
    <x v="4"/>
  </r>
  <r>
    <x v="163"/>
    <x v="163"/>
    <x v="8"/>
    <x v="3"/>
    <x v="7"/>
    <x v="2"/>
    <x v="1"/>
    <x v="18"/>
    <x v="29"/>
    <s v="Beverage Model 1"/>
    <n v="1"/>
    <n v="148"/>
    <n v="0.05"/>
    <n v="140.6"/>
    <n v="0.18"/>
    <n v="140.6"/>
    <n v="25.308"/>
    <x v="162"/>
    <s v="Credit Card"/>
    <s v="Shipped"/>
    <d v="2025-04-09T00:00:00"/>
    <m/>
    <x v="0"/>
    <x v="0"/>
    <x v="0"/>
    <x v="3"/>
    <s v="Festival Fever"/>
    <x v="3"/>
  </r>
  <r>
    <x v="164"/>
    <x v="164"/>
    <x v="9"/>
    <x v="4"/>
    <x v="8"/>
    <x v="0"/>
    <x v="1"/>
    <x v="2"/>
    <x v="62"/>
    <s v="Snacks Model 3"/>
    <n v="1"/>
    <n v="681"/>
    <n v="0"/>
    <n v="681"/>
    <n v="0.12"/>
    <n v="681"/>
    <n v="81.72"/>
    <x v="163"/>
    <s v="Debit Card"/>
    <s v="Delivered"/>
    <d v="2024-03-19T00:00:00"/>
    <d v="2024-03-22T00:00:00"/>
    <x v="0"/>
    <x v="0"/>
    <x v="0"/>
    <x v="5"/>
    <s v="Back to School"/>
    <x v="1"/>
  </r>
  <r>
    <x v="165"/>
    <x v="165"/>
    <x v="41"/>
    <x v="4"/>
    <x v="11"/>
    <x v="2"/>
    <x v="0"/>
    <x v="21"/>
    <x v="63"/>
    <s v="Lamp Model 1"/>
    <n v="3"/>
    <n v="8385"/>
    <n v="0.05"/>
    <n v="7965.75"/>
    <n v="0.18"/>
    <n v="23897.25"/>
    <n v="4301.5050000000001"/>
    <x v="164"/>
    <s v="Debit Card"/>
    <s v="Delivered"/>
    <d v="2025-03-28T00:00:00"/>
    <d v="2025-03-29T00:00:00"/>
    <x v="0"/>
    <x v="0"/>
    <x v="0"/>
    <x v="5"/>
    <s v="Diwali Blast"/>
    <x v="5"/>
  </r>
  <r>
    <x v="166"/>
    <x v="166"/>
    <x v="113"/>
    <x v="1"/>
    <x v="18"/>
    <x v="0"/>
    <x v="0"/>
    <x v="1"/>
    <x v="38"/>
    <s v="Cookware Model 1"/>
    <n v="1"/>
    <n v="10048"/>
    <n v="0.05"/>
    <n v="9545.6"/>
    <n v="0.12"/>
    <n v="9545.6"/>
    <n v="1145.472"/>
    <x v="165"/>
    <s v="UPI"/>
    <s v="Returned"/>
    <d v="2024-06-01T00:00:00"/>
    <m/>
    <x v="1"/>
    <x v="12"/>
    <x v="12"/>
    <x v="9"/>
    <s v="Monsoon Mania"/>
    <x v="3"/>
  </r>
  <r>
    <x v="167"/>
    <x v="167"/>
    <x v="19"/>
    <x v="1"/>
    <x v="12"/>
    <x v="1"/>
    <x v="3"/>
    <x v="4"/>
    <x v="20"/>
    <s v="Tennis Racket Model 1"/>
    <n v="3"/>
    <n v="2914"/>
    <n v="0.1"/>
    <n v="2622.6"/>
    <n v="0.18"/>
    <n v="7867.7999999999993"/>
    <n v="1416.204"/>
    <x v="166"/>
    <s v="Credit Card"/>
    <s v="Delivered"/>
    <d v="2025-02-08T00:00:00"/>
    <d v="2025-02-13T00:00:00"/>
    <x v="0"/>
    <x v="0"/>
    <x v="0"/>
    <x v="9"/>
    <s v="Diwali Blast"/>
    <x v="0"/>
  </r>
  <r>
    <x v="168"/>
    <x v="168"/>
    <x v="12"/>
    <x v="2"/>
    <x v="4"/>
    <x v="2"/>
    <x v="0"/>
    <x v="14"/>
    <x v="60"/>
    <s v="Vacuum Model 1"/>
    <n v="1"/>
    <n v="13347"/>
    <n v="0.1"/>
    <n v="12012.3"/>
    <n v="0.12"/>
    <n v="12012.3"/>
    <n v="1441.4760000000001"/>
    <x v="167"/>
    <s v="Credit Card"/>
    <s v="Delivered"/>
    <d v="2024-05-30T00:00:00"/>
    <d v="2024-06-01T00:00:00"/>
    <x v="0"/>
    <x v="0"/>
    <x v="0"/>
    <x v="0"/>
    <s v="New Year Sale"/>
    <x v="0"/>
  </r>
  <r>
    <x v="169"/>
    <x v="169"/>
    <x v="40"/>
    <x v="1"/>
    <x v="18"/>
    <x v="0"/>
    <x v="0"/>
    <x v="14"/>
    <x v="31"/>
    <s v="Vacuum Model 2"/>
    <n v="1"/>
    <n v="4808"/>
    <n v="0.15"/>
    <n v="4086.8"/>
    <n v="0.18"/>
    <n v="4086.8"/>
    <n v="735.62399999999991"/>
    <x v="168"/>
    <s v="UPI"/>
    <s v="Delivered"/>
    <d v="2024-12-13T00:00:00"/>
    <d v="2024-12-14T00:00:00"/>
    <x v="0"/>
    <x v="0"/>
    <x v="0"/>
    <x v="3"/>
    <s v="Diwali Blast"/>
    <x v="5"/>
  </r>
  <r>
    <x v="170"/>
    <x v="170"/>
    <x v="114"/>
    <x v="1"/>
    <x v="18"/>
    <x v="2"/>
    <x v="1"/>
    <x v="18"/>
    <x v="42"/>
    <s v="Beverage Model 3"/>
    <n v="1"/>
    <n v="235"/>
    <n v="0"/>
    <n v="235"/>
    <n v="0.05"/>
    <n v="235"/>
    <n v="11.75"/>
    <x v="169"/>
    <s v="COD"/>
    <s v="Delivered"/>
    <d v="2024-09-30T00:00:00"/>
    <d v="2024-10-03T00:00:00"/>
    <x v="0"/>
    <x v="0"/>
    <x v="0"/>
    <x v="4"/>
    <s v="New Year Sale"/>
    <x v="0"/>
  </r>
  <r>
    <x v="171"/>
    <x v="171"/>
    <x v="115"/>
    <x v="0"/>
    <x v="13"/>
    <x v="1"/>
    <x v="4"/>
    <x v="24"/>
    <x v="64"/>
    <s v="Jeans Model 1"/>
    <n v="1"/>
    <n v="2284"/>
    <n v="0.1"/>
    <n v="2055.6"/>
    <n v="0.12"/>
    <n v="2055.6"/>
    <n v="246.672"/>
    <x v="170"/>
    <s v="Credit Card"/>
    <s v="Delivered"/>
    <d v="2024-09-14T00:00:00"/>
    <d v="2024-09-16T00:00:00"/>
    <x v="0"/>
    <x v="0"/>
    <x v="0"/>
    <x v="7"/>
    <s v="Summer Splash"/>
    <x v="4"/>
  </r>
  <r>
    <x v="172"/>
    <x v="172"/>
    <x v="23"/>
    <x v="0"/>
    <x v="13"/>
    <x v="0"/>
    <x v="1"/>
    <x v="2"/>
    <x v="62"/>
    <s v="Snacks Model 3"/>
    <n v="1"/>
    <n v="206"/>
    <n v="0.05"/>
    <n v="195.7"/>
    <n v="0.12"/>
    <n v="195.7"/>
    <n v="23.484000000000002"/>
    <x v="171"/>
    <s v="UPI"/>
    <s v="Delivered"/>
    <d v="2024-07-27T00:00:00"/>
    <d v="2024-07-28T00:00:00"/>
    <x v="0"/>
    <x v="0"/>
    <x v="0"/>
    <x v="2"/>
    <s v="Clearance"/>
    <x v="4"/>
  </r>
  <r>
    <x v="173"/>
    <x v="173"/>
    <x v="93"/>
    <x v="1"/>
    <x v="1"/>
    <x v="0"/>
    <x v="0"/>
    <x v="14"/>
    <x v="60"/>
    <s v="Vacuum Model 1"/>
    <n v="3"/>
    <n v="9575"/>
    <n v="0"/>
    <n v="9575"/>
    <n v="0.05"/>
    <n v="28725"/>
    <n v="1436.25"/>
    <x v="172"/>
    <s v="Credit Card"/>
    <s v="Delivered"/>
    <d v="2024-08-02T00:00:00"/>
    <d v="2024-08-06T00:00:00"/>
    <x v="0"/>
    <x v="0"/>
    <x v="0"/>
    <x v="9"/>
    <s v="Summer Splash"/>
    <x v="2"/>
  </r>
  <r>
    <x v="174"/>
    <x v="174"/>
    <x v="41"/>
    <x v="4"/>
    <x v="11"/>
    <x v="1"/>
    <x v="4"/>
    <x v="24"/>
    <x v="64"/>
    <s v="Jeans Model 1"/>
    <n v="1"/>
    <n v="719"/>
    <n v="0.05"/>
    <n v="683.05"/>
    <n v="0.05"/>
    <n v="683.05"/>
    <n v="34.152500000000003"/>
    <x v="173"/>
    <s v="COD"/>
    <s v="Delivered"/>
    <d v="2025-03-11T00:00:00"/>
    <d v="2025-03-15T00:00:00"/>
    <x v="0"/>
    <x v="0"/>
    <x v="0"/>
    <x v="2"/>
    <s v="Summer Splash"/>
    <x v="6"/>
  </r>
  <r>
    <x v="175"/>
    <x v="175"/>
    <x v="71"/>
    <x v="1"/>
    <x v="1"/>
    <x v="2"/>
    <x v="0"/>
    <x v="22"/>
    <x v="44"/>
    <s v="Mixer Model 3"/>
    <n v="1"/>
    <n v="9529"/>
    <n v="0"/>
    <n v="9529"/>
    <n v="0.12"/>
    <n v="9529"/>
    <n v="1143.48"/>
    <x v="174"/>
    <s v="UPI"/>
    <s v="Delivered"/>
    <d v="2024-06-25T00:00:00"/>
    <d v="2024-06-30T00:00:00"/>
    <x v="0"/>
    <x v="0"/>
    <x v="0"/>
    <x v="3"/>
    <s v="Diwali Blast"/>
    <x v="2"/>
  </r>
  <r>
    <x v="176"/>
    <x v="176"/>
    <x v="116"/>
    <x v="3"/>
    <x v="7"/>
    <x v="0"/>
    <x v="0"/>
    <x v="22"/>
    <x v="54"/>
    <s v="Mixer Model 1"/>
    <n v="2"/>
    <n v="11960"/>
    <n v="0"/>
    <n v="11960"/>
    <n v="0.12"/>
    <n v="23920"/>
    <n v="2870.4"/>
    <x v="175"/>
    <s v="Credit Card"/>
    <s v="Delivered"/>
    <d v="2024-04-25T00:00:00"/>
    <d v="2024-04-28T00:00:00"/>
    <x v="0"/>
    <x v="0"/>
    <x v="0"/>
    <x v="9"/>
    <s v="Monsoon Mania"/>
    <x v="5"/>
  </r>
  <r>
    <x v="177"/>
    <x v="177"/>
    <x v="56"/>
    <x v="2"/>
    <x v="6"/>
    <x v="1"/>
    <x v="1"/>
    <x v="20"/>
    <x v="65"/>
    <s v="Pulses Model 1"/>
    <n v="3"/>
    <n v="548"/>
    <n v="0.1"/>
    <n v="493.2"/>
    <n v="0.18"/>
    <n v="1479.6"/>
    <n v="266.32799999999997"/>
    <x v="176"/>
    <s v="Credit Card"/>
    <s v="Returned"/>
    <d v="2024-07-02T00:00:00"/>
    <m/>
    <x v="1"/>
    <x v="13"/>
    <x v="13"/>
    <x v="0"/>
    <s v="Festival Fever"/>
    <x v="5"/>
  </r>
  <r>
    <x v="178"/>
    <x v="178"/>
    <x v="45"/>
    <x v="0"/>
    <x v="14"/>
    <x v="1"/>
    <x v="3"/>
    <x v="7"/>
    <x v="9"/>
    <s v="Dumbbells Model 3"/>
    <n v="3"/>
    <n v="4555"/>
    <n v="0"/>
    <n v="4555"/>
    <n v="0.12"/>
    <n v="13665"/>
    <n v="1639.8"/>
    <x v="177"/>
    <s v="UPI"/>
    <s v="Returned"/>
    <d v="2024-06-18T00:00:00"/>
    <m/>
    <x v="1"/>
    <x v="14"/>
    <x v="14"/>
    <x v="6"/>
    <s v="Summer Splash"/>
    <x v="6"/>
  </r>
  <r>
    <x v="179"/>
    <x v="179"/>
    <x v="117"/>
    <x v="3"/>
    <x v="10"/>
    <x v="1"/>
    <x v="3"/>
    <x v="11"/>
    <x v="49"/>
    <s v="Cricket Bat Model 2"/>
    <n v="3"/>
    <n v="6110"/>
    <n v="0.1"/>
    <n v="5499"/>
    <n v="0.18"/>
    <n v="16497"/>
    <n v="2969.46"/>
    <x v="178"/>
    <s v="NetBanking"/>
    <s v="Delivered"/>
    <d v="2024-09-24T00:00:00"/>
    <d v="2024-09-26T00:00:00"/>
    <x v="0"/>
    <x v="0"/>
    <x v="0"/>
    <x v="9"/>
    <s v="Diwali Blast"/>
    <x v="0"/>
  </r>
  <r>
    <x v="180"/>
    <x v="180"/>
    <x v="28"/>
    <x v="0"/>
    <x v="14"/>
    <x v="1"/>
    <x v="0"/>
    <x v="14"/>
    <x v="60"/>
    <s v="Vacuum Model 1"/>
    <n v="1"/>
    <n v="7181"/>
    <n v="0.05"/>
    <n v="6821.95"/>
    <n v="0.05"/>
    <n v="6821.95"/>
    <n v="341.09750000000003"/>
    <x v="179"/>
    <s v="Credit Card"/>
    <s v="Delivered"/>
    <d v="2025-03-24T00:00:00"/>
    <d v="2025-03-27T00:00:00"/>
    <x v="0"/>
    <x v="0"/>
    <x v="0"/>
    <x v="2"/>
    <s v="Diwali Blast"/>
    <x v="5"/>
  </r>
  <r>
    <x v="181"/>
    <x v="181"/>
    <x v="21"/>
    <x v="4"/>
    <x v="8"/>
    <x v="1"/>
    <x v="2"/>
    <x v="13"/>
    <x v="16"/>
    <s v="Laptop Model 1"/>
    <n v="2"/>
    <n v="17353"/>
    <n v="0"/>
    <n v="17353"/>
    <n v="0.12"/>
    <n v="34706"/>
    <n v="4164.72"/>
    <x v="180"/>
    <s v="Credit Card"/>
    <s v="Delivered"/>
    <d v="2025-04-19T00:00:00"/>
    <d v="2025-04-22T00:00:00"/>
    <x v="0"/>
    <x v="0"/>
    <x v="0"/>
    <x v="1"/>
    <s v="New Year Sale"/>
    <x v="5"/>
  </r>
  <r>
    <x v="182"/>
    <x v="182"/>
    <x v="118"/>
    <x v="3"/>
    <x v="7"/>
    <x v="0"/>
    <x v="2"/>
    <x v="23"/>
    <x v="47"/>
    <s v="Smartwatch Model 1"/>
    <n v="3"/>
    <n v="46250"/>
    <n v="0"/>
    <n v="46250"/>
    <n v="0.12"/>
    <n v="138750"/>
    <n v="16650"/>
    <x v="181"/>
    <s v="COD"/>
    <s v="Delivered"/>
    <d v="2024-04-07T00:00:00"/>
    <d v="2024-04-11T00:00:00"/>
    <x v="0"/>
    <x v="0"/>
    <x v="0"/>
    <x v="4"/>
    <s v="Clearance"/>
    <x v="3"/>
  </r>
  <r>
    <x v="183"/>
    <x v="183"/>
    <x v="118"/>
    <x v="3"/>
    <x v="7"/>
    <x v="0"/>
    <x v="4"/>
    <x v="24"/>
    <x v="66"/>
    <s v="Jeans Model 3"/>
    <n v="2"/>
    <n v="1087"/>
    <n v="0"/>
    <n v="1087"/>
    <n v="0.12"/>
    <n v="2174"/>
    <n v="260.88"/>
    <x v="182"/>
    <s v="Credit Card"/>
    <s v="Delivered"/>
    <d v="2024-02-04T00:00:00"/>
    <d v="2024-02-06T00:00:00"/>
    <x v="0"/>
    <x v="0"/>
    <x v="0"/>
    <x v="4"/>
    <s v="Festival Fever"/>
    <x v="1"/>
  </r>
  <r>
    <x v="184"/>
    <x v="184"/>
    <x v="7"/>
    <x v="2"/>
    <x v="6"/>
    <x v="0"/>
    <x v="4"/>
    <x v="8"/>
    <x v="43"/>
    <s v="Jacket Model 1"/>
    <n v="2"/>
    <n v="1793"/>
    <n v="0.05"/>
    <n v="1703.35"/>
    <n v="0.12"/>
    <n v="3406.7"/>
    <n v="408.80399999999997"/>
    <x v="183"/>
    <s v="NetBanking"/>
    <s v="Delivered"/>
    <d v="2025-04-12T00:00:00"/>
    <d v="2025-04-13T00:00:00"/>
    <x v="0"/>
    <x v="0"/>
    <x v="0"/>
    <x v="5"/>
    <s v="New Year Sale"/>
    <x v="5"/>
  </r>
  <r>
    <x v="185"/>
    <x v="185"/>
    <x v="86"/>
    <x v="3"/>
    <x v="10"/>
    <x v="2"/>
    <x v="0"/>
    <x v="0"/>
    <x v="0"/>
    <s v="Air Purifier Model 1"/>
    <n v="1"/>
    <n v="7941"/>
    <n v="0"/>
    <n v="7941"/>
    <n v="0.05"/>
    <n v="7941"/>
    <n v="397.05"/>
    <x v="184"/>
    <s v="Credit Card"/>
    <s v="Delivered"/>
    <d v="2024-11-22T00:00:00"/>
    <d v="2024-11-23T00:00:00"/>
    <x v="0"/>
    <x v="0"/>
    <x v="0"/>
    <x v="7"/>
    <s v="New Year Sale"/>
    <x v="1"/>
  </r>
  <r>
    <x v="186"/>
    <x v="186"/>
    <x v="7"/>
    <x v="2"/>
    <x v="6"/>
    <x v="2"/>
    <x v="3"/>
    <x v="11"/>
    <x v="49"/>
    <s v="Cricket Bat Model 2"/>
    <n v="3"/>
    <n v="4904"/>
    <n v="0.05"/>
    <n v="4658.8"/>
    <n v="0.12"/>
    <n v="13976.4"/>
    <n v="1677.1679999999999"/>
    <x v="185"/>
    <s v="Debit Card"/>
    <s v="Returned"/>
    <d v="2024-09-11T00:00:00"/>
    <m/>
    <x v="1"/>
    <x v="15"/>
    <x v="15"/>
    <x v="7"/>
    <s v="Clearance"/>
    <x v="3"/>
  </r>
  <r>
    <x v="187"/>
    <x v="187"/>
    <x v="111"/>
    <x v="0"/>
    <x v="13"/>
    <x v="0"/>
    <x v="3"/>
    <x v="7"/>
    <x v="33"/>
    <s v="Dumbbells Model 2"/>
    <n v="3"/>
    <n v="2835"/>
    <n v="0.05"/>
    <n v="2693.25"/>
    <n v="0.05"/>
    <n v="8079.75"/>
    <n v="403.98750000000001"/>
    <x v="186"/>
    <s v="Credit Card"/>
    <s v="Delivered"/>
    <d v="2025-03-23T00:00:00"/>
    <d v="2025-03-24T00:00:00"/>
    <x v="0"/>
    <x v="0"/>
    <x v="0"/>
    <x v="5"/>
    <s v="New Year Sale"/>
    <x v="1"/>
  </r>
  <r>
    <x v="188"/>
    <x v="188"/>
    <x v="35"/>
    <x v="4"/>
    <x v="16"/>
    <x v="1"/>
    <x v="2"/>
    <x v="3"/>
    <x v="57"/>
    <s v="Smartphone Model 1"/>
    <n v="2"/>
    <n v="43933"/>
    <n v="0"/>
    <n v="43933"/>
    <n v="0.12"/>
    <n v="87866"/>
    <n v="10543.92"/>
    <x v="187"/>
    <s v="UPI"/>
    <s v="Cancelled"/>
    <m/>
    <m/>
    <x v="0"/>
    <x v="0"/>
    <x v="0"/>
    <x v="4"/>
    <s v="Monsoon Mania"/>
    <x v="0"/>
  </r>
  <r>
    <x v="189"/>
    <x v="189"/>
    <x v="51"/>
    <x v="0"/>
    <x v="19"/>
    <x v="1"/>
    <x v="1"/>
    <x v="2"/>
    <x v="4"/>
    <s v="Snacks Model 1"/>
    <n v="1"/>
    <n v="327"/>
    <n v="0.1"/>
    <n v="294.3"/>
    <n v="0.05"/>
    <n v="294.3"/>
    <n v="14.715"/>
    <x v="188"/>
    <s v="NetBanking"/>
    <s v="Delivered"/>
    <d v="2025-01-04T00:00:00"/>
    <d v="2025-01-07T00:00:00"/>
    <x v="0"/>
    <x v="0"/>
    <x v="0"/>
    <x v="3"/>
    <s v="New Year Sale"/>
    <x v="3"/>
  </r>
  <r>
    <x v="190"/>
    <x v="190"/>
    <x v="119"/>
    <x v="1"/>
    <x v="1"/>
    <x v="1"/>
    <x v="0"/>
    <x v="0"/>
    <x v="1"/>
    <s v="Air Purifier Model 2"/>
    <n v="3"/>
    <n v="10983"/>
    <n v="0.15"/>
    <n v="9335.5499999999993"/>
    <n v="0.12"/>
    <n v="28006.65"/>
    <n v="3360.7979999999998"/>
    <x v="189"/>
    <s v="UPI"/>
    <s v="Cancelled"/>
    <m/>
    <m/>
    <x v="0"/>
    <x v="0"/>
    <x v="0"/>
    <x v="6"/>
    <s v="Back to School"/>
    <x v="2"/>
  </r>
  <r>
    <x v="191"/>
    <x v="191"/>
    <x v="29"/>
    <x v="0"/>
    <x v="0"/>
    <x v="0"/>
    <x v="1"/>
    <x v="6"/>
    <x v="34"/>
    <s v="Oil Model 3"/>
    <n v="1"/>
    <n v="604"/>
    <n v="0"/>
    <n v="604"/>
    <n v="0.12"/>
    <n v="604"/>
    <n v="72.48"/>
    <x v="190"/>
    <s v="Credit Card"/>
    <s v="Delivered"/>
    <d v="2024-10-15T00:00:00"/>
    <d v="2024-10-16T00:00:00"/>
    <x v="0"/>
    <x v="0"/>
    <x v="0"/>
    <x v="7"/>
    <s v="Clearance"/>
    <x v="4"/>
  </r>
  <r>
    <x v="192"/>
    <x v="192"/>
    <x v="120"/>
    <x v="1"/>
    <x v="18"/>
    <x v="0"/>
    <x v="0"/>
    <x v="14"/>
    <x v="60"/>
    <s v="Vacuum Model 1"/>
    <n v="3"/>
    <n v="4347"/>
    <n v="0.15"/>
    <n v="3694.95"/>
    <n v="0.12"/>
    <n v="11084.85"/>
    <n v="1330.182"/>
    <x v="191"/>
    <s v="Credit Card"/>
    <s v="Delivered"/>
    <d v="2024-05-08T00:00:00"/>
    <d v="2024-05-13T00:00:00"/>
    <x v="0"/>
    <x v="0"/>
    <x v="0"/>
    <x v="3"/>
    <s v="Festival Fever"/>
    <x v="6"/>
  </r>
  <r>
    <x v="193"/>
    <x v="193"/>
    <x v="121"/>
    <x v="2"/>
    <x v="6"/>
    <x v="0"/>
    <x v="3"/>
    <x v="11"/>
    <x v="14"/>
    <s v="Cricket Bat Model 1"/>
    <n v="1"/>
    <n v="7294"/>
    <n v="0.15"/>
    <n v="6199.9"/>
    <n v="0.12"/>
    <n v="6199.9"/>
    <n v="743.98799999999994"/>
    <x v="192"/>
    <s v="NetBanking"/>
    <s v="Shipped"/>
    <d v="2024-03-08T00:00:00"/>
    <m/>
    <x v="0"/>
    <x v="0"/>
    <x v="0"/>
    <x v="3"/>
    <s v="Summer Splash"/>
    <x v="0"/>
  </r>
  <r>
    <x v="194"/>
    <x v="194"/>
    <x v="122"/>
    <x v="2"/>
    <x v="4"/>
    <x v="1"/>
    <x v="0"/>
    <x v="1"/>
    <x v="67"/>
    <s v="Cookware Model 2"/>
    <n v="3"/>
    <n v="14364"/>
    <n v="0"/>
    <n v="14364"/>
    <n v="0.12"/>
    <n v="43092"/>
    <n v="5171.04"/>
    <x v="193"/>
    <s v="COD"/>
    <s v="Delivered"/>
    <d v="2024-07-27T00:00:00"/>
    <d v="2024-07-30T00:00:00"/>
    <x v="0"/>
    <x v="0"/>
    <x v="0"/>
    <x v="0"/>
    <s v="Summer Splash"/>
    <x v="6"/>
  </r>
  <r>
    <x v="195"/>
    <x v="195"/>
    <x v="73"/>
    <x v="2"/>
    <x v="6"/>
    <x v="1"/>
    <x v="2"/>
    <x v="19"/>
    <x v="35"/>
    <s v="Camera Model 2"/>
    <n v="4"/>
    <n v="17661"/>
    <n v="0"/>
    <n v="17661"/>
    <n v="0.12"/>
    <n v="70644"/>
    <n v="8477.2799999999988"/>
    <x v="194"/>
    <s v="Credit Card"/>
    <s v="Delivered"/>
    <d v="2024-11-02T00:00:00"/>
    <d v="2024-11-05T00:00:00"/>
    <x v="0"/>
    <x v="0"/>
    <x v="0"/>
    <x v="4"/>
    <s v="Festival Fever"/>
    <x v="3"/>
  </r>
  <r>
    <x v="196"/>
    <x v="196"/>
    <x v="98"/>
    <x v="2"/>
    <x v="4"/>
    <x v="0"/>
    <x v="0"/>
    <x v="1"/>
    <x v="67"/>
    <s v="Cookware Model 2"/>
    <n v="2"/>
    <n v="2886"/>
    <n v="0.05"/>
    <n v="2741.7"/>
    <n v="0.18"/>
    <n v="5483.4"/>
    <n v="987.01199999999994"/>
    <x v="195"/>
    <s v="Debit Card"/>
    <s v="Cancelled"/>
    <m/>
    <m/>
    <x v="0"/>
    <x v="0"/>
    <x v="0"/>
    <x v="0"/>
    <s v="Festival Fever"/>
    <x v="3"/>
  </r>
  <r>
    <x v="197"/>
    <x v="197"/>
    <x v="64"/>
    <x v="2"/>
    <x v="4"/>
    <x v="1"/>
    <x v="1"/>
    <x v="20"/>
    <x v="36"/>
    <s v="Pulses Model 3"/>
    <n v="2"/>
    <n v="493"/>
    <n v="0"/>
    <n v="493"/>
    <n v="0.12"/>
    <n v="986"/>
    <n v="118.32"/>
    <x v="196"/>
    <s v="UPI"/>
    <s v="Delivered"/>
    <d v="2024-05-25T00:00:00"/>
    <d v="2024-05-27T00:00:00"/>
    <x v="0"/>
    <x v="0"/>
    <x v="0"/>
    <x v="6"/>
    <s v="Summer Splash"/>
    <x v="2"/>
  </r>
  <r>
    <x v="198"/>
    <x v="198"/>
    <x v="123"/>
    <x v="2"/>
    <x v="2"/>
    <x v="1"/>
    <x v="0"/>
    <x v="0"/>
    <x v="0"/>
    <s v="Air Purifier Model 1"/>
    <n v="3"/>
    <n v="3413"/>
    <n v="0"/>
    <n v="3413"/>
    <n v="0.12"/>
    <n v="10239"/>
    <n v="1228.68"/>
    <x v="197"/>
    <s v="UPI"/>
    <s v="Delivered"/>
    <d v="2025-01-03T00:00:00"/>
    <d v="2025-01-05T00:00:00"/>
    <x v="0"/>
    <x v="0"/>
    <x v="0"/>
    <x v="8"/>
    <s v="Back to School"/>
    <x v="4"/>
  </r>
  <r>
    <x v="199"/>
    <x v="199"/>
    <x v="73"/>
    <x v="2"/>
    <x v="6"/>
    <x v="0"/>
    <x v="3"/>
    <x v="16"/>
    <x v="48"/>
    <s v="Football Model 2"/>
    <n v="2"/>
    <n v="3638"/>
    <n v="0"/>
    <n v="3638"/>
    <n v="0.18"/>
    <n v="7276"/>
    <n v="1309.68"/>
    <x v="198"/>
    <s v="COD"/>
    <s v="In Transit"/>
    <d v="2025-01-24T00:00:00"/>
    <m/>
    <x v="0"/>
    <x v="0"/>
    <x v="0"/>
    <x v="6"/>
    <s v="Festival Fever"/>
    <x v="6"/>
  </r>
  <r>
    <x v="200"/>
    <x v="200"/>
    <x v="124"/>
    <x v="1"/>
    <x v="1"/>
    <x v="0"/>
    <x v="2"/>
    <x v="19"/>
    <x v="39"/>
    <s v="Camera Model 3"/>
    <n v="2"/>
    <n v="5850"/>
    <n v="0.05"/>
    <n v="5557.5"/>
    <n v="0.18"/>
    <n v="11115"/>
    <n v="2000.7"/>
    <x v="199"/>
    <s v="UPI"/>
    <s v="Cancelled"/>
    <m/>
    <m/>
    <x v="0"/>
    <x v="0"/>
    <x v="0"/>
    <x v="2"/>
    <s v="Diwali Blast"/>
    <x v="3"/>
  </r>
  <r>
    <x v="201"/>
    <x v="201"/>
    <x v="125"/>
    <x v="2"/>
    <x v="4"/>
    <x v="1"/>
    <x v="2"/>
    <x v="3"/>
    <x v="5"/>
    <s v="Smartphone Model 3"/>
    <n v="2"/>
    <n v="48916"/>
    <n v="0.05"/>
    <n v="46470.2"/>
    <n v="0.18"/>
    <n v="92940.4"/>
    <n v="16729.272000000001"/>
    <x v="200"/>
    <s v="Credit Card"/>
    <s v="Delivered"/>
    <d v="2024-07-21T00:00:00"/>
    <d v="2024-07-23T00:00:00"/>
    <x v="0"/>
    <x v="0"/>
    <x v="0"/>
    <x v="5"/>
    <s v="Summer Splash"/>
    <x v="6"/>
  </r>
  <r>
    <x v="202"/>
    <x v="202"/>
    <x v="104"/>
    <x v="0"/>
    <x v="13"/>
    <x v="1"/>
    <x v="3"/>
    <x v="11"/>
    <x v="24"/>
    <s v="Cricket Bat Model 3"/>
    <n v="3"/>
    <n v="3380"/>
    <n v="0"/>
    <n v="3380"/>
    <n v="0.18"/>
    <n v="10140"/>
    <n v="1825.2"/>
    <x v="201"/>
    <s v="NetBanking"/>
    <s v="Delivered"/>
    <d v="2025-02-07T00:00:00"/>
    <d v="2025-02-08T00:00:00"/>
    <x v="0"/>
    <x v="0"/>
    <x v="0"/>
    <x v="4"/>
    <s v="Back to School"/>
    <x v="0"/>
  </r>
  <r>
    <x v="203"/>
    <x v="203"/>
    <x v="18"/>
    <x v="0"/>
    <x v="0"/>
    <x v="0"/>
    <x v="4"/>
    <x v="24"/>
    <x v="64"/>
    <s v="Jeans Model 1"/>
    <n v="2"/>
    <n v="2688"/>
    <n v="0.05"/>
    <n v="2553.6"/>
    <n v="0.18"/>
    <n v="5107.2"/>
    <n v="919.29599999999994"/>
    <x v="202"/>
    <s v="Credit Card"/>
    <s v="In Transit"/>
    <d v="2024-12-11T00:00:00"/>
    <m/>
    <x v="0"/>
    <x v="0"/>
    <x v="0"/>
    <x v="8"/>
    <s v="Diwali Blast"/>
    <x v="5"/>
  </r>
  <r>
    <x v="204"/>
    <x v="204"/>
    <x v="95"/>
    <x v="2"/>
    <x v="2"/>
    <x v="1"/>
    <x v="2"/>
    <x v="3"/>
    <x v="57"/>
    <s v="Smartphone Model 1"/>
    <n v="3"/>
    <n v="6367"/>
    <n v="0.1"/>
    <n v="5730.3"/>
    <n v="0.05"/>
    <n v="17190.900000000001"/>
    <n v="859.54500000000007"/>
    <x v="203"/>
    <s v="UPI"/>
    <s v="Delivered"/>
    <d v="2024-04-13T00:00:00"/>
    <d v="2024-04-15T00:00:00"/>
    <x v="0"/>
    <x v="0"/>
    <x v="0"/>
    <x v="5"/>
    <s v="Festival Fever"/>
    <x v="5"/>
  </r>
  <r>
    <x v="205"/>
    <x v="205"/>
    <x v="66"/>
    <x v="0"/>
    <x v="14"/>
    <x v="2"/>
    <x v="4"/>
    <x v="24"/>
    <x v="66"/>
    <s v="Jeans Model 3"/>
    <n v="1"/>
    <n v="518"/>
    <n v="0"/>
    <n v="518"/>
    <n v="0.18"/>
    <n v="518"/>
    <n v="93.24"/>
    <x v="204"/>
    <s v="Debit Card"/>
    <s v="Delivered"/>
    <d v="2025-03-25T00:00:00"/>
    <d v="2025-03-30T00:00:00"/>
    <x v="0"/>
    <x v="0"/>
    <x v="0"/>
    <x v="9"/>
    <s v="Summer Splash"/>
    <x v="4"/>
  </r>
  <r>
    <x v="206"/>
    <x v="206"/>
    <x v="3"/>
    <x v="3"/>
    <x v="3"/>
    <x v="1"/>
    <x v="2"/>
    <x v="23"/>
    <x v="68"/>
    <s v="Smartwatch Model 2"/>
    <n v="1"/>
    <n v="50726"/>
    <n v="0.1"/>
    <n v="45653.4"/>
    <n v="0.05"/>
    <n v="45653.4"/>
    <n v="2282.67"/>
    <x v="205"/>
    <s v="Debit Card"/>
    <s v="Delivered"/>
    <d v="2025-02-13T00:00:00"/>
    <d v="2025-02-16T00:00:00"/>
    <x v="0"/>
    <x v="0"/>
    <x v="0"/>
    <x v="6"/>
    <s v="Diwali Blast"/>
    <x v="6"/>
  </r>
  <r>
    <x v="207"/>
    <x v="207"/>
    <x v="24"/>
    <x v="3"/>
    <x v="3"/>
    <x v="0"/>
    <x v="3"/>
    <x v="4"/>
    <x v="6"/>
    <s v="Tennis Racket Model 3"/>
    <n v="1"/>
    <n v="5985"/>
    <n v="0.1"/>
    <n v="5386.5"/>
    <n v="0.12"/>
    <n v="5386.5"/>
    <n v="646.38"/>
    <x v="206"/>
    <s v="NetBanking"/>
    <s v="In Transit"/>
    <d v="2024-08-13T00:00:00"/>
    <m/>
    <x v="0"/>
    <x v="0"/>
    <x v="0"/>
    <x v="9"/>
    <s v="Clearance"/>
    <x v="1"/>
  </r>
  <r>
    <x v="208"/>
    <x v="208"/>
    <x v="49"/>
    <x v="2"/>
    <x v="4"/>
    <x v="0"/>
    <x v="4"/>
    <x v="17"/>
    <x v="25"/>
    <s v="T-Shirt Model 2"/>
    <n v="1"/>
    <n v="2151"/>
    <n v="0"/>
    <n v="2151"/>
    <n v="0.18"/>
    <n v="2151"/>
    <n v="387.18"/>
    <x v="207"/>
    <s v="Credit Card"/>
    <s v="Returned"/>
    <d v="2024-07-03T00:00:00"/>
    <m/>
    <x v="1"/>
    <x v="16"/>
    <x v="16"/>
    <x v="9"/>
    <s v="Diwali Blast"/>
    <x v="6"/>
  </r>
  <r>
    <x v="209"/>
    <x v="209"/>
    <x v="126"/>
    <x v="3"/>
    <x v="15"/>
    <x v="3"/>
    <x v="3"/>
    <x v="11"/>
    <x v="24"/>
    <s v="Cricket Bat Model 3"/>
    <n v="4"/>
    <n v="9965"/>
    <n v="0.1"/>
    <n v="8968.5"/>
    <n v="0.18"/>
    <n v="35874"/>
    <n v="6457.32"/>
    <x v="208"/>
    <s v="NetBanking"/>
    <s v="In Transit"/>
    <d v="2024-08-25T00:00:00"/>
    <m/>
    <x v="0"/>
    <x v="0"/>
    <x v="0"/>
    <x v="2"/>
    <s v="New Year Sale"/>
    <x v="0"/>
  </r>
  <r>
    <x v="210"/>
    <x v="210"/>
    <x v="127"/>
    <x v="0"/>
    <x v="0"/>
    <x v="0"/>
    <x v="2"/>
    <x v="3"/>
    <x v="56"/>
    <s v="Smartphone Model 2"/>
    <n v="1"/>
    <n v="40804"/>
    <n v="0.05"/>
    <n v="38763.800000000003"/>
    <n v="0.18"/>
    <n v="38763.800000000003"/>
    <n v="6977.4839999999986"/>
    <x v="209"/>
    <s v="COD"/>
    <s v="Delivered"/>
    <d v="2024-08-26T00:00:00"/>
    <d v="2024-08-30T00:00:00"/>
    <x v="0"/>
    <x v="0"/>
    <x v="0"/>
    <x v="2"/>
    <s v="Diwali Blast"/>
    <x v="2"/>
  </r>
  <r>
    <x v="211"/>
    <x v="211"/>
    <x v="128"/>
    <x v="4"/>
    <x v="11"/>
    <x v="1"/>
    <x v="2"/>
    <x v="3"/>
    <x v="5"/>
    <s v="Smartphone Model 3"/>
    <n v="2"/>
    <n v="11937"/>
    <n v="0"/>
    <n v="11937"/>
    <n v="0.18"/>
    <n v="23874"/>
    <n v="4297.32"/>
    <x v="210"/>
    <s v="UPI"/>
    <s v="Delivered"/>
    <d v="2024-04-09T00:00:00"/>
    <d v="2024-04-10T00:00:00"/>
    <x v="0"/>
    <x v="0"/>
    <x v="0"/>
    <x v="6"/>
    <s v="Summer Splash"/>
    <x v="2"/>
  </r>
  <r>
    <x v="212"/>
    <x v="212"/>
    <x v="77"/>
    <x v="4"/>
    <x v="16"/>
    <x v="1"/>
    <x v="2"/>
    <x v="19"/>
    <x v="39"/>
    <s v="Camera Model 3"/>
    <n v="2"/>
    <n v="13754"/>
    <n v="0.1"/>
    <n v="12378.6"/>
    <n v="0.18"/>
    <n v="24757.200000000001"/>
    <n v="4456.2960000000003"/>
    <x v="211"/>
    <s v="Debit Card"/>
    <s v="Delivered"/>
    <d v="2025-01-16T00:00:00"/>
    <d v="2025-01-20T00:00:00"/>
    <x v="0"/>
    <x v="0"/>
    <x v="0"/>
    <x v="3"/>
    <s v="New Year Sale"/>
    <x v="3"/>
  </r>
  <r>
    <x v="213"/>
    <x v="213"/>
    <x v="129"/>
    <x v="2"/>
    <x v="4"/>
    <x v="0"/>
    <x v="3"/>
    <x v="7"/>
    <x v="23"/>
    <s v="Dumbbells Model 1"/>
    <n v="3"/>
    <n v="6592"/>
    <n v="0"/>
    <n v="6592"/>
    <n v="0.12"/>
    <n v="19776"/>
    <n v="2373.12"/>
    <x v="212"/>
    <s v="UPI"/>
    <s v="Delivered"/>
    <d v="2024-05-15T00:00:00"/>
    <d v="2024-05-18T00:00:00"/>
    <x v="0"/>
    <x v="0"/>
    <x v="0"/>
    <x v="8"/>
    <s v="New Year Sale"/>
    <x v="2"/>
  </r>
  <r>
    <x v="214"/>
    <x v="214"/>
    <x v="90"/>
    <x v="2"/>
    <x v="9"/>
    <x v="0"/>
    <x v="3"/>
    <x v="4"/>
    <x v="6"/>
    <s v="Tennis Racket Model 3"/>
    <n v="1"/>
    <n v="1133"/>
    <n v="0"/>
    <n v="1133"/>
    <n v="0.12"/>
    <n v="1133"/>
    <n v="135.96"/>
    <x v="213"/>
    <s v="Credit Card"/>
    <s v="Delivered"/>
    <d v="2025-01-13T00:00:00"/>
    <d v="2025-01-15T00:00:00"/>
    <x v="0"/>
    <x v="0"/>
    <x v="0"/>
    <x v="9"/>
    <s v="Summer Splash"/>
    <x v="1"/>
  </r>
  <r>
    <x v="215"/>
    <x v="215"/>
    <x v="117"/>
    <x v="3"/>
    <x v="10"/>
    <x v="0"/>
    <x v="0"/>
    <x v="22"/>
    <x v="44"/>
    <s v="Mixer Model 3"/>
    <n v="1"/>
    <n v="14458"/>
    <n v="0"/>
    <n v="14458"/>
    <n v="0.18"/>
    <n v="14458"/>
    <n v="2602.44"/>
    <x v="214"/>
    <s v="Debit Card"/>
    <s v="Delivered"/>
    <d v="2024-04-25T00:00:00"/>
    <d v="2024-04-27T00:00:00"/>
    <x v="0"/>
    <x v="0"/>
    <x v="0"/>
    <x v="7"/>
    <s v="Clearance"/>
    <x v="6"/>
  </r>
  <r>
    <x v="216"/>
    <x v="216"/>
    <x v="105"/>
    <x v="0"/>
    <x v="0"/>
    <x v="0"/>
    <x v="0"/>
    <x v="1"/>
    <x v="67"/>
    <s v="Cookware Model 2"/>
    <n v="3"/>
    <n v="13916"/>
    <n v="0.05"/>
    <n v="13220.2"/>
    <n v="0.18"/>
    <n v="39660.6"/>
    <n v="7138.9079999999994"/>
    <x v="215"/>
    <s v="NetBanking"/>
    <s v="Delivered"/>
    <d v="2024-02-09T00:00:00"/>
    <d v="2024-02-14T00:00:00"/>
    <x v="0"/>
    <x v="0"/>
    <x v="0"/>
    <x v="3"/>
    <s v="Diwali Blast"/>
    <x v="0"/>
  </r>
  <r>
    <x v="217"/>
    <x v="217"/>
    <x v="12"/>
    <x v="2"/>
    <x v="4"/>
    <x v="3"/>
    <x v="0"/>
    <x v="22"/>
    <x v="44"/>
    <s v="Mixer Model 3"/>
    <n v="1"/>
    <n v="3203"/>
    <n v="0"/>
    <n v="3203"/>
    <n v="0.18"/>
    <n v="3203"/>
    <n v="576.54"/>
    <x v="216"/>
    <s v="Debit Card"/>
    <s v="Shipped"/>
    <d v="2025-04-05T00:00:00"/>
    <m/>
    <x v="0"/>
    <x v="0"/>
    <x v="0"/>
    <x v="9"/>
    <s v="Festival Fever"/>
    <x v="5"/>
  </r>
  <r>
    <x v="218"/>
    <x v="218"/>
    <x v="54"/>
    <x v="2"/>
    <x v="9"/>
    <x v="1"/>
    <x v="2"/>
    <x v="12"/>
    <x v="46"/>
    <s v="Headphones Model 1"/>
    <n v="2"/>
    <n v="56597"/>
    <n v="0"/>
    <n v="56597"/>
    <n v="0.18"/>
    <n v="113194"/>
    <n v="20374.919999999998"/>
    <x v="217"/>
    <s v="UPI"/>
    <s v="Delivered"/>
    <d v="2024-04-02T00:00:00"/>
    <d v="2024-04-03T00:00:00"/>
    <x v="0"/>
    <x v="0"/>
    <x v="0"/>
    <x v="0"/>
    <s v="Back to School"/>
    <x v="2"/>
  </r>
  <r>
    <x v="219"/>
    <x v="219"/>
    <x v="117"/>
    <x v="3"/>
    <x v="10"/>
    <x v="1"/>
    <x v="4"/>
    <x v="9"/>
    <x v="13"/>
    <s v="Hoodie Model 1"/>
    <n v="1"/>
    <n v="1306"/>
    <n v="0"/>
    <n v="1306"/>
    <n v="0.12"/>
    <n v="1306"/>
    <n v="156.72"/>
    <x v="218"/>
    <s v="NetBanking"/>
    <s v="Delivered"/>
    <d v="2024-05-17T00:00:00"/>
    <d v="2024-05-18T00:00:00"/>
    <x v="0"/>
    <x v="0"/>
    <x v="0"/>
    <x v="9"/>
    <s v="New Year Sale"/>
    <x v="2"/>
  </r>
  <r>
    <x v="220"/>
    <x v="220"/>
    <x v="130"/>
    <x v="1"/>
    <x v="12"/>
    <x v="1"/>
    <x v="0"/>
    <x v="0"/>
    <x v="0"/>
    <s v="Air Purifier Model 1"/>
    <n v="1"/>
    <n v="2044"/>
    <n v="0"/>
    <n v="2044"/>
    <n v="0.12"/>
    <n v="2044"/>
    <n v="245.28"/>
    <x v="219"/>
    <s v="COD"/>
    <s v="Delivered"/>
    <d v="2024-04-09T00:00:00"/>
    <d v="2024-04-12T00:00:00"/>
    <x v="0"/>
    <x v="0"/>
    <x v="0"/>
    <x v="7"/>
    <s v="New Year Sale"/>
    <x v="5"/>
  </r>
  <r>
    <x v="221"/>
    <x v="221"/>
    <x v="123"/>
    <x v="2"/>
    <x v="2"/>
    <x v="1"/>
    <x v="0"/>
    <x v="1"/>
    <x v="67"/>
    <s v="Cookware Model 2"/>
    <n v="1"/>
    <n v="1339"/>
    <n v="0.05"/>
    <n v="1272.05"/>
    <n v="0.12"/>
    <n v="1272.05"/>
    <n v="152.64599999999999"/>
    <x v="220"/>
    <s v="UPI"/>
    <s v="Delivered"/>
    <d v="2024-11-27T00:00:00"/>
    <d v="2024-11-28T00:00:00"/>
    <x v="0"/>
    <x v="0"/>
    <x v="0"/>
    <x v="7"/>
    <s v="Festival Fever"/>
    <x v="2"/>
  </r>
  <r>
    <x v="222"/>
    <x v="222"/>
    <x v="123"/>
    <x v="2"/>
    <x v="2"/>
    <x v="0"/>
    <x v="1"/>
    <x v="6"/>
    <x v="28"/>
    <s v="Oil Model 2"/>
    <n v="3"/>
    <n v="538"/>
    <n v="0"/>
    <n v="538"/>
    <n v="0.18"/>
    <n v="1614"/>
    <n v="290.52"/>
    <x v="221"/>
    <s v="Credit Card"/>
    <s v="In Transit"/>
    <d v="2024-01-18T00:00:00"/>
    <m/>
    <x v="0"/>
    <x v="0"/>
    <x v="0"/>
    <x v="4"/>
    <s v="Summer Splash"/>
    <x v="6"/>
  </r>
  <r>
    <x v="223"/>
    <x v="223"/>
    <x v="38"/>
    <x v="0"/>
    <x v="14"/>
    <x v="0"/>
    <x v="0"/>
    <x v="1"/>
    <x v="38"/>
    <s v="Cookware Model 1"/>
    <n v="2"/>
    <n v="7192"/>
    <n v="0"/>
    <n v="7192"/>
    <n v="0.18"/>
    <n v="14384"/>
    <n v="2589.12"/>
    <x v="222"/>
    <s v="Credit Card"/>
    <s v="In Transit"/>
    <d v="2025-01-07T00:00:00"/>
    <m/>
    <x v="0"/>
    <x v="0"/>
    <x v="0"/>
    <x v="2"/>
    <s v="Monsoon Mania"/>
    <x v="2"/>
  </r>
  <r>
    <x v="224"/>
    <x v="224"/>
    <x v="50"/>
    <x v="3"/>
    <x v="15"/>
    <x v="1"/>
    <x v="3"/>
    <x v="16"/>
    <x v="22"/>
    <s v="Football Model 1"/>
    <n v="3"/>
    <n v="1079"/>
    <n v="0.1"/>
    <n v="971.1"/>
    <n v="0.12"/>
    <n v="2913.3"/>
    <n v="349.596"/>
    <x v="223"/>
    <s v="Credit Card"/>
    <s v="Delivered"/>
    <d v="2024-05-28T00:00:00"/>
    <d v="2024-05-30T00:00:00"/>
    <x v="0"/>
    <x v="0"/>
    <x v="0"/>
    <x v="1"/>
    <s v="Clearance"/>
    <x v="5"/>
  </r>
  <r>
    <x v="225"/>
    <x v="225"/>
    <x v="107"/>
    <x v="1"/>
    <x v="12"/>
    <x v="2"/>
    <x v="2"/>
    <x v="12"/>
    <x v="15"/>
    <s v="Headphones Model 2"/>
    <n v="2"/>
    <n v="25402"/>
    <n v="0"/>
    <n v="25402"/>
    <n v="0.05"/>
    <n v="50804"/>
    <n v="2540.1999999999998"/>
    <x v="224"/>
    <s v="Credit Card"/>
    <s v="Delivered"/>
    <d v="2025-03-17T00:00:00"/>
    <d v="2025-03-21T00:00:00"/>
    <x v="0"/>
    <x v="0"/>
    <x v="0"/>
    <x v="5"/>
    <s v="Clearance"/>
    <x v="6"/>
  </r>
  <r>
    <x v="226"/>
    <x v="226"/>
    <x v="18"/>
    <x v="0"/>
    <x v="0"/>
    <x v="1"/>
    <x v="2"/>
    <x v="3"/>
    <x v="5"/>
    <s v="Smartphone Model 3"/>
    <n v="2"/>
    <n v="57774"/>
    <n v="0"/>
    <n v="57774"/>
    <n v="0.18"/>
    <n v="115548"/>
    <n v="20798.64"/>
    <x v="225"/>
    <s v="NetBanking"/>
    <s v="Delivered"/>
    <d v="2024-06-17T00:00:00"/>
    <d v="2024-06-21T00:00:00"/>
    <x v="0"/>
    <x v="0"/>
    <x v="0"/>
    <x v="4"/>
    <s v="New Year Sale"/>
    <x v="1"/>
  </r>
  <r>
    <x v="227"/>
    <x v="227"/>
    <x v="131"/>
    <x v="1"/>
    <x v="18"/>
    <x v="2"/>
    <x v="3"/>
    <x v="16"/>
    <x v="22"/>
    <s v="Football Model 1"/>
    <n v="2"/>
    <n v="6666"/>
    <n v="0"/>
    <n v="6666"/>
    <n v="0.12"/>
    <n v="13332"/>
    <n v="1599.84"/>
    <x v="226"/>
    <s v="Debit Card"/>
    <s v="Delivered"/>
    <d v="2024-03-16T00:00:00"/>
    <d v="2024-03-21T00:00:00"/>
    <x v="0"/>
    <x v="0"/>
    <x v="0"/>
    <x v="0"/>
    <s v="New Year Sale"/>
    <x v="3"/>
  </r>
  <r>
    <x v="228"/>
    <x v="228"/>
    <x v="69"/>
    <x v="3"/>
    <x v="10"/>
    <x v="2"/>
    <x v="1"/>
    <x v="15"/>
    <x v="21"/>
    <s v="Rice Model 3"/>
    <n v="3"/>
    <n v="1193"/>
    <n v="0"/>
    <n v="1193"/>
    <n v="0.12"/>
    <n v="3579"/>
    <n v="429.48"/>
    <x v="227"/>
    <s v="Credit Card"/>
    <s v="Delivered"/>
    <d v="2024-07-21T00:00:00"/>
    <d v="2024-07-23T00:00:00"/>
    <x v="0"/>
    <x v="0"/>
    <x v="0"/>
    <x v="4"/>
    <s v="New Year Sale"/>
    <x v="1"/>
  </r>
  <r>
    <x v="229"/>
    <x v="229"/>
    <x v="49"/>
    <x v="2"/>
    <x v="4"/>
    <x v="1"/>
    <x v="1"/>
    <x v="15"/>
    <x v="21"/>
    <s v="Rice Model 3"/>
    <n v="2"/>
    <n v="584"/>
    <n v="0.2"/>
    <n v="467.2"/>
    <n v="0.18"/>
    <n v="934.40000000000009"/>
    <n v="168.19200000000001"/>
    <x v="228"/>
    <s v="COD"/>
    <s v="Delivered"/>
    <d v="2024-11-23T00:00:00"/>
    <d v="2024-11-28T00:00:00"/>
    <x v="0"/>
    <x v="0"/>
    <x v="0"/>
    <x v="0"/>
    <s v="New Year Sale"/>
    <x v="5"/>
  </r>
  <r>
    <x v="230"/>
    <x v="230"/>
    <x v="132"/>
    <x v="3"/>
    <x v="15"/>
    <x v="1"/>
    <x v="4"/>
    <x v="17"/>
    <x v="69"/>
    <s v="T-Shirt Model 1"/>
    <n v="4"/>
    <n v="2690"/>
    <n v="0.05"/>
    <n v="2555.5"/>
    <n v="0.18"/>
    <n v="10222"/>
    <n v="1839.96"/>
    <x v="229"/>
    <s v="Credit Card"/>
    <s v="Shipped"/>
    <d v="2024-04-10T00:00:00"/>
    <m/>
    <x v="0"/>
    <x v="0"/>
    <x v="0"/>
    <x v="5"/>
    <s v="New Year Sale"/>
    <x v="5"/>
  </r>
  <r>
    <x v="231"/>
    <x v="231"/>
    <x v="133"/>
    <x v="2"/>
    <x v="9"/>
    <x v="0"/>
    <x v="2"/>
    <x v="23"/>
    <x v="68"/>
    <s v="Smartwatch Model 2"/>
    <n v="4"/>
    <n v="23806"/>
    <n v="0"/>
    <n v="23806"/>
    <n v="0.18"/>
    <n v="95224"/>
    <n v="17140.32"/>
    <x v="230"/>
    <s v="NetBanking"/>
    <s v="Delivered"/>
    <d v="2024-06-13T00:00:00"/>
    <d v="2024-06-16T00:00:00"/>
    <x v="0"/>
    <x v="0"/>
    <x v="0"/>
    <x v="8"/>
    <s v="Clearance"/>
    <x v="6"/>
  </r>
  <r>
    <x v="232"/>
    <x v="232"/>
    <x v="108"/>
    <x v="0"/>
    <x v="14"/>
    <x v="0"/>
    <x v="0"/>
    <x v="22"/>
    <x v="40"/>
    <s v="Mixer Model 2"/>
    <n v="3"/>
    <n v="12446"/>
    <n v="0"/>
    <n v="12446"/>
    <n v="0.18"/>
    <n v="37338"/>
    <n v="6720.84"/>
    <x v="231"/>
    <s v="COD"/>
    <s v="Delivered"/>
    <d v="2024-12-14T00:00:00"/>
    <d v="2024-12-15T00:00:00"/>
    <x v="0"/>
    <x v="0"/>
    <x v="0"/>
    <x v="9"/>
    <s v="Summer Splash"/>
    <x v="2"/>
  </r>
  <r>
    <x v="233"/>
    <x v="233"/>
    <x v="17"/>
    <x v="1"/>
    <x v="1"/>
    <x v="2"/>
    <x v="0"/>
    <x v="22"/>
    <x v="44"/>
    <s v="Mixer Model 3"/>
    <n v="2"/>
    <n v="12821"/>
    <n v="0.15"/>
    <n v="10897.85"/>
    <n v="0.18"/>
    <n v="21795.7"/>
    <n v="3923.2260000000001"/>
    <x v="232"/>
    <s v="Credit Card"/>
    <s v="Shipped"/>
    <d v="2024-05-31T00:00:00"/>
    <m/>
    <x v="0"/>
    <x v="0"/>
    <x v="0"/>
    <x v="9"/>
    <s v="Summer Splash"/>
    <x v="2"/>
  </r>
  <r>
    <x v="234"/>
    <x v="234"/>
    <x v="84"/>
    <x v="4"/>
    <x v="8"/>
    <x v="0"/>
    <x v="3"/>
    <x v="7"/>
    <x v="9"/>
    <s v="Dumbbells Model 3"/>
    <n v="3"/>
    <n v="3736"/>
    <n v="0.1"/>
    <n v="3362.4"/>
    <n v="0.18"/>
    <n v="10087.200000000001"/>
    <n v="1815.6959999999999"/>
    <x v="233"/>
    <s v="UPI"/>
    <s v="Delivered"/>
    <d v="2024-05-22T00:00:00"/>
    <d v="2024-05-23T00:00:00"/>
    <x v="0"/>
    <x v="0"/>
    <x v="0"/>
    <x v="7"/>
    <s v="Clearance"/>
    <x v="5"/>
  </r>
  <r>
    <x v="235"/>
    <x v="235"/>
    <x v="32"/>
    <x v="3"/>
    <x v="15"/>
    <x v="3"/>
    <x v="4"/>
    <x v="24"/>
    <x v="64"/>
    <s v="Jeans Model 1"/>
    <n v="3"/>
    <n v="2164"/>
    <n v="0.05"/>
    <n v="2055.8000000000002"/>
    <n v="0.18"/>
    <n v="6167.4"/>
    <n v="1110.1320000000001"/>
    <x v="234"/>
    <s v="Debit Card"/>
    <s v="Delivered"/>
    <d v="2024-11-02T00:00:00"/>
    <d v="2024-11-07T00:00:00"/>
    <x v="0"/>
    <x v="0"/>
    <x v="0"/>
    <x v="1"/>
    <s v="New Year Sale"/>
    <x v="4"/>
  </r>
  <r>
    <x v="236"/>
    <x v="236"/>
    <x v="134"/>
    <x v="2"/>
    <x v="4"/>
    <x v="0"/>
    <x v="4"/>
    <x v="5"/>
    <x v="19"/>
    <s v="Dress Model 1"/>
    <n v="1"/>
    <n v="2099"/>
    <n v="0"/>
    <n v="2099"/>
    <n v="0.18"/>
    <n v="2099"/>
    <n v="377.82"/>
    <x v="235"/>
    <s v="COD"/>
    <s v="Delivered"/>
    <d v="2025-01-04T00:00:00"/>
    <d v="2025-01-08T00:00:00"/>
    <x v="0"/>
    <x v="0"/>
    <x v="0"/>
    <x v="6"/>
    <s v="Festival Fever"/>
    <x v="5"/>
  </r>
  <r>
    <x v="237"/>
    <x v="237"/>
    <x v="106"/>
    <x v="2"/>
    <x v="4"/>
    <x v="0"/>
    <x v="4"/>
    <x v="17"/>
    <x v="32"/>
    <s v="T-Shirt Model 3"/>
    <n v="1"/>
    <n v="1762"/>
    <n v="0.05"/>
    <n v="1673.9"/>
    <n v="0.12"/>
    <n v="1673.9"/>
    <n v="200.86799999999999"/>
    <x v="236"/>
    <s v="UPI"/>
    <s v="Delivered"/>
    <d v="2024-07-11T00:00:00"/>
    <d v="2024-07-13T00:00:00"/>
    <x v="0"/>
    <x v="0"/>
    <x v="0"/>
    <x v="3"/>
    <s v="New Year Sale"/>
    <x v="6"/>
  </r>
  <r>
    <x v="238"/>
    <x v="238"/>
    <x v="28"/>
    <x v="0"/>
    <x v="14"/>
    <x v="0"/>
    <x v="1"/>
    <x v="2"/>
    <x v="59"/>
    <s v="Snacks Model 2"/>
    <n v="4"/>
    <n v="488"/>
    <n v="0"/>
    <n v="488"/>
    <n v="0.12"/>
    <n v="1952"/>
    <n v="234.24"/>
    <x v="237"/>
    <s v="Credit Card"/>
    <s v="Delivered"/>
    <d v="2025-01-02T00:00:00"/>
    <d v="2025-01-07T00:00:00"/>
    <x v="0"/>
    <x v="0"/>
    <x v="0"/>
    <x v="7"/>
    <s v="Festival Fever"/>
    <x v="4"/>
  </r>
  <r>
    <x v="239"/>
    <x v="239"/>
    <x v="135"/>
    <x v="3"/>
    <x v="3"/>
    <x v="1"/>
    <x v="0"/>
    <x v="14"/>
    <x v="31"/>
    <s v="Vacuum Model 2"/>
    <n v="1"/>
    <n v="9871"/>
    <n v="0.05"/>
    <n v="9377.4499999999989"/>
    <n v="0.12"/>
    <n v="9377.4499999999989"/>
    <n v="1125.2940000000001"/>
    <x v="238"/>
    <s v="UPI"/>
    <s v="Delivered"/>
    <d v="2024-01-19T00:00:00"/>
    <d v="2024-01-20T00:00:00"/>
    <x v="0"/>
    <x v="0"/>
    <x v="0"/>
    <x v="4"/>
    <s v="Monsoon Mania"/>
    <x v="6"/>
  </r>
  <r>
    <x v="240"/>
    <x v="240"/>
    <x v="94"/>
    <x v="3"/>
    <x v="15"/>
    <x v="0"/>
    <x v="0"/>
    <x v="22"/>
    <x v="40"/>
    <s v="Mixer Model 2"/>
    <n v="2"/>
    <n v="8814"/>
    <n v="0"/>
    <n v="8814"/>
    <n v="0.18"/>
    <n v="17628"/>
    <n v="3173.04"/>
    <x v="239"/>
    <s v="COD"/>
    <s v="In Transit"/>
    <d v="2025-01-15T00:00:00"/>
    <m/>
    <x v="0"/>
    <x v="0"/>
    <x v="0"/>
    <x v="5"/>
    <s v="Festival Fever"/>
    <x v="0"/>
  </r>
  <r>
    <x v="241"/>
    <x v="241"/>
    <x v="121"/>
    <x v="2"/>
    <x v="6"/>
    <x v="1"/>
    <x v="0"/>
    <x v="22"/>
    <x v="44"/>
    <s v="Mixer Model 3"/>
    <n v="1"/>
    <n v="12518"/>
    <n v="0.15"/>
    <n v="10640.3"/>
    <n v="0.18"/>
    <n v="10640.3"/>
    <n v="1915.2539999999999"/>
    <x v="240"/>
    <s v="Debit Card"/>
    <s v="Delivered"/>
    <d v="2024-09-01T00:00:00"/>
    <d v="2024-09-05T00:00:00"/>
    <x v="0"/>
    <x v="0"/>
    <x v="0"/>
    <x v="3"/>
    <s v="Monsoon Mania"/>
    <x v="0"/>
  </r>
  <r>
    <x v="242"/>
    <x v="242"/>
    <x v="136"/>
    <x v="3"/>
    <x v="3"/>
    <x v="0"/>
    <x v="0"/>
    <x v="1"/>
    <x v="67"/>
    <s v="Cookware Model 2"/>
    <n v="3"/>
    <n v="9340"/>
    <n v="0.05"/>
    <n v="8873"/>
    <n v="0.12"/>
    <n v="26619"/>
    <n v="3194.28"/>
    <x v="241"/>
    <s v="COD"/>
    <s v="Delivered"/>
    <d v="2025-03-07T00:00:00"/>
    <d v="2025-03-09T00:00:00"/>
    <x v="0"/>
    <x v="0"/>
    <x v="0"/>
    <x v="7"/>
    <s v="Back to School"/>
    <x v="2"/>
  </r>
  <r>
    <x v="243"/>
    <x v="243"/>
    <x v="39"/>
    <x v="4"/>
    <x v="11"/>
    <x v="1"/>
    <x v="3"/>
    <x v="11"/>
    <x v="24"/>
    <s v="Cricket Bat Model 3"/>
    <n v="1"/>
    <n v="2016"/>
    <n v="0.05"/>
    <n v="1915.2"/>
    <n v="0.18"/>
    <n v="1915.2"/>
    <n v="344.73599999999988"/>
    <x v="242"/>
    <s v="UPI"/>
    <s v="Delivered"/>
    <d v="2024-12-01T00:00:00"/>
    <d v="2024-12-02T00:00:00"/>
    <x v="0"/>
    <x v="0"/>
    <x v="0"/>
    <x v="9"/>
    <s v="New Year Sale"/>
    <x v="1"/>
  </r>
  <r>
    <x v="244"/>
    <x v="244"/>
    <x v="137"/>
    <x v="4"/>
    <x v="11"/>
    <x v="0"/>
    <x v="3"/>
    <x v="10"/>
    <x v="30"/>
    <s v="Yoga Mat Model 3"/>
    <n v="2"/>
    <n v="2767"/>
    <n v="0"/>
    <n v="2767"/>
    <n v="0.12"/>
    <n v="5534"/>
    <n v="664.07999999999993"/>
    <x v="243"/>
    <s v="UPI"/>
    <s v="Delivered"/>
    <d v="2024-12-04T00:00:00"/>
    <d v="2024-12-07T00:00:00"/>
    <x v="0"/>
    <x v="0"/>
    <x v="0"/>
    <x v="3"/>
    <s v="Back to School"/>
    <x v="0"/>
  </r>
  <r>
    <x v="245"/>
    <x v="245"/>
    <x v="138"/>
    <x v="1"/>
    <x v="18"/>
    <x v="0"/>
    <x v="4"/>
    <x v="5"/>
    <x v="19"/>
    <s v="Dress Model 1"/>
    <n v="2"/>
    <n v="1214"/>
    <n v="0"/>
    <n v="1214"/>
    <n v="0.18"/>
    <n v="2428"/>
    <n v="437.04"/>
    <x v="244"/>
    <s v="COD"/>
    <s v="Delivered"/>
    <d v="2024-03-30T00:00:00"/>
    <d v="2024-03-31T00:00:00"/>
    <x v="0"/>
    <x v="0"/>
    <x v="0"/>
    <x v="0"/>
    <s v="New Year Sale"/>
    <x v="5"/>
  </r>
  <r>
    <x v="246"/>
    <x v="246"/>
    <x v="29"/>
    <x v="0"/>
    <x v="0"/>
    <x v="0"/>
    <x v="3"/>
    <x v="16"/>
    <x v="70"/>
    <s v="Football Model 3"/>
    <n v="1"/>
    <n v="7588"/>
    <n v="0.2"/>
    <n v="6070.4000000000005"/>
    <n v="0.12"/>
    <n v="6070.4000000000005"/>
    <n v="728.44800000000009"/>
    <x v="245"/>
    <s v="Debit Card"/>
    <s v="Delivered"/>
    <d v="2025-03-13T00:00:00"/>
    <d v="2025-03-18T00:00:00"/>
    <x v="0"/>
    <x v="0"/>
    <x v="0"/>
    <x v="6"/>
    <s v="Clearance"/>
    <x v="4"/>
  </r>
  <r>
    <x v="247"/>
    <x v="247"/>
    <x v="45"/>
    <x v="0"/>
    <x v="14"/>
    <x v="0"/>
    <x v="4"/>
    <x v="5"/>
    <x v="53"/>
    <s v="Dress Model 2"/>
    <n v="2"/>
    <n v="2998"/>
    <n v="0.05"/>
    <n v="2848.1"/>
    <n v="0.12"/>
    <n v="5696.2"/>
    <n v="683.54399999999998"/>
    <x v="246"/>
    <s v="Credit Card"/>
    <s v="Delivered"/>
    <d v="2024-04-24T00:00:00"/>
    <d v="2024-04-28T00:00:00"/>
    <x v="0"/>
    <x v="0"/>
    <x v="0"/>
    <x v="1"/>
    <s v="New Year Sale"/>
    <x v="0"/>
  </r>
  <r>
    <x v="248"/>
    <x v="248"/>
    <x v="98"/>
    <x v="2"/>
    <x v="4"/>
    <x v="1"/>
    <x v="0"/>
    <x v="0"/>
    <x v="2"/>
    <s v="Air Purifier Model 3"/>
    <n v="4"/>
    <n v="13286"/>
    <n v="0.05"/>
    <n v="12621.7"/>
    <n v="0.18"/>
    <n v="50486.8"/>
    <n v="9087.623999999998"/>
    <x v="247"/>
    <s v="Credit Card"/>
    <s v="Delivered"/>
    <d v="2025-03-09T00:00:00"/>
    <d v="2025-03-14T00:00:00"/>
    <x v="0"/>
    <x v="0"/>
    <x v="0"/>
    <x v="2"/>
    <s v="Festival Fever"/>
    <x v="5"/>
  </r>
  <r>
    <x v="249"/>
    <x v="249"/>
    <x v="139"/>
    <x v="2"/>
    <x v="9"/>
    <x v="0"/>
    <x v="4"/>
    <x v="24"/>
    <x v="55"/>
    <s v="Jeans Model 2"/>
    <n v="2"/>
    <n v="999"/>
    <n v="0.15"/>
    <n v="849.15"/>
    <n v="0.18"/>
    <n v="1698.3"/>
    <n v="305.69400000000002"/>
    <x v="248"/>
    <s v="NetBanking"/>
    <s v="Shipped"/>
    <d v="2024-05-15T00:00:00"/>
    <m/>
    <x v="0"/>
    <x v="0"/>
    <x v="0"/>
    <x v="2"/>
    <s v="Back to School"/>
    <x v="4"/>
  </r>
  <r>
    <x v="250"/>
    <x v="250"/>
    <x v="140"/>
    <x v="1"/>
    <x v="18"/>
    <x v="0"/>
    <x v="3"/>
    <x v="4"/>
    <x v="20"/>
    <s v="Tennis Racket Model 1"/>
    <n v="4"/>
    <n v="7133"/>
    <n v="0.1"/>
    <n v="6419.7"/>
    <n v="0.18"/>
    <n v="25678.799999999999"/>
    <n v="4622.1839999999993"/>
    <x v="249"/>
    <s v="UPI"/>
    <s v="Shipped"/>
    <d v="2024-08-14T00:00:00"/>
    <m/>
    <x v="0"/>
    <x v="0"/>
    <x v="0"/>
    <x v="4"/>
    <s v="Summer Splash"/>
    <x v="4"/>
  </r>
  <r>
    <x v="251"/>
    <x v="251"/>
    <x v="141"/>
    <x v="3"/>
    <x v="3"/>
    <x v="2"/>
    <x v="1"/>
    <x v="18"/>
    <x v="26"/>
    <s v="Beverage Model 2"/>
    <n v="1"/>
    <n v="627"/>
    <n v="0"/>
    <n v="627"/>
    <n v="0.05"/>
    <n v="627"/>
    <n v="31.35"/>
    <x v="250"/>
    <s v="NetBanking"/>
    <s v="Shipped"/>
    <d v="2024-04-08T00:00:00"/>
    <m/>
    <x v="0"/>
    <x v="0"/>
    <x v="0"/>
    <x v="6"/>
    <s v="Festival Fever"/>
    <x v="4"/>
  </r>
  <r>
    <x v="252"/>
    <x v="252"/>
    <x v="26"/>
    <x v="1"/>
    <x v="12"/>
    <x v="1"/>
    <x v="0"/>
    <x v="1"/>
    <x v="38"/>
    <s v="Cookware Model 1"/>
    <n v="1"/>
    <n v="12161"/>
    <n v="0.1"/>
    <n v="10944.9"/>
    <n v="0.18"/>
    <n v="10944.9"/>
    <n v="1970.0820000000001"/>
    <x v="251"/>
    <s v="Credit Card"/>
    <s v="Delivered"/>
    <d v="2024-07-02T00:00:00"/>
    <d v="2024-07-07T00:00:00"/>
    <x v="0"/>
    <x v="0"/>
    <x v="0"/>
    <x v="6"/>
    <s v="Clearance"/>
    <x v="6"/>
  </r>
  <r>
    <x v="253"/>
    <x v="253"/>
    <x v="102"/>
    <x v="0"/>
    <x v="13"/>
    <x v="0"/>
    <x v="3"/>
    <x v="16"/>
    <x v="48"/>
    <s v="Football Model 2"/>
    <n v="3"/>
    <n v="8856"/>
    <n v="0.05"/>
    <n v="8413.1999999999989"/>
    <n v="0.05"/>
    <n v="25239.599999999999"/>
    <n v="1261.98"/>
    <x v="252"/>
    <s v="Credit Card"/>
    <s v="Delivered"/>
    <d v="2024-04-27T00:00:00"/>
    <d v="2024-04-29T00:00:00"/>
    <x v="0"/>
    <x v="0"/>
    <x v="0"/>
    <x v="6"/>
    <s v="New Year Sale"/>
    <x v="5"/>
  </r>
  <r>
    <x v="254"/>
    <x v="254"/>
    <x v="11"/>
    <x v="2"/>
    <x v="9"/>
    <x v="0"/>
    <x v="4"/>
    <x v="9"/>
    <x v="18"/>
    <s v="Hoodie Model 2"/>
    <n v="2"/>
    <n v="2505"/>
    <n v="0.15"/>
    <n v="2129.25"/>
    <n v="0.18"/>
    <n v="4258.5"/>
    <n v="766.53"/>
    <x v="253"/>
    <s v="COD"/>
    <s v="Delivered"/>
    <d v="2025-01-04T00:00:00"/>
    <d v="2025-01-05T00:00:00"/>
    <x v="0"/>
    <x v="0"/>
    <x v="0"/>
    <x v="5"/>
    <s v="Festival Fever"/>
    <x v="0"/>
  </r>
  <r>
    <x v="255"/>
    <x v="255"/>
    <x v="103"/>
    <x v="1"/>
    <x v="5"/>
    <x v="0"/>
    <x v="0"/>
    <x v="22"/>
    <x v="40"/>
    <s v="Mixer Model 2"/>
    <n v="1"/>
    <n v="10738"/>
    <n v="0"/>
    <n v="10738"/>
    <n v="0.12"/>
    <n v="10738"/>
    <n v="1288.56"/>
    <x v="254"/>
    <s v="UPI"/>
    <s v="Delivered"/>
    <d v="2025-03-30T00:00:00"/>
    <d v="2025-04-03T00:00:00"/>
    <x v="0"/>
    <x v="0"/>
    <x v="0"/>
    <x v="4"/>
    <s v="Clearance"/>
    <x v="0"/>
  </r>
  <r>
    <x v="256"/>
    <x v="256"/>
    <x v="24"/>
    <x v="3"/>
    <x v="3"/>
    <x v="0"/>
    <x v="1"/>
    <x v="18"/>
    <x v="29"/>
    <s v="Beverage Model 1"/>
    <n v="2"/>
    <n v="1177"/>
    <n v="0"/>
    <n v="1177"/>
    <n v="0.18"/>
    <n v="2354"/>
    <n v="423.72"/>
    <x v="255"/>
    <s v="Debit Card"/>
    <s v="Returned"/>
    <d v="2024-11-19T00:00:00"/>
    <m/>
    <x v="1"/>
    <x v="17"/>
    <x v="17"/>
    <x v="8"/>
    <s v="Summer Splash"/>
    <x v="0"/>
  </r>
  <r>
    <x v="257"/>
    <x v="257"/>
    <x v="134"/>
    <x v="2"/>
    <x v="4"/>
    <x v="2"/>
    <x v="0"/>
    <x v="14"/>
    <x v="60"/>
    <s v="Vacuum Model 1"/>
    <n v="3"/>
    <n v="14864"/>
    <n v="0.05"/>
    <n v="14120.8"/>
    <n v="0.05"/>
    <n v="42362.399999999987"/>
    <n v="2118.12"/>
    <x v="256"/>
    <s v="UPI"/>
    <s v="Delivered"/>
    <d v="2024-04-29T00:00:00"/>
    <d v="2024-05-01T00:00:00"/>
    <x v="0"/>
    <x v="0"/>
    <x v="0"/>
    <x v="5"/>
    <s v="Summer Splash"/>
    <x v="5"/>
  </r>
  <r>
    <x v="258"/>
    <x v="258"/>
    <x v="78"/>
    <x v="2"/>
    <x v="2"/>
    <x v="0"/>
    <x v="3"/>
    <x v="16"/>
    <x v="22"/>
    <s v="Football Model 1"/>
    <n v="4"/>
    <n v="4519"/>
    <n v="0"/>
    <n v="4519"/>
    <n v="0.05"/>
    <n v="18076"/>
    <n v="903.80000000000007"/>
    <x v="257"/>
    <s v="Credit Card"/>
    <s v="Delivered"/>
    <d v="2024-02-21T00:00:00"/>
    <d v="2024-02-26T00:00:00"/>
    <x v="0"/>
    <x v="0"/>
    <x v="0"/>
    <x v="1"/>
    <s v="Back to School"/>
    <x v="6"/>
  </r>
  <r>
    <x v="259"/>
    <x v="259"/>
    <x v="24"/>
    <x v="3"/>
    <x v="3"/>
    <x v="1"/>
    <x v="4"/>
    <x v="9"/>
    <x v="13"/>
    <s v="Hoodie Model 1"/>
    <n v="1"/>
    <n v="751"/>
    <n v="0"/>
    <n v="751"/>
    <n v="0.05"/>
    <n v="751"/>
    <n v="37.549999999999997"/>
    <x v="258"/>
    <s v="UPI"/>
    <s v="Cancelled"/>
    <m/>
    <m/>
    <x v="0"/>
    <x v="0"/>
    <x v="0"/>
    <x v="0"/>
    <s v="Back to School"/>
    <x v="0"/>
  </r>
  <r>
    <x v="260"/>
    <x v="260"/>
    <x v="135"/>
    <x v="3"/>
    <x v="3"/>
    <x v="2"/>
    <x v="0"/>
    <x v="14"/>
    <x v="31"/>
    <s v="Vacuum Model 2"/>
    <n v="3"/>
    <n v="3537"/>
    <n v="0"/>
    <n v="3537"/>
    <n v="0.12"/>
    <n v="10611"/>
    <n v="1273.32"/>
    <x v="259"/>
    <s v="Credit Card"/>
    <s v="Delivered"/>
    <d v="2024-08-01T00:00:00"/>
    <d v="2024-08-04T00:00:00"/>
    <x v="0"/>
    <x v="0"/>
    <x v="0"/>
    <x v="6"/>
    <s v="Festival Fever"/>
    <x v="5"/>
  </r>
  <r>
    <x v="261"/>
    <x v="261"/>
    <x v="142"/>
    <x v="3"/>
    <x v="3"/>
    <x v="2"/>
    <x v="1"/>
    <x v="20"/>
    <x v="36"/>
    <s v="Pulses Model 3"/>
    <n v="4"/>
    <n v="646"/>
    <n v="0.05"/>
    <n v="613.69999999999993"/>
    <n v="0.05"/>
    <n v="2454.8000000000002"/>
    <n v="122.74"/>
    <x v="260"/>
    <s v="Credit Card"/>
    <s v="Delivered"/>
    <d v="2024-07-04T00:00:00"/>
    <d v="2024-07-09T00:00:00"/>
    <x v="0"/>
    <x v="0"/>
    <x v="0"/>
    <x v="4"/>
    <s v="Festival Fever"/>
    <x v="2"/>
  </r>
  <r>
    <x v="262"/>
    <x v="262"/>
    <x v="39"/>
    <x v="4"/>
    <x v="11"/>
    <x v="1"/>
    <x v="2"/>
    <x v="19"/>
    <x v="35"/>
    <s v="Camera Model 2"/>
    <n v="3"/>
    <n v="51104"/>
    <n v="0"/>
    <n v="51104"/>
    <n v="0.18"/>
    <n v="153312"/>
    <n v="27596.16"/>
    <x v="261"/>
    <s v="UPI"/>
    <s v="Shipped"/>
    <d v="2024-02-12T00:00:00"/>
    <m/>
    <x v="0"/>
    <x v="0"/>
    <x v="0"/>
    <x v="5"/>
    <s v="Back to School"/>
    <x v="6"/>
  </r>
  <r>
    <x v="263"/>
    <x v="263"/>
    <x v="143"/>
    <x v="2"/>
    <x v="9"/>
    <x v="0"/>
    <x v="2"/>
    <x v="12"/>
    <x v="61"/>
    <s v="Headphones Model 3"/>
    <n v="2"/>
    <n v="16584"/>
    <n v="0.05"/>
    <n v="15754.8"/>
    <n v="0.05"/>
    <n v="31509.599999999999"/>
    <n v="1575.48"/>
    <x v="262"/>
    <s v="Debit Card"/>
    <s v="In Transit"/>
    <d v="2024-04-09T00:00:00"/>
    <m/>
    <x v="0"/>
    <x v="0"/>
    <x v="0"/>
    <x v="4"/>
    <s v="Back to School"/>
    <x v="3"/>
  </r>
  <r>
    <x v="264"/>
    <x v="264"/>
    <x v="67"/>
    <x v="3"/>
    <x v="3"/>
    <x v="2"/>
    <x v="1"/>
    <x v="2"/>
    <x v="59"/>
    <s v="Snacks Model 2"/>
    <n v="1"/>
    <n v="1027"/>
    <n v="0"/>
    <n v="1027"/>
    <n v="0.12"/>
    <n v="1027"/>
    <n v="123.24"/>
    <x v="263"/>
    <s v="UPI"/>
    <s v="Shipped"/>
    <d v="2025-04-07T00:00:00"/>
    <m/>
    <x v="0"/>
    <x v="0"/>
    <x v="0"/>
    <x v="7"/>
    <s v="Festival Fever"/>
    <x v="5"/>
  </r>
  <r>
    <x v="265"/>
    <x v="265"/>
    <x v="103"/>
    <x v="1"/>
    <x v="5"/>
    <x v="0"/>
    <x v="3"/>
    <x v="16"/>
    <x v="48"/>
    <s v="Football Model 2"/>
    <n v="2"/>
    <n v="3804"/>
    <n v="0.05"/>
    <n v="3613.8"/>
    <n v="0.18"/>
    <n v="7227.5999999999995"/>
    <n v="1300.9680000000001"/>
    <x v="264"/>
    <s v="UPI"/>
    <s v="Delivered"/>
    <d v="2024-12-08T00:00:00"/>
    <d v="2024-12-13T00:00:00"/>
    <x v="0"/>
    <x v="0"/>
    <x v="0"/>
    <x v="2"/>
    <s v="Festival Fever"/>
    <x v="3"/>
  </r>
  <r>
    <x v="266"/>
    <x v="266"/>
    <x v="86"/>
    <x v="3"/>
    <x v="10"/>
    <x v="1"/>
    <x v="1"/>
    <x v="6"/>
    <x v="28"/>
    <s v="Oil Model 2"/>
    <n v="1"/>
    <n v="817"/>
    <n v="0"/>
    <n v="817"/>
    <n v="0.18"/>
    <n v="817"/>
    <n v="147.06"/>
    <x v="265"/>
    <s v="Debit Card"/>
    <s v="In Transit"/>
    <d v="2024-07-09T00:00:00"/>
    <m/>
    <x v="0"/>
    <x v="0"/>
    <x v="0"/>
    <x v="6"/>
    <s v="Clearance"/>
    <x v="6"/>
  </r>
  <r>
    <x v="267"/>
    <x v="267"/>
    <x v="52"/>
    <x v="1"/>
    <x v="1"/>
    <x v="0"/>
    <x v="2"/>
    <x v="12"/>
    <x v="46"/>
    <s v="Headphones Model 1"/>
    <n v="2"/>
    <n v="29926"/>
    <n v="0.1"/>
    <n v="26933.4"/>
    <n v="0.12"/>
    <n v="53866.8"/>
    <n v="6464.0160000000014"/>
    <x v="266"/>
    <s v="UPI"/>
    <s v="Delivered"/>
    <d v="2024-12-03T00:00:00"/>
    <d v="2024-12-04T00:00:00"/>
    <x v="0"/>
    <x v="0"/>
    <x v="0"/>
    <x v="6"/>
    <s v="Summer Splash"/>
    <x v="4"/>
  </r>
  <r>
    <x v="268"/>
    <x v="268"/>
    <x v="128"/>
    <x v="4"/>
    <x v="11"/>
    <x v="1"/>
    <x v="3"/>
    <x v="4"/>
    <x v="20"/>
    <s v="Tennis Racket Model 1"/>
    <n v="3"/>
    <n v="7390"/>
    <n v="0.15"/>
    <n v="6281.5"/>
    <n v="0.12"/>
    <n v="18844.5"/>
    <n v="2261.34"/>
    <x v="267"/>
    <s v="Credit Card"/>
    <s v="Delivered"/>
    <d v="2024-09-20T00:00:00"/>
    <d v="2024-09-21T00:00:00"/>
    <x v="0"/>
    <x v="0"/>
    <x v="0"/>
    <x v="9"/>
    <s v="Clearance"/>
    <x v="2"/>
  </r>
  <r>
    <x v="269"/>
    <x v="269"/>
    <x v="85"/>
    <x v="2"/>
    <x v="9"/>
    <x v="3"/>
    <x v="3"/>
    <x v="4"/>
    <x v="71"/>
    <s v="Tennis Racket Model 2"/>
    <n v="1"/>
    <n v="5147"/>
    <n v="0.15"/>
    <n v="4374.95"/>
    <n v="0.05"/>
    <n v="4374.95"/>
    <n v="218.7475"/>
    <x v="268"/>
    <s v="NetBanking"/>
    <s v="Delivered"/>
    <d v="2024-01-16T00:00:00"/>
    <d v="2024-01-19T00:00:00"/>
    <x v="0"/>
    <x v="0"/>
    <x v="0"/>
    <x v="0"/>
    <s v="Back to School"/>
    <x v="2"/>
  </r>
  <r>
    <x v="270"/>
    <x v="270"/>
    <x v="24"/>
    <x v="3"/>
    <x v="3"/>
    <x v="0"/>
    <x v="1"/>
    <x v="2"/>
    <x v="62"/>
    <s v="Snacks Model 3"/>
    <n v="1"/>
    <n v="579"/>
    <n v="0"/>
    <n v="579"/>
    <n v="0.12"/>
    <n v="579"/>
    <n v="69.48"/>
    <x v="269"/>
    <s v="Credit Card"/>
    <s v="Delivered"/>
    <d v="2025-04-08T00:00:00"/>
    <d v="2025-04-10T00:00:00"/>
    <x v="0"/>
    <x v="0"/>
    <x v="0"/>
    <x v="3"/>
    <s v="New Year Sale"/>
    <x v="0"/>
  </r>
  <r>
    <x v="271"/>
    <x v="271"/>
    <x v="144"/>
    <x v="2"/>
    <x v="2"/>
    <x v="0"/>
    <x v="2"/>
    <x v="19"/>
    <x v="39"/>
    <s v="Camera Model 3"/>
    <n v="3"/>
    <n v="19091"/>
    <n v="0.1"/>
    <n v="17181.900000000001"/>
    <n v="0.12"/>
    <n v="51545.7"/>
    <n v="6185.4840000000004"/>
    <x v="270"/>
    <s v="Credit Card"/>
    <s v="Delivered"/>
    <d v="2024-05-20T00:00:00"/>
    <d v="2024-05-21T00:00:00"/>
    <x v="0"/>
    <x v="0"/>
    <x v="0"/>
    <x v="1"/>
    <s v="Monsoon Mania"/>
    <x v="2"/>
  </r>
  <r>
    <x v="272"/>
    <x v="272"/>
    <x v="145"/>
    <x v="4"/>
    <x v="11"/>
    <x v="2"/>
    <x v="0"/>
    <x v="1"/>
    <x v="67"/>
    <s v="Cookware Model 2"/>
    <n v="2"/>
    <n v="13148"/>
    <n v="0"/>
    <n v="13148"/>
    <n v="0.18"/>
    <n v="26296"/>
    <n v="4733.28"/>
    <x v="271"/>
    <s v="Credit Card"/>
    <s v="In Transit"/>
    <d v="2024-12-14T00:00:00"/>
    <m/>
    <x v="0"/>
    <x v="0"/>
    <x v="0"/>
    <x v="9"/>
    <s v="Clearance"/>
    <x v="3"/>
  </r>
  <r>
    <x v="273"/>
    <x v="273"/>
    <x v="3"/>
    <x v="3"/>
    <x v="3"/>
    <x v="0"/>
    <x v="3"/>
    <x v="7"/>
    <x v="33"/>
    <s v="Dumbbells Model 2"/>
    <n v="2"/>
    <n v="4173"/>
    <n v="0"/>
    <n v="4173"/>
    <n v="0.05"/>
    <n v="8346"/>
    <n v="417.3"/>
    <x v="272"/>
    <s v="Debit Card"/>
    <s v="Delivered"/>
    <d v="2024-10-05T00:00:00"/>
    <d v="2024-10-10T00:00:00"/>
    <x v="0"/>
    <x v="0"/>
    <x v="0"/>
    <x v="4"/>
    <s v="Back to School"/>
    <x v="3"/>
  </r>
  <r>
    <x v="274"/>
    <x v="274"/>
    <x v="63"/>
    <x v="1"/>
    <x v="1"/>
    <x v="0"/>
    <x v="0"/>
    <x v="1"/>
    <x v="67"/>
    <s v="Cookware Model 2"/>
    <n v="1"/>
    <n v="12193"/>
    <n v="0"/>
    <n v="12193"/>
    <n v="0.18"/>
    <n v="12193"/>
    <n v="2194.7399999999998"/>
    <x v="273"/>
    <s v="COD"/>
    <s v="In Transit"/>
    <d v="2024-02-17T00:00:00"/>
    <m/>
    <x v="0"/>
    <x v="0"/>
    <x v="0"/>
    <x v="7"/>
    <s v="Festival Fever"/>
    <x v="4"/>
  </r>
  <r>
    <x v="275"/>
    <x v="275"/>
    <x v="10"/>
    <x v="2"/>
    <x v="2"/>
    <x v="0"/>
    <x v="2"/>
    <x v="13"/>
    <x v="41"/>
    <s v="Laptop Model 3"/>
    <n v="3"/>
    <n v="27422"/>
    <n v="0"/>
    <n v="27422"/>
    <n v="0.12"/>
    <n v="82266"/>
    <n v="9871.92"/>
    <x v="274"/>
    <s v="Credit Card"/>
    <s v="Shipped"/>
    <d v="2024-03-03T00:00:00"/>
    <m/>
    <x v="0"/>
    <x v="0"/>
    <x v="0"/>
    <x v="5"/>
    <s v="Diwali Blast"/>
    <x v="2"/>
  </r>
  <r>
    <x v="276"/>
    <x v="276"/>
    <x v="61"/>
    <x v="0"/>
    <x v="13"/>
    <x v="1"/>
    <x v="4"/>
    <x v="24"/>
    <x v="64"/>
    <s v="Jeans Model 1"/>
    <n v="2"/>
    <n v="1705"/>
    <n v="0.15"/>
    <n v="1449.25"/>
    <n v="0.18"/>
    <n v="2898.5"/>
    <n v="521.73"/>
    <x v="275"/>
    <s v="UPI"/>
    <s v="Delivered"/>
    <d v="2024-02-29T00:00:00"/>
    <d v="2024-03-01T00:00:00"/>
    <x v="0"/>
    <x v="0"/>
    <x v="0"/>
    <x v="9"/>
    <s v="Summer Splash"/>
    <x v="3"/>
  </r>
  <r>
    <x v="277"/>
    <x v="277"/>
    <x v="71"/>
    <x v="1"/>
    <x v="1"/>
    <x v="1"/>
    <x v="4"/>
    <x v="24"/>
    <x v="66"/>
    <s v="Jeans Model 3"/>
    <n v="2"/>
    <n v="528"/>
    <n v="0.1"/>
    <n v="475.2"/>
    <n v="0.12"/>
    <n v="950.4"/>
    <n v="114.048"/>
    <x v="276"/>
    <s v="Debit Card"/>
    <s v="Delivered"/>
    <d v="2024-09-24T00:00:00"/>
    <d v="2024-09-29T00:00:00"/>
    <x v="0"/>
    <x v="0"/>
    <x v="0"/>
    <x v="0"/>
    <s v="New Year Sale"/>
    <x v="0"/>
  </r>
  <r>
    <x v="278"/>
    <x v="278"/>
    <x v="123"/>
    <x v="2"/>
    <x v="2"/>
    <x v="1"/>
    <x v="2"/>
    <x v="13"/>
    <x v="50"/>
    <s v="Laptop Model 2"/>
    <n v="1"/>
    <n v="31808"/>
    <n v="0"/>
    <n v="31808"/>
    <n v="0.18"/>
    <n v="31808"/>
    <n v="5725.44"/>
    <x v="277"/>
    <s v="Credit Card"/>
    <s v="Delivered"/>
    <d v="2024-04-06T00:00:00"/>
    <d v="2024-04-07T00:00:00"/>
    <x v="0"/>
    <x v="0"/>
    <x v="0"/>
    <x v="8"/>
    <s v="Monsoon Mania"/>
    <x v="2"/>
  </r>
  <r>
    <x v="279"/>
    <x v="279"/>
    <x v="45"/>
    <x v="0"/>
    <x v="14"/>
    <x v="0"/>
    <x v="4"/>
    <x v="5"/>
    <x v="7"/>
    <s v="Dress Model 3"/>
    <n v="2"/>
    <n v="2935"/>
    <n v="0.1"/>
    <n v="2641.5"/>
    <n v="0.12"/>
    <n v="5283"/>
    <n v="633.95999999999992"/>
    <x v="278"/>
    <s v="UPI"/>
    <s v="Shipped"/>
    <d v="2024-10-09T00:00:00"/>
    <m/>
    <x v="0"/>
    <x v="0"/>
    <x v="0"/>
    <x v="8"/>
    <s v="Diwali Blast"/>
    <x v="1"/>
  </r>
  <r>
    <x v="280"/>
    <x v="280"/>
    <x v="64"/>
    <x v="2"/>
    <x v="4"/>
    <x v="2"/>
    <x v="2"/>
    <x v="13"/>
    <x v="16"/>
    <s v="Laptop Model 1"/>
    <n v="3"/>
    <n v="25440"/>
    <n v="0.15"/>
    <n v="21624"/>
    <n v="0.12"/>
    <n v="64872"/>
    <n v="7784.6399999999994"/>
    <x v="279"/>
    <s v="Credit Card"/>
    <s v="Delivered"/>
    <d v="2024-09-07T00:00:00"/>
    <d v="2024-09-09T00:00:00"/>
    <x v="0"/>
    <x v="0"/>
    <x v="0"/>
    <x v="9"/>
    <s v="Diwali Blast"/>
    <x v="0"/>
  </r>
  <r>
    <x v="281"/>
    <x v="281"/>
    <x v="57"/>
    <x v="4"/>
    <x v="17"/>
    <x v="0"/>
    <x v="0"/>
    <x v="21"/>
    <x v="37"/>
    <s v="Lamp Model 3"/>
    <n v="2"/>
    <n v="12490"/>
    <n v="0.15"/>
    <n v="10616.5"/>
    <n v="0.18"/>
    <n v="21233"/>
    <n v="3821.94"/>
    <x v="280"/>
    <s v="UPI"/>
    <s v="Delivered"/>
    <d v="2024-05-16T00:00:00"/>
    <d v="2024-05-19T00:00:00"/>
    <x v="0"/>
    <x v="0"/>
    <x v="0"/>
    <x v="4"/>
    <s v="Clearance"/>
    <x v="4"/>
  </r>
  <r>
    <x v="282"/>
    <x v="282"/>
    <x v="87"/>
    <x v="3"/>
    <x v="7"/>
    <x v="3"/>
    <x v="4"/>
    <x v="8"/>
    <x v="10"/>
    <s v="Jacket Model 3"/>
    <n v="4"/>
    <n v="1779"/>
    <n v="0.05"/>
    <n v="1690.05"/>
    <n v="0.18"/>
    <n v="6760.2"/>
    <n v="1216.836"/>
    <x v="281"/>
    <s v="Credit Card"/>
    <s v="Delivered"/>
    <d v="2024-07-17T00:00:00"/>
    <d v="2024-07-20T00:00:00"/>
    <x v="0"/>
    <x v="0"/>
    <x v="0"/>
    <x v="7"/>
    <s v="New Year Sale"/>
    <x v="6"/>
  </r>
  <r>
    <x v="283"/>
    <x v="283"/>
    <x v="121"/>
    <x v="2"/>
    <x v="6"/>
    <x v="3"/>
    <x v="0"/>
    <x v="0"/>
    <x v="2"/>
    <s v="Air Purifier Model 3"/>
    <n v="1"/>
    <n v="5595"/>
    <n v="0"/>
    <n v="5595"/>
    <n v="0.05"/>
    <n v="5595"/>
    <n v="279.75"/>
    <x v="282"/>
    <s v="Credit Card"/>
    <s v="Delivered"/>
    <d v="2024-10-09T00:00:00"/>
    <d v="2024-10-12T00:00:00"/>
    <x v="0"/>
    <x v="0"/>
    <x v="0"/>
    <x v="8"/>
    <s v="Monsoon Mania"/>
    <x v="3"/>
  </r>
  <r>
    <x v="284"/>
    <x v="284"/>
    <x v="135"/>
    <x v="3"/>
    <x v="3"/>
    <x v="0"/>
    <x v="0"/>
    <x v="22"/>
    <x v="44"/>
    <s v="Mixer Model 3"/>
    <n v="2"/>
    <n v="5456"/>
    <n v="0"/>
    <n v="5456"/>
    <n v="0.18"/>
    <n v="10912"/>
    <n v="1964.16"/>
    <x v="283"/>
    <s v="UPI"/>
    <s v="Returned"/>
    <d v="2024-08-27T00:00:00"/>
    <m/>
    <x v="1"/>
    <x v="18"/>
    <x v="18"/>
    <x v="8"/>
    <s v="Back to School"/>
    <x v="2"/>
  </r>
  <r>
    <x v="285"/>
    <x v="285"/>
    <x v="62"/>
    <x v="2"/>
    <x v="2"/>
    <x v="1"/>
    <x v="4"/>
    <x v="5"/>
    <x v="19"/>
    <s v="Dress Model 1"/>
    <n v="1"/>
    <n v="1845"/>
    <n v="0.1"/>
    <n v="1660.5"/>
    <n v="0.18"/>
    <n v="1660.5"/>
    <n v="298.89"/>
    <x v="284"/>
    <s v="UPI"/>
    <s v="Delivered"/>
    <d v="2024-03-06T00:00:00"/>
    <d v="2024-03-11T00:00:00"/>
    <x v="0"/>
    <x v="0"/>
    <x v="0"/>
    <x v="8"/>
    <s v="Clearance"/>
    <x v="5"/>
  </r>
  <r>
    <x v="286"/>
    <x v="286"/>
    <x v="47"/>
    <x v="2"/>
    <x v="6"/>
    <x v="3"/>
    <x v="4"/>
    <x v="8"/>
    <x v="10"/>
    <s v="Jacket Model 3"/>
    <n v="3"/>
    <n v="2230"/>
    <n v="0.1"/>
    <n v="2007"/>
    <n v="0.18"/>
    <n v="6021"/>
    <n v="1083.78"/>
    <x v="285"/>
    <s v="Credit Card"/>
    <s v="Delivered"/>
    <d v="2024-01-12T00:00:00"/>
    <d v="2024-01-13T00:00:00"/>
    <x v="0"/>
    <x v="0"/>
    <x v="0"/>
    <x v="1"/>
    <s v="New Year Sale"/>
    <x v="3"/>
  </r>
  <r>
    <x v="287"/>
    <x v="287"/>
    <x v="55"/>
    <x v="4"/>
    <x v="8"/>
    <x v="0"/>
    <x v="1"/>
    <x v="18"/>
    <x v="42"/>
    <s v="Beverage Model 3"/>
    <n v="2"/>
    <n v="780"/>
    <n v="0.2"/>
    <n v="624"/>
    <n v="0.12"/>
    <n v="1248"/>
    <n v="149.76"/>
    <x v="286"/>
    <s v="Credit Card"/>
    <s v="Returned"/>
    <d v="2024-10-26T00:00:00"/>
    <m/>
    <x v="1"/>
    <x v="19"/>
    <x v="19"/>
    <x v="9"/>
    <s v="Diwali Blast"/>
    <x v="4"/>
  </r>
  <r>
    <x v="288"/>
    <x v="288"/>
    <x v="9"/>
    <x v="4"/>
    <x v="8"/>
    <x v="0"/>
    <x v="4"/>
    <x v="8"/>
    <x v="72"/>
    <s v="Jacket Model 2"/>
    <n v="4"/>
    <n v="1953"/>
    <n v="0"/>
    <n v="1953"/>
    <n v="0.18"/>
    <n v="7812"/>
    <n v="1406.16"/>
    <x v="287"/>
    <s v="NetBanking"/>
    <s v="Shipped"/>
    <d v="2024-05-11T00:00:00"/>
    <m/>
    <x v="0"/>
    <x v="0"/>
    <x v="0"/>
    <x v="2"/>
    <s v="Festival Fever"/>
    <x v="5"/>
  </r>
  <r>
    <x v="289"/>
    <x v="289"/>
    <x v="58"/>
    <x v="4"/>
    <x v="11"/>
    <x v="1"/>
    <x v="3"/>
    <x v="11"/>
    <x v="14"/>
    <s v="Cricket Bat Model 1"/>
    <n v="4"/>
    <n v="7206"/>
    <n v="0.05"/>
    <n v="6845.7"/>
    <n v="0.12"/>
    <n v="27382.799999999999"/>
    <n v="3285.9360000000001"/>
    <x v="288"/>
    <s v="Debit Card"/>
    <s v="Delivered"/>
    <d v="2025-03-04T00:00:00"/>
    <d v="2025-03-06T00:00:00"/>
    <x v="0"/>
    <x v="0"/>
    <x v="0"/>
    <x v="5"/>
    <s v="New Year Sale"/>
    <x v="2"/>
  </r>
  <r>
    <x v="290"/>
    <x v="290"/>
    <x v="142"/>
    <x v="3"/>
    <x v="3"/>
    <x v="0"/>
    <x v="3"/>
    <x v="11"/>
    <x v="14"/>
    <s v="Cricket Bat Model 1"/>
    <n v="2"/>
    <n v="9025"/>
    <n v="0"/>
    <n v="9025"/>
    <n v="0.18"/>
    <n v="18050"/>
    <n v="3249"/>
    <x v="289"/>
    <s v="Debit Card"/>
    <s v="Delivered"/>
    <d v="2024-08-06T00:00:00"/>
    <d v="2024-08-08T00:00:00"/>
    <x v="0"/>
    <x v="0"/>
    <x v="0"/>
    <x v="2"/>
    <s v="Back to School"/>
    <x v="5"/>
  </r>
  <r>
    <x v="291"/>
    <x v="291"/>
    <x v="58"/>
    <x v="4"/>
    <x v="11"/>
    <x v="0"/>
    <x v="1"/>
    <x v="15"/>
    <x v="58"/>
    <s v="Rice Model 2"/>
    <n v="2"/>
    <n v="382"/>
    <n v="0"/>
    <n v="382"/>
    <n v="0.12"/>
    <n v="764"/>
    <n v="91.679999999999993"/>
    <x v="290"/>
    <s v="Credit Card"/>
    <s v="Delivered"/>
    <d v="2024-10-21T00:00:00"/>
    <d v="2024-10-24T00:00:00"/>
    <x v="0"/>
    <x v="0"/>
    <x v="0"/>
    <x v="9"/>
    <s v="Summer Splash"/>
    <x v="0"/>
  </r>
  <r>
    <x v="292"/>
    <x v="292"/>
    <x v="98"/>
    <x v="2"/>
    <x v="4"/>
    <x v="0"/>
    <x v="0"/>
    <x v="21"/>
    <x v="37"/>
    <s v="Lamp Model 3"/>
    <n v="3"/>
    <n v="9580"/>
    <n v="0"/>
    <n v="9580"/>
    <n v="0.12"/>
    <n v="28740"/>
    <n v="3448.8"/>
    <x v="291"/>
    <s v="Debit Card"/>
    <s v="Delivered"/>
    <d v="2024-03-03T00:00:00"/>
    <d v="2024-03-05T00:00:00"/>
    <x v="0"/>
    <x v="0"/>
    <x v="0"/>
    <x v="3"/>
    <s v="Back to School"/>
    <x v="6"/>
  </r>
  <r>
    <x v="293"/>
    <x v="293"/>
    <x v="86"/>
    <x v="3"/>
    <x v="10"/>
    <x v="1"/>
    <x v="0"/>
    <x v="1"/>
    <x v="3"/>
    <s v="Cookware Model 3"/>
    <n v="1"/>
    <n v="11957"/>
    <n v="0.15"/>
    <n v="10163.450000000001"/>
    <n v="0.18"/>
    <n v="10163.450000000001"/>
    <n v="1829.421"/>
    <x v="292"/>
    <s v="Debit Card"/>
    <s v="Cancelled"/>
    <m/>
    <m/>
    <x v="0"/>
    <x v="0"/>
    <x v="0"/>
    <x v="7"/>
    <s v="Diwali Blast"/>
    <x v="3"/>
  </r>
  <r>
    <x v="294"/>
    <x v="294"/>
    <x v="146"/>
    <x v="3"/>
    <x v="3"/>
    <x v="0"/>
    <x v="3"/>
    <x v="7"/>
    <x v="33"/>
    <s v="Dumbbells Model 2"/>
    <n v="2"/>
    <n v="8955"/>
    <n v="0.1"/>
    <n v="8059.5"/>
    <n v="0.05"/>
    <n v="16119"/>
    <n v="805.95"/>
    <x v="293"/>
    <s v="COD"/>
    <s v="Delivered"/>
    <d v="2024-07-04T00:00:00"/>
    <d v="2024-07-09T00:00:00"/>
    <x v="0"/>
    <x v="0"/>
    <x v="0"/>
    <x v="3"/>
    <s v="New Year Sale"/>
    <x v="2"/>
  </r>
  <r>
    <x v="295"/>
    <x v="295"/>
    <x v="87"/>
    <x v="3"/>
    <x v="7"/>
    <x v="0"/>
    <x v="3"/>
    <x v="16"/>
    <x v="22"/>
    <s v="Football Model 1"/>
    <n v="4"/>
    <n v="4478"/>
    <n v="0.15"/>
    <n v="3806.3"/>
    <n v="0.12"/>
    <n v="15225.2"/>
    <n v="1827.0239999999999"/>
    <x v="294"/>
    <s v="Debit Card"/>
    <s v="Shipped"/>
    <d v="2024-10-19T00:00:00"/>
    <m/>
    <x v="0"/>
    <x v="0"/>
    <x v="0"/>
    <x v="4"/>
    <s v="Clearance"/>
    <x v="4"/>
  </r>
  <r>
    <x v="296"/>
    <x v="296"/>
    <x v="107"/>
    <x v="1"/>
    <x v="12"/>
    <x v="0"/>
    <x v="3"/>
    <x v="10"/>
    <x v="12"/>
    <s v="Yoga Mat Model 1"/>
    <n v="1"/>
    <n v="5329"/>
    <n v="0.15"/>
    <n v="4529.6499999999996"/>
    <n v="0.18"/>
    <n v="4529.6499999999996"/>
    <n v="815.33699999999988"/>
    <x v="295"/>
    <s v="UPI"/>
    <s v="Delivered"/>
    <d v="2024-06-13T00:00:00"/>
    <d v="2024-06-16T00:00:00"/>
    <x v="0"/>
    <x v="0"/>
    <x v="0"/>
    <x v="7"/>
    <s v="Clearance"/>
    <x v="2"/>
  </r>
  <r>
    <x v="297"/>
    <x v="297"/>
    <x v="68"/>
    <x v="4"/>
    <x v="17"/>
    <x v="0"/>
    <x v="1"/>
    <x v="18"/>
    <x v="26"/>
    <s v="Beverage Model 2"/>
    <n v="2"/>
    <n v="627"/>
    <n v="0"/>
    <n v="627"/>
    <n v="0.18"/>
    <n v="1254"/>
    <n v="225.72"/>
    <x v="296"/>
    <s v="UPI"/>
    <s v="Delivered"/>
    <d v="2024-12-06T00:00:00"/>
    <d v="2024-12-09T00:00:00"/>
    <x v="0"/>
    <x v="0"/>
    <x v="0"/>
    <x v="7"/>
    <s v="Summer Splash"/>
    <x v="4"/>
  </r>
  <r>
    <x v="298"/>
    <x v="298"/>
    <x v="77"/>
    <x v="4"/>
    <x v="16"/>
    <x v="0"/>
    <x v="1"/>
    <x v="18"/>
    <x v="42"/>
    <s v="Beverage Model 3"/>
    <n v="2"/>
    <n v="575"/>
    <n v="0"/>
    <n v="575"/>
    <n v="0.12"/>
    <n v="1150"/>
    <n v="138"/>
    <x v="297"/>
    <s v="COD"/>
    <s v="Delivered"/>
    <d v="2024-11-30T00:00:00"/>
    <d v="2024-12-05T00:00:00"/>
    <x v="0"/>
    <x v="0"/>
    <x v="0"/>
    <x v="0"/>
    <s v="Summer Splash"/>
    <x v="5"/>
  </r>
  <r>
    <x v="299"/>
    <x v="299"/>
    <x v="20"/>
    <x v="0"/>
    <x v="0"/>
    <x v="0"/>
    <x v="2"/>
    <x v="12"/>
    <x v="61"/>
    <s v="Headphones Model 3"/>
    <n v="2"/>
    <n v="16421"/>
    <n v="0.1"/>
    <n v="14778.9"/>
    <n v="0.12"/>
    <n v="29557.8"/>
    <n v="3546.9360000000001"/>
    <x v="298"/>
    <s v="UPI"/>
    <s v="Delivered"/>
    <d v="2024-03-10T00:00:00"/>
    <d v="2024-03-14T00:00:00"/>
    <x v="0"/>
    <x v="0"/>
    <x v="0"/>
    <x v="2"/>
    <s v="Monsoon Mania"/>
    <x v="1"/>
  </r>
  <r>
    <x v="300"/>
    <x v="300"/>
    <x v="110"/>
    <x v="3"/>
    <x v="3"/>
    <x v="0"/>
    <x v="2"/>
    <x v="3"/>
    <x v="57"/>
    <s v="Smartphone Model 1"/>
    <n v="1"/>
    <n v="27520"/>
    <n v="0"/>
    <n v="27520"/>
    <n v="0.12"/>
    <n v="27520"/>
    <n v="3302.4"/>
    <x v="299"/>
    <s v="NetBanking"/>
    <s v="Delivered"/>
    <d v="2025-03-29T00:00:00"/>
    <d v="2025-04-03T00:00:00"/>
    <x v="0"/>
    <x v="0"/>
    <x v="0"/>
    <x v="8"/>
    <s v="Summer Splash"/>
    <x v="2"/>
  </r>
  <r>
    <x v="301"/>
    <x v="301"/>
    <x v="111"/>
    <x v="0"/>
    <x v="13"/>
    <x v="0"/>
    <x v="3"/>
    <x v="7"/>
    <x v="23"/>
    <s v="Dumbbells Model 1"/>
    <n v="1"/>
    <n v="2178"/>
    <n v="0.1"/>
    <n v="1960.2"/>
    <n v="0.12"/>
    <n v="1960.2"/>
    <n v="235.22399999999999"/>
    <x v="300"/>
    <s v="UPI"/>
    <s v="Shipped"/>
    <d v="2024-02-12T00:00:00"/>
    <m/>
    <x v="0"/>
    <x v="0"/>
    <x v="0"/>
    <x v="6"/>
    <s v="Back to School"/>
    <x v="0"/>
  </r>
  <r>
    <x v="302"/>
    <x v="302"/>
    <x v="74"/>
    <x v="1"/>
    <x v="18"/>
    <x v="3"/>
    <x v="2"/>
    <x v="12"/>
    <x v="46"/>
    <s v="Headphones Model 1"/>
    <n v="2"/>
    <n v="17694"/>
    <n v="0.1"/>
    <n v="15924.6"/>
    <n v="0.05"/>
    <n v="31849.200000000001"/>
    <n v="1592.46"/>
    <x v="301"/>
    <s v="UPI"/>
    <s v="Delivered"/>
    <d v="2024-01-16T00:00:00"/>
    <d v="2024-01-17T00:00:00"/>
    <x v="0"/>
    <x v="0"/>
    <x v="0"/>
    <x v="5"/>
    <s v="Festival Fever"/>
    <x v="4"/>
  </r>
  <r>
    <x v="303"/>
    <x v="303"/>
    <x v="89"/>
    <x v="3"/>
    <x v="10"/>
    <x v="1"/>
    <x v="1"/>
    <x v="15"/>
    <x v="58"/>
    <s v="Rice Model 2"/>
    <n v="1"/>
    <n v="360"/>
    <n v="0.05"/>
    <n v="342"/>
    <n v="0.18"/>
    <n v="342"/>
    <n v="61.56"/>
    <x v="302"/>
    <s v="UPI"/>
    <s v="Delivered"/>
    <d v="2024-04-21T00:00:00"/>
    <d v="2024-04-26T00:00:00"/>
    <x v="0"/>
    <x v="0"/>
    <x v="0"/>
    <x v="9"/>
    <s v="Back to School"/>
    <x v="3"/>
  </r>
  <r>
    <x v="304"/>
    <x v="304"/>
    <x v="103"/>
    <x v="1"/>
    <x v="5"/>
    <x v="0"/>
    <x v="0"/>
    <x v="14"/>
    <x v="60"/>
    <s v="Vacuum Model 1"/>
    <n v="2"/>
    <n v="8246"/>
    <n v="0"/>
    <n v="8246"/>
    <n v="0.12"/>
    <n v="16492"/>
    <n v="1979.04"/>
    <x v="303"/>
    <s v="Credit Card"/>
    <s v="Delivered"/>
    <d v="2024-10-01T00:00:00"/>
    <d v="2024-10-06T00:00:00"/>
    <x v="0"/>
    <x v="0"/>
    <x v="0"/>
    <x v="3"/>
    <s v="Festival Fever"/>
    <x v="3"/>
  </r>
  <r>
    <x v="305"/>
    <x v="305"/>
    <x v="27"/>
    <x v="2"/>
    <x v="6"/>
    <x v="3"/>
    <x v="4"/>
    <x v="24"/>
    <x v="64"/>
    <s v="Jeans Model 1"/>
    <n v="2"/>
    <n v="1663"/>
    <n v="0.15"/>
    <n v="1413.55"/>
    <n v="0.12"/>
    <n v="2827.1"/>
    <n v="339.25200000000001"/>
    <x v="304"/>
    <s v="Debit Card"/>
    <s v="Delivered"/>
    <d v="2024-07-05T00:00:00"/>
    <d v="2024-07-09T00:00:00"/>
    <x v="0"/>
    <x v="0"/>
    <x v="0"/>
    <x v="8"/>
    <s v="Diwali Blast"/>
    <x v="6"/>
  </r>
  <r>
    <x v="306"/>
    <x v="306"/>
    <x v="147"/>
    <x v="3"/>
    <x v="3"/>
    <x v="1"/>
    <x v="3"/>
    <x v="10"/>
    <x v="52"/>
    <s v="Yoga Mat Model 2"/>
    <n v="4"/>
    <n v="5411"/>
    <n v="0.2"/>
    <n v="4328.8"/>
    <n v="0.12"/>
    <n v="17315.2"/>
    <n v="2077.8240000000001"/>
    <x v="305"/>
    <s v="Credit Card"/>
    <s v="Delivered"/>
    <d v="2024-06-24T00:00:00"/>
    <d v="2024-06-27T00:00:00"/>
    <x v="0"/>
    <x v="0"/>
    <x v="0"/>
    <x v="7"/>
    <s v="Diwali Blast"/>
    <x v="4"/>
  </r>
  <r>
    <x v="307"/>
    <x v="307"/>
    <x v="63"/>
    <x v="1"/>
    <x v="1"/>
    <x v="0"/>
    <x v="1"/>
    <x v="2"/>
    <x v="62"/>
    <s v="Snacks Model 3"/>
    <n v="2"/>
    <n v="1033"/>
    <n v="0.05"/>
    <n v="981.34999999999991"/>
    <n v="0.12"/>
    <n v="1962.7"/>
    <n v="235.524"/>
    <x v="306"/>
    <s v="NetBanking"/>
    <s v="Delivered"/>
    <d v="2024-09-25T00:00:00"/>
    <d v="2024-09-28T00:00:00"/>
    <x v="0"/>
    <x v="0"/>
    <x v="0"/>
    <x v="0"/>
    <s v="Diwali Blast"/>
    <x v="0"/>
  </r>
  <r>
    <x v="308"/>
    <x v="308"/>
    <x v="148"/>
    <x v="4"/>
    <x v="16"/>
    <x v="0"/>
    <x v="2"/>
    <x v="23"/>
    <x v="68"/>
    <s v="Smartwatch Model 2"/>
    <n v="3"/>
    <n v="4320"/>
    <n v="0.05"/>
    <n v="4104"/>
    <n v="0.05"/>
    <n v="12312"/>
    <n v="615.6"/>
    <x v="307"/>
    <s v="NetBanking"/>
    <s v="Delivered"/>
    <d v="2024-08-29T00:00:00"/>
    <d v="2024-09-03T00:00:00"/>
    <x v="0"/>
    <x v="0"/>
    <x v="0"/>
    <x v="9"/>
    <s v="Back to School"/>
    <x v="6"/>
  </r>
  <r>
    <x v="309"/>
    <x v="309"/>
    <x v="149"/>
    <x v="1"/>
    <x v="1"/>
    <x v="0"/>
    <x v="1"/>
    <x v="2"/>
    <x v="62"/>
    <s v="Snacks Model 3"/>
    <n v="4"/>
    <n v="211"/>
    <n v="0"/>
    <n v="211"/>
    <n v="0.12"/>
    <n v="844"/>
    <n v="101.28"/>
    <x v="308"/>
    <s v="Credit Card"/>
    <s v="Delivered"/>
    <d v="2024-12-20T00:00:00"/>
    <d v="2024-12-23T00:00:00"/>
    <x v="0"/>
    <x v="0"/>
    <x v="0"/>
    <x v="9"/>
    <s v="Summer Splash"/>
    <x v="1"/>
  </r>
  <r>
    <x v="310"/>
    <x v="310"/>
    <x v="107"/>
    <x v="1"/>
    <x v="12"/>
    <x v="0"/>
    <x v="0"/>
    <x v="1"/>
    <x v="3"/>
    <s v="Cookware Model 3"/>
    <n v="1"/>
    <n v="2455"/>
    <n v="0.2"/>
    <n v="1964"/>
    <n v="0.12"/>
    <n v="1964"/>
    <n v="235.68"/>
    <x v="309"/>
    <s v="UPI"/>
    <s v="Delivered"/>
    <d v="2025-01-18T00:00:00"/>
    <d v="2025-01-22T00:00:00"/>
    <x v="0"/>
    <x v="0"/>
    <x v="0"/>
    <x v="3"/>
    <s v="Diwali Blast"/>
    <x v="1"/>
  </r>
  <r>
    <x v="311"/>
    <x v="311"/>
    <x v="90"/>
    <x v="2"/>
    <x v="9"/>
    <x v="1"/>
    <x v="0"/>
    <x v="0"/>
    <x v="0"/>
    <s v="Air Purifier Model 1"/>
    <n v="1"/>
    <n v="3770"/>
    <n v="0.15"/>
    <n v="3204.5"/>
    <n v="0.12"/>
    <n v="3204.5"/>
    <n v="384.54"/>
    <x v="310"/>
    <s v="COD"/>
    <s v="Delivered"/>
    <d v="2025-01-10T00:00:00"/>
    <d v="2025-01-12T00:00:00"/>
    <x v="0"/>
    <x v="0"/>
    <x v="0"/>
    <x v="3"/>
    <s v="Diwali Blast"/>
    <x v="4"/>
  </r>
  <r>
    <x v="312"/>
    <x v="312"/>
    <x v="40"/>
    <x v="1"/>
    <x v="18"/>
    <x v="0"/>
    <x v="4"/>
    <x v="9"/>
    <x v="11"/>
    <s v="Hoodie Model 3"/>
    <n v="1"/>
    <n v="1925"/>
    <n v="0.05"/>
    <n v="1828.75"/>
    <n v="0.12"/>
    <n v="1828.75"/>
    <n v="219.45"/>
    <x v="311"/>
    <s v="UPI"/>
    <s v="Delivered"/>
    <d v="2025-01-12T00:00:00"/>
    <d v="2025-01-13T00:00:00"/>
    <x v="0"/>
    <x v="0"/>
    <x v="0"/>
    <x v="7"/>
    <s v="Back to School"/>
    <x v="0"/>
  </r>
  <r>
    <x v="313"/>
    <x v="313"/>
    <x v="63"/>
    <x v="1"/>
    <x v="1"/>
    <x v="0"/>
    <x v="2"/>
    <x v="12"/>
    <x v="46"/>
    <s v="Headphones Model 1"/>
    <n v="3"/>
    <n v="4226"/>
    <n v="0"/>
    <n v="4226"/>
    <n v="0.18"/>
    <n v="12678"/>
    <n v="2282.04"/>
    <x v="312"/>
    <s v="COD"/>
    <s v="Delivered"/>
    <d v="2024-10-03T00:00:00"/>
    <d v="2024-10-06T00:00:00"/>
    <x v="0"/>
    <x v="0"/>
    <x v="0"/>
    <x v="0"/>
    <s v="Monsoon Mania"/>
    <x v="2"/>
  </r>
  <r>
    <x v="314"/>
    <x v="314"/>
    <x v="92"/>
    <x v="2"/>
    <x v="2"/>
    <x v="0"/>
    <x v="1"/>
    <x v="6"/>
    <x v="8"/>
    <s v="Oil Model 1"/>
    <n v="1"/>
    <n v="839"/>
    <n v="0.05"/>
    <n v="797.05"/>
    <n v="0.05"/>
    <n v="797.05"/>
    <n v="39.852499999999999"/>
    <x v="313"/>
    <s v="Credit Card"/>
    <s v="Delivered"/>
    <d v="2025-03-20T00:00:00"/>
    <d v="2025-03-24T00:00:00"/>
    <x v="0"/>
    <x v="0"/>
    <x v="0"/>
    <x v="8"/>
    <s v="Clearance"/>
    <x v="5"/>
  </r>
  <r>
    <x v="315"/>
    <x v="315"/>
    <x v="150"/>
    <x v="2"/>
    <x v="6"/>
    <x v="0"/>
    <x v="3"/>
    <x v="10"/>
    <x v="30"/>
    <s v="Yoga Mat Model 3"/>
    <n v="3"/>
    <n v="1210"/>
    <n v="0"/>
    <n v="1210"/>
    <n v="0.12"/>
    <n v="3630"/>
    <n v="435.6"/>
    <x v="314"/>
    <s v="UPI"/>
    <s v="Delivered"/>
    <d v="2024-02-03T00:00:00"/>
    <d v="2024-02-07T00:00:00"/>
    <x v="0"/>
    <x v="0"/>
    <x v="0"/>
    <x v="3"/>
    <s v="Diwali Blast"/>
    <x v="2"/>
  </r>
  <r>
    <x v="316"/>
    <x v="316"/>
    <x v="134"/>
    <x v="2"/>
    <x v="4"/>
    <x v="0"/>
    <x v="0"/>
    <x v="14"/>
    <x v="60"/>
    <s v="Vacuum Model 1"/>
    <n v="1"/>
    <n v="11133"/>
    <n v="0.05"/>
    <n v="10576.35"/>
    <n v="0.18"/>
    <n v="10576.35"/>
    <n v="1903.7429999999999"/>
    <x v="315"/>
    <s v="Credit Card"/>
    <s v="Delivered"/>
    <d v="2024-03-23T00:00:00"/>
    <d v="2024-03-24T00:00:00"/>
    <x v="0"/>
    <x v="0"/>
    <x v="0"/>
    <x v="8"/>
    <s v="Diwali Blast"/>
    <x v="1"/>
  </r>
  <r>
    <x v="317"/>
    <x v="317"/>
    <x v="135"/>
    <x v="3"/>
    <x v="3"/>
    <x v="3"/>
    <x v="2"/>
    <x v="12"/>
    <x v="46"/>
    <s v="Headphones Model 1"/>
    <n v="1"/>
    <n v="54414"/>
    <n v="0"/>
    <n v="54414"/>
    <n v="0.12"/>
    <n v="54414"/>
    <n v="6529.6799999999994"/>
    <x v="316"/>
    <s v="COD"/>
    <s v="Delivered"/>
    <d v="2024-12-29T00:00:00"/>
    <d v="2024-12-30T00:00:00"/>
    <x v="0"/>
    <x v="0"/>
    <x v="0"/>
    <x v="7"/>
    <s v="Summer Splash"/>
    <x v="1"/>
  </r>
  <r>
    <x v="318"/>
    <x v="318"/>
    <x v="13"/>
    <x v="2"/>
    <x v="4"/>
    <x v="0"/>
    <x v="3"/>
    <x v="7"/>
    <x v="23"/>
    <s v="Dumbbells Model 1"/>
    <n v="4"/>
    <n v="8405"/>
    <n v="0.1"/>
    <n v="7564.5"/>
    <n v="0.12"/>
    <n v="30258"/>
    <n v="3630.96"/>
    <x v="317"/>
    <s v="Credit Card"/>
    <s v="Delivered"/>
    <d v="2024-01-24T00:00:00"/>
    <d v="2024-01-25T00:00:00"/>
    <x v="0"/>
    <x v="0"/>
    <x v="0"/>
    <x v="7"/>
    <s v="Summer Splash"/>
    <x v="0"/>
  </r>
  <r>
    <x v="319"/>
    <x v="319"/>
    <x v="55"/>
    <x v="4"/>
    <x v="8"/>
    <x v="0"/>
    <x v="1"/>
    <x v="6"/>
    <x v="34"/>
    <s v="Oil Model 3"/>
    <n v="1"/>
    <n v="1077"/>
    <n v="0.2"/>
    <n v="861.6"/>
    <n v="0.18"/>
    <n v="861.6"/>
    <n v="155.08799999999999"/>
    <x v="318"/>
    <s v="Credit Card"/>
    <s v="Delivered"/>
    <d v="2024-02-20T00:00:00"/>
    <d v="2024-02-24T00:00:00"/>
    <x v="0"/>
    <x v="0"/>
    <x v="0"/>
    <x v="4"/>
    <s v="New Year Sale"/>
    <x v="3"/>
  </r>
  <r>
    <x v="320"/>
    <x v="320"/>
    <x v="35"/>
    <x v="4"/>
    <x v="16"/>
    <x v="0"/>
    <x v="3"/>
    <x v="11"/>
    <x v="14"/>
    <s v="Cricket Bat Model 1"/>
    <n v="2"/>
    <n v="1839"/>
    <n v="0"/>
    <n v="1839"/>
    <n v="0.12"/>
    <n v="3678"/>
    <n v="441.36"/>
    <x v="319"/>
    <s v="COD"/>
    <s v="Delivered"/>
    <d v="2024-12-12T00:00:00"/>
    <d v="2024-12-16T00:00:00"/>
    <x v="0"/>
    <x v="0"/>
    <x v="0"/>
    <x v="5"/>
    <s v="Summer Splash"/>
    <x v="3"/>
  </r>
  <r>
    <x v="321"/>
    <x v="321"/>
    <x v="29"/>
    <x v="0"/>
    <x v="0"/>
    <x v="1"/>
    <x v="0"/>
    <x v="21"/>
    <x v="37"/>
    <s v="Lamp Model 3"/>
    <n v="3"/>
    <n v="12490"/>
    <n v="0.1"/>
    <n v="11241"/>
    <n v="0.18"/>
    <n v="33723"/>
    <n v="6070.1399999999994"/>
    <x v="320"/>
    <s v="Debit Card"/>
    <s v="Delivered"/>
    <d v="2024-01-27T00:00:00"/>
    <d v="2024-01-28T00:00:00"/>
    <x v="0"/>
    <x v="0"/>
    <x v="0"/>
    <x v="5"/>
    <s v="Clearance"/>
    <x v="2"/>
  </r>
  <r>
    <x v="322"/>
    <x v="322"/>
    <x v="14"/>
    <x v="3"/>
    <x v="10"/>
    <x v="2"/>
    <x v="1"/>
    <x v="15"/>
    <x v="58"/>
    <s v="Rice Model 2"/>
    <n v="4"/>
    <n v="922"/>
    <n v="0"/>
    <n v="922"/>
    <n v="0.18"/>
    <n v="3688"/>
    <n v="663.84"/>
    <x v="321"/>
    <s v="UPI"/>
    <s v="Delivered"/>
    <d v="2025-02-18T00:00:00"/>
    <d v="2025-02-23T00:00:00"/>
    <x v="0"/>
    <x v="0"/>
    <x v="0"/>
    <x v="4"/>
    <s v="New Year Sale"/>
    <x v="6"/>
  </r>
  <r>
    <x v="323"/>
    <x v="323"/>
    <x v="72"/>
    <x v="4"/>
    <x v="11"/>
    <x v="1"/>
    <x v="3"/>
    <x v="11"/>
    <x v="24"/>
    <s v="Cricket Bat Model 3"/>
    <n v="1"/>
    <n v="9120"/>
    <n v="0"/>
    <n v="9120"/>
    <n v="0.12"/>
    <n v="9120"/>
    <n v="1094.4000000000001"/>
    <x v="322"/>
    <s v="COD"/>
    <s v="Delivered"/>
    <d v="2024-02-11T00:00:00"/>
    <d v="2024-02-12T00:00:00"/>
    <x v="0"/>
    <x v="0"/>
    <x v="0"/>
    <x v="9"/>
    <s v="Clearance"/>
    <x v="5"/>
  </r>
  <r>
    <x v="324"/>
    <x v="324"/>
    <x v="11"/>
    <x v="2"/>
    <x v="9"/>
    <x v="0"/>
    <x v="2"/>
    <x v="23"/>
    <x v="47"/>
    <s v="Smartwatch Model 1"/>
    <n v="3"/>
    <n v="35804"/>
    <n v="0.05"/>
    <n v="34013.800000000003"/>
    <n v="0.12"/>
    <n v="102041.4"/>
    <n v="12244.968000000001"/>
    <x v="323"/>
    <s v="UPI"/>
    <s v="Delivered"/>
    <d v="2024-06-11T00:00:00"/>
    <d v="2024-06-14T00:00:00"/>
    <x v="0"/>
    <x v="0"/>
    <x v="0"/>
    <x v="9"/>
    <s v="Back to School"/>
    <x v="2"/>
  </r>
  <r>
    <x v="325"/>
    <x v="325"/>
    <x v="52"/>
    <x v="1"/>
    <x v="1"/>
    <x v="0"/>
    <x v="0"/>
    <x v="22"/>
    <x v="54"/>
    <s v="Mixer Model 1"/>
    <n v="2"/>
    <n v="2165"/>
    <n v="0.1"/>
    <n v="1948.5"/>
    <n v="0.12"/>
    <n v="3897"/>
    <n v="467.64"/>
    <x v="324"/>
    <s v="Debit Card"/>
    <s v="Delivered"/>
    <d v="2024-09-30T00:00:00"/>
    <d v="2024-10-05T00:00:00"/>
    <x v="0"/>
    <x v="0"/>
    <x v="0"/>
    <x v="8"/>
    <s v="Diwali Blast"/>
    <x v="6"/>
  </r>
  <r>
    <x v="326"/>
    <x v="326"/>
    <x v="67"/>
    <x v="3"/>
    <x v="3"/>
    <x v="0"/>
    <x v="1"/>
    <x v="2"/>
    <x v="59"/>
    <s v="Snacks Model 2"/>
    <n v="1"/>
    <n v="1088"/>
    <n v="0"/>
    <n v="1088"/>
    <n v="0.18"/>
    <n v="1088"/>
    <n v="195.84"/>
    <x v="325"/>
    <s v="UPI"/>
    <s v="Delivered"/>
    <d v="2024-02-23T00:00:00"/>
    <d v="2024-02-24T00:00:00"/>
    <x v="0"/>
    <x v="0"/>
    <x v="0"/>
    <x v="1"/>
    <s v="Festival Fever"/>
    <x v="4"/>
  </r>
  <r>
    <x v="327"/>
    <x v="327"/>
    <x v="114"/>
    <x v="1"/>
    <x v="18"/>
    <x v="0"/>
    <x v="3"/>
    <x v="7"/>
    <x v="33"/>
    <s v="Dumbbells Model 2"/>
    <n v="2"/>
    <n v="4021"/>
    <n v="0.2"/>
    <n v="3216.8"/>
    <n v="0.18"/>
    <n v="6433.6"/>
    <n v="1158.048"/>
    <x v="326"/>
    <s v="UPI"/>
    <s v="Delivered"/>
    <d v="2024-02-15T00:00:00"/>
    <d v="2024-02-19T00:00:00"/>
    <x v="0"/>
    <x v="0"/>
    <x v="0"/>
    <x v="8"/>
    <s v="New Year Sale"/>
    <x v="4"/>
  </r>
  <r>
    <x v="328"/>
    <x v="328"/>
    <x v="146"/>
    <x v="3"/>
    <x v="3"/>
    <x v="0"/>
    <x v="1"/>
    <x v="6"/>
    <x v="8"/>
    <s v="Oil Model 1"/>
    <n v="1"/>
    <n v="462"/>
    <n v="0.15"/>
    <n v="392.7"/>
    <n v="0.12"/>
    <n v="392.7"/>
    <n v="47.124000000000002"/>
    <x v="327"/>
    <s v="UPI"/>
    <s v="Delivered"/>
    <d v="2024-03-27T00:00:00"/>
    <d v="2024-03-31T00:00:00"/>
    <x v="0"/>
    <x v="0"/>
    <x v="0"/>
    <x v="6"/>
    <s v="Summer Splash"/>
    <x v="1"/>
  </r>
  <r>
    <x v="329"/>
    <x v="329"/>
    <x v="76"/>
    <x v="2"/>
    <x v="9"/>
    <x v="3"/>
    <x v="3"/>
    <x v="11"/>
    <x v="49"/>
    <s v="Cricket Bat Model 2"/>
    <n v="2"/>
    <n v="1875"/>
    <n v="0"/>
    <n v="1875"/>
    <n v="0.12"/>
    <n v="3750"/>
    <n v="450"/>
    <x v="328"/>
    <s v="COD"/>
    <s v="Shipped"/>
    <d v="2024-02-25T00:00:00"/>
    <m/>
    <x v="0"/>
    <x v="0"/>
    <x v="0"/>
    <x v="5"/>
    <s v="Monsoon Mania"/>
    <x v="6"/>
  </r>
  <r>
    <x v="330"/>
    <x v="330"/>
    <x v="71"/>
    <x v="1"/>
    <x v="1"/>
    <x v="0"/>
    <x v="4"/>
    <x v="24"/>
    <x v="64"/>
    <s v="Jeans Model 1"/>
    <n v="1"/>
    <n v="2084"/>
    <n v="0.05"/>
    <n v="1979.8"/>
    <n v="0.18"/>
    <n v="1979.8"/>
    <n v="356.36399999999998"/>
    <x v="329"/>
    <s v="UPI"/>
    <s v="Delivered"/>
    <d v="2024-04-14T00:00:00"/>
    <d v="2024-04-15T00:00:00"/>
    <x v="0"/>
    <x v="0"/>
    <x v="0"/>
    <x v="8"/>
    <s v="Clearance"/>
    <x v="4"/>
  </r>
  <r>
    <x v="331"/>
    <x v="331"/>
    <x v="18"/>
    <x v="0"/>
    <x v="0"/>
    <x v="3"/>
    <x v="3"/>
    <x v="7"/>
    <x v="33"/>
    <s v="Dumbbells Model 2"/>
    <n v="1"/>
    <n v="9719"/>
    <n v="0.15"/>
    <n v="8261.15"/>
    <n v="0.05"/>
    <n v="8261.15"/>
    <n v="413.0575"/>
    <x v="330"/>
    <s v="UPI"/>
    <s v="Delivered"/>
    <d v="2024-09-10T00:00:00"/>
    <d v="2024-09-15T00:00:00"/>
    <x v="0"/>
    <x v="0"/>
    <x v="0"/>
    <x v="6"/>
    <s v="Clearance"/>
    <x v="5"/>
  </r>
  <r>
    <x v="332"/>
    <x v="332"/>
    <x v="66"/>
    <x v="0"/>
    <x v="14"/>
    <x v="1"/>
    <x v="2"/>
    <x v="13"/>
    <x v="50"/>
    <s v="Laptop Model 2"/>
    <n v="3"/>
    <n v="30248"/>
    <n v="0"/>
    <n v="30248"/>
    <n v="0.18"/>
    <n v="90744"/>
    <n v="16333.92"/>
    <x v="331"/>
    <s v="Debit Card"/>
    <s v="Returned"/>
    <d v="2025-04-23T00:00:00"/>
    <m/>
    <x v="1"/>
    <x v="20"/>
    <x v="20"/>
    <x v="2"/>
    <s v="Clearance"/>
    <x v="6"/>
  </r>
  <r>
    <x v="333"/>
    <x v="333"/>
    <x v="125"/>
    <x v="2"/>
    <x v="4"/>
    <x v="1"/>
    <x v="1"/>
    <x v="2"/>
    <x v="4"/>
    <s v="Snacks Model 1"/>
    <n v="1"/>
    <n v="996"/>
    <n v="0.15"/>
    <n v="846.6"/>
    <n v="0.18"/>
    <n v="846.6"/>
    <n v="152.38800000000001"/>
    <x v="332"/>
    <s v="Credit Card"/>
    <s v="In Transit"/>
    <d v="2025-03-29T00:00:00"/>
    <m/>
    <x v="0"/>
    <x v="0"/>
    <x v="0"/>
    <x v="8"/>
    <s v="Back to School"/>
    <x v="1"/>
  </r>
  <r>
    <x v="334"/>
    <x v="334"/>
    <x v="96"/>
    <x v="3"/>
    <x v="3"/>
    <x v="1"/>
    <x v="4"/>
    <x v="8"/>
    <x v="43"/>
    <s v="Jacket Model 1"/>
    <n v="3"/>
    <n v="2205"/>
    <n v="0.05"/>
    <n v="2094.75"/>
    <n v="0.12"/>
    <n v="6284.25"/>
    <n v="754.11"/>
    <x v="333"/>
    <s v="Credit Card"/>
    <s v="In Transit"/>
    <d v="2024-06-19T00:00:00"/>
    <m/>
    <x v="0"/>
    <x v="0"/>
    <x v="0"/>
    <x v="5"/>
    <s v="New Year Sale"/>
    <x v="6"/>
  </r>
  <r>
    <x v="335"/>
    <x v="335"/>
    <x v="38"/>
    <x v="0"/>
    <x v="14"/>
    <x v="3"/>
    <x v="4"/>
    <x v="8"/>
    <x v="10"/>
    <s v="Jacket Model 3"/>
    <n v="1"/>
    <n v="2144"/>
    <n v="0"/>
    <n v="2144"/>
    <n v="0.12"/>
    <n v="2144"/>
    <n v="257.27999999999997"/>
    <x v="334"/>
    <s v="NetBanking"/>
    <s v="Delivered"/>
    <d v="2024-10-18T00:00:00"/>
    <d v="2024-10-22T00:00:00"/>
    <x v="0"/>
    <x v="0"/>
    <x v="0"/>
    <x v="4"/>
    <s v="Diwali Blast"/>
    <x v="4"/>
  </r>
  <r>
    <x v="336"/>
    <x v="336"/>
    <x v="151"/>
    <x v="1"/>
    <x v="1"/>
    <x v="0"/>
    <x v="3"/>
    <x v="7"/>
    <x v="23"/>
    <s v="Dumbbells Model 1"/>
    <n v="4"/>
    <n v="2845"/>
    <n v="0.1"/>
    <n v="2560.5"/>
    <n v="0.12"/>
    <n v="10242"/>
    <n v="1229.04"/>
    <x v="335"/>
    <s v="UPI"/>
    <s v="Delivered"/>
    <d v="2024-08-06T00:00:00"/>
    <d v="2024-08-07T00:00:00"/>
    <x v="0"/>
    <x v="0"/>
    <x v="0"/>
    <x v="3"/>
    <s v="Monsoon Mania"/>
    <x v="6"/>
  </r>
  <r>
    <x v="337"/>
    <x v="337"/>
    <x v="44"/>
    <x v="1"/>
    <x v="5"/>
    <x v="3"/>
    <x v="4"/>
    <x v="9"/>
    <x v="13"/>
    <s v="Hoodie Model 1"/>
    <n v="2"/>
    <n v="2373"/>
    <n v="0"/>
    <n v="2373"/>
    <n v="0.18"/>
    <n v="4746"/>
    <n v="854.28"/>
    <x v="336"/>
    <s v="COD"/>
    <s v="Delivered"/>
    <d v="2024-06-10T00:00:00"/>
    <d v="2024-06-11T00:00:00"/>
    <x v="0"/>
    <x v="0"/>
    <x v="0"/>
    <x v="7"/>
    <s v="Festival Fever"/>
    <x v="0"/>
  </r>
  <r>
    <x v="338"/>
    <x v="338"/>
    <x v="152"/>
    <x v="2"/>
    <x v="9"/>
    <x v="0"/>
    <x v="1"/>
    <x v="20"/>
    <x v="36"/>
    <s v="Pulses Model 3"/>
    <n v="1"/>
    <n v="495"/>
    <n v="0.15"/>
    <n v="420.75"/>
    <n v="0.12"/>
    <n v="420.75"/>
    <n v="50.489999999999988"/>
    <x v="337"/>
    <s v="UPI"/>
    <s v="Shipped"/>
    <d v="2024-07-16T00:00:00"/>
    <m/>
    <x v="0"/>
    <x v="0"/>
    <x v="0"/>
    <x v="4"/>
    <s v="Festival Fever"/>
    <x v="6"/>
  </r>
  <r>
    <x v="339"/>
    <x v="339"/>
    <x v="148"/>
    <x v="4"/>
    <x v="16"/>
    <x v="3"/>
    <x v="4"/>
    <x v="9"/>
    <x v="13"/>
    <s v="Hoodie Model 1"/>
    <n v="3"/>
    <n v="2793"/>
    <n v="0.05"/>
    <n v="2653.35"/>
    <n v="0.05"/>
    <n v="7960.0499999999993"/>
    <n v="398.0025"/>
    <x v="338"/>
    <s v="NetBanking"/>
    <s v="In Transit"/>
    <d v="2024-08-30T00:00:00"/>
    <m/>
    <x v="0"/>
    <x v="0"/>
    <x v="0"/>
    <x v="7"/>
    <s v="Back to School"/>
    <x v="0"/>
  </r>
  <r>
    <x v="340"/>
    <x v="340"/>
    <x v="92"/>
    <x v="2"/>
    <x v="2"/>
    <x v="0"/>
    <x v="0"/>
    <x v="0"/>
    <x v="2"/>
    <s v="Air Purifier Model 3"/>
    <n v="3"/>
    <n v="11957"/>
    <n v="0.1"/>
    <n v="10761.3"/>
    <n v="0.12"/>
    <n v="32283.9"/>
    <n v="3874.0680000000002"/>
    <x v="339"/>
    <s v="COD"/>
    <s v="Delivered"/>
    <d v="2024-05-12T00:00:00"/>
    <d v="2024-05-17T00:00:00"/>
    <x v="0"/>
    <x v="0"/>
    <x v="0"/>
    <x v="2"/>
    <s v="New Year Sale"/>
    <x v="1"/>
  </r>
  <r>
    <x v="341"/>
    <x v="341"/>
    <x v="153"/>
    <x v="0"/>
    <x v="19"/>
    <x v="0"/>
    <x v="2"/>
    <x v="13"/>
    <x v="41"/>
    <s v="Laptop Model 3"/>
    <n v="1"/>
    <n v="39411"/>
    <n v="0.05"/>
    <n v="37440.449999999997"/>
    <n v="0.12"/>
    <n v="37440.449999999997"/>
    <n v="4492.8539999999994"/>
    <x v="340"/>
    <s v="UPI"/>
    <s v="Delivered"/>
    <d v="2024-09-30T00:00:00"/>
    <d v="2024-10-03T00:00:00"/>
    <x v="0"/>
    <x v="0"/>
    <x v="0"/>
    <x v="2"/>
    <s v="New Year Sale"/>
    <x v="1"/>
  </r>
  <r>
    <x v="342"/>
    <x v="342"/>
    <x v="48"/>
    <x v="3"/>
    <x v="7"/>
    <x v="1"/>
    <x v="0"/>
    <x v="22"/>
    <x v="40"/>
    <s v="Mixer Model 2"/>
    <n v="3"/>
    <n v="4470"/>
    <n v="0"/>
    <n v="4470"/>
    <n v="0.18"/>
    <n v="13410"/>
    <n v="2413.8000000000002"/>
    <x v="341"/>
    <s v="NetBanking"/>
    <s v="Delivered"/>
    <d v="2024-01-06T00:00:00"/>
    <d v="2024-01-10T00:00:00"/>
    <x v="0"/>
    <x v="0"/>
    <x v="0"/>
    <x v="3"/>
    <s v="Summer Splash"/>
    <x v="3"/>
  </r>
  <r>
    <x v="343"/>
    <x v="343"/>
    <x v="127"/>
    <x v="0"/>
    <x v="0"/>
    <x v="3"/>
    <x v="2"/>
    <x v="23"/>
    <x v="68"/>
    <s v="Smartwatch Model 2"/>
    <n v="1"/>
    <n v="38826"/>
    <n v="0"/>
    <n v="38826"/>
    <n v="0.05"/>
    <n v="38826"/>
    <n v="1941.3"/>
    <x v="342"/>
    <s v="UPI"/>
    <s v="Delivered"/>
    <d v="2024-01-14T00:00:00"/>
    <d v="2024-01-19T00:00:00"/>
    <x v="0"/>
    <x v="0"/>
    <x v="0"/>
    <x v="4"/>
    <s v="Diwali Blast"/>
    <x v="2"/>
  </r>
  <r>
    <x v="344"/>
    <x v="344"/>
    <x v="12"/>
    <x v="2"/>
    <x v="4"/>
    <x v="0"/>
    <x v="0"/>
    <x v="0"/>
    <x v="2"/>
    <s v="Air Purifier Model 3"/>
    <n v="2"/>
    <n v="8485"/>
    <n v="0.05"/>
    <n v="8060.75"/>
    <n v="0.12"/>
    <n v="16121.5"/>
    <n v="1934.58"/>
    <x v="343"/>
    <s v="NetBanking"/>
    <s v="Delivered"/>
    <d v="2024-12-19T00:00:00"/>
    <d v="2024-12-22T00:00:00"/>
    <x v="0"/>
    <x v="0"/>
    <x v="0"/>
    <x v="9"/>
    <s v="Festival Fever"/>
    <x v="4"/>
  </r>
  <r>
    <x v="345"/>
    <x v="345"/>
    <x v="153"/>
    <x v="0"/>
    <x v="19"/>
    <x v="0"/>
    <x v="0"/>
    <x v="22"/>
    <x v="44"/>
    <s v="Mixer Model 3"/>
    <n v="1"/>
    <n v="3293"/>
    <n v="0"/>
    <n v="3293"/>
    <n v="0.18"/>
    <n v="3293"/>
    <n v="592.74"/>
    <x v="344"/>
    <s v="UPI"/>
    <s v="Delivered"/>
    <d v="2025-04-24T00:00:00"/>
    <d v="2025-04-26T00:00:00"/>
    <x v="0"/>
    <x v="0"/>
    <x v="0"/>
    <x v="5"/>
    <s v="New Year Sale"/>
    <x v="1"/>
  </r>
  <r>
    <x v="346"/>
    <x v="346"/>
    <x v="29"/>
    <x v="0"/>
    <x v="0"/>
    <x v="2"/>
    <x v="2"/>
    <x v="3"/>
    <x v="56"/>
    <s v="Smartphone Model 2"/>
    <n v="1"/>
    <n v="56463"/>
    <n v="0.05"/>
    <n v="53639.85"/>
    <n v="0.12"/>
    <n v="53639.85"/>
    <n v="6436.7819999999992"/>
    <x v="345"/>
    <s v="UPI"/>
    <s v="Delivered"/>
    <d v="2024-03-18T00:00:00"/>
    <d v="2024-03-19T00:00:00"/>
    <x v="0"/>
    <x v="0"/>
    <x v="0"/>
    <x v="8"/>
    <s v="Summer Splash"/>
    <x v="0"/>
  </r>
  <r>
    <x v="347"/>
    <x v="347"/>
    <x v="154"/>
    <x v="3"/>
    <x v="3"/>
    <x v="0"/>
    <x v="4"/>
    <x v="24"/>
    <x v="64"/>
    <s v="Jeans Model 1"/>
    <n v="1"/>
    <n v="746"/>
    <n v="0.2"/>
    <n v="596.80000000000007"/>
    <n v="0.12"/>
    <n v="596.80000000000007"/>
    <n v="71.616"/>
    <x v="346"/>
    <s v="UPI"/>
    <s v="Shipped"/>
    <d v="2024-02-11T00:00:00"/>
    <m/>
    <x v="0"/>
    <x v="0"/>
    <x v="0"/>
    <x v="8"/>
    <s v="Monsoon Mania"/>
    <x v="2"/>
  </r>
  <r>
    <x v="348"/>
    <x v="348"/>
    <x v="51"/>
    <x v="0"/>
    <x v="19"/>
    <x v="0"/>
    <x v="3"/>
    <x v="4"/>
    <x v="20"/>
    <s v="Tennis Racket Model 1"/>
    <n v="2"/>
    <n v="8779"/>
    <n v="0"/>
    <n v="8779"/>
    <n v="0.12"/>
    <n v="17558"/>
    <n v="2106.96"/>
    <x v="347"/>
    <s v="NetBanking"/>
    <s v="Delivered"/>
    <d v="2024-03-10T00:00:00"/>
    <d v="2024-03-11T00:00:00"/>
    <x v="0"/>
    <x v="0"/>
    <x v="0"/>
    <x v="4"/>
    <s v="Diwali Blast"/>
    <x v="0"/>
  </r>
  <r>
    <x v="349"/>
    <x v="349"/>
    <x v="119"/>
    <x v="1"/>
    <x v="1"/>
    <x v="2"/>
    <x v="4"/>
    <x v="24"/>
    <x v="66"/>
    <s v="Jeans Model 3"/>
    <n v="2"/>
    <n v="2295"/>
    <n v="0"/>
    <n v="2295"/>
    <n v="0.05"/>
    <n v="4590"/>
    <n v="229.5"/>
    <x v="348"/>
    <s v="UPI"/>
    <s v="Delivered"/>
    <d v="2024-04-21T00:00:00"/>
    <d v="2024-04-23T00:00:00"/>
    <x v="0"/>
    <x v="0"/>
    <x v="0"/>
    <x v="9"/>
    <s v="Diwali Blast"/>
    <x v="4"/>
  </r>
  <r>
    <x v="350"/>
    <x v="350"/>
    <x v="10"/>
    <x v="2"/>
    <x v="2"/>
    <x v="0"/>
    <x v="1"/>
    <x v="15"/>
    <x v="27"/>
    <s v="Rice Model 1"/>
    <n v="1"/>
    <n v="134"/>
    <n v="0"/>
    <n v="134"/>
    <n v="0.05"/>
    <n v="134"/>
    <n v="6.7"/>
    <x v="349"/>
    <s v="UPI"/>
    <s v="In Transit"/>
    <d v="2024-06-03T00:00:00"/>
    <m/>
    <x v="0"/>
    <x v="0"/>
    <x v="0"/>
    <x v="5"/>
    <s v="Summer Splash"/>
    <x v="0"/>
  </r>
  <r>
    <x v="351"/>
    <x v="351"/>
    <x v="155"/>
    <x v="2"/>
    <x v="9"/>
    <x v="0"/>
    <x v="0"/>
    <x v="14"/>
    <x v="31"/>
    <s v="Vacuum Model 2"/>
    <n v="2"/>
    <n v="12674"/>
    <n v="0.15"/>
    <n v="10772.9"/>
    <n v="0.12"/>
    <n v="21545.8"/>
    <n v="2585.4960000000001"/>
    <x v="350"/>
    <s v="UPI"/>
    <s v="Delivered"/>
    <d v="2024-06-25T00:00:00"/>
    <d v="2024-06-26T00:00:00"/>
    <x v="0"/>
    <x v="0"/>
    <x v="0"/>
    <x v="3"/>
    <s v="Clearance"/>
    <x v="5"/>
  </r>
  <r>
    <x v="352"/>
    <x v="352"/>
    <x v="61"/>
    <x v="0"/>
    <x v="13"/>
    <x v="2"/>
    <x v="1"/>
    <x v="18"/>
    <x v="26"/>
    <s v="Beverage Model 2"/>
    <n v="2"/>
    <n v="644"/>
    <n v="0"/>
    <n v="644"/>
    <n v="0.12"/>
    <n v="1288"/>
    <n v="154.56"/>
    <x v="351"/>
    <s v="UPI"/>
    <s v="Delivered"/>
    <d v="2024-11-14T00:00:00"/>
    <d v="2024-11-18T00:00:00"/>
    <x v="0"/>
    <x v="0"/>
    <x v="0"/>
    <x v="3"/>
    <s v="Back to School"/>
    <x v="0"/>
  </r>
  <r>
    <x v="353"/>
    <x v="353"/>
    <x v="7"/>
    <x v="2"/>
    <x v="6"/>
    <x v="1"/>
    <x v="0"/>
    <x v="21"/>
    <x v="63"/>
    <s v="Lamp Model 1"/>
    <n v="2"/>
    <n v="14538"/>
    <n v="0.15"/>
    <n v="12357.3"/>
    <n v="0.05"/>
    <n v="24714.6"/>
    <n v="1235.73"/>
    <x v="352"/>
    <s v="UPI"/>
    <s v="Delivered"/>
    <d v="2024-01-15T00:00:00"/>
    <d v="2024-01-18T00:00:00"/>
    <x v="0"/>
    <x v="0"/>
    <x v="0"/>
    <x v="5"/>
    <s v="Clearance"/>
    <x v="1"/>
  </r>
  <r>
    <x v="354"/>
    <x v="354"/>
    <x v="132"/>
    <x v="3"/>
    <x v="15"/>
    <x v="0"/>
    <x v="2"/>
    <x v="12"/>
    <x v="46"/>
    <s v="Headphones Model 1"/>
    <n v="1"/>
    <n v="6140"/>
    <n v="0.15"/>
    <n v="5219"/>
    <n v="0.12"/>
    <n v="5219"/>
    <n v="626.28"/>
    <x v="353"/>
    <s v="UPI"/>
    <s v="In Transit"/>
    <d v="2024-01-13T00:00:00"/>
    <m/>
    <x v="0"/>
    <x v="0"/>
    <x v="0"/>
    <x v="6"/>
    <s v="Clearance"/>
    <x v="3"/>
  </r>
  <r>
    <x v="355"/>
    <x v="355"/>
    <x v="48"/>
    <x v="3"/>
    <x v="7"/>
    <x v="1"/>
    <x v="1"/>
    <x v="6"/>
    <x v="28"/>
    <s v="Oil Model 2"/>
    <n v="3"/>
    <n v="738"/>
    <n v="0.1"/>
    <n v="664.2"/>
    <n v="0.12"/>
    <n v="1992.6"/>
    <n v="239.11199999999999"/>
    <x v="354"/>
    <s v="UPI"/>
    <s v="Delivered"/>
    <d v="2025-02-23T00:00:00"/>
    <d v="2025-02-26T00:00:00"/>
    <x v="0"/>
    <x v="0"/>
    <x v="0"/>
    <x v="4"/>
    <s v="New Year Sale"/>
    <x v="3"/>
  </r>
  <r>
    <x v="356"/>
    <x v="356"/>
    <x v="129"/>
    <x v="2"/>
    <x v="4"/>
    <x v="0"/>
    <x v="1"/>
    <x v="2"/>
    <x v="62"/>
    <s v="Snacks Model 3"/>
    <n v="1"/>
    <n v="834"/>
    <n v="0.1"/>
    <n v="750.6"/>
    <n v="0.18"/>
    <n v="750.6"/>
    <n v="135.108"/>
    <x v="355"/>
    <s v="UPI"/>
    <s v="Cancelled"/>
    <m/>
    <m/>
    <x v="0"/>
    <x v="0"/>
    <x v="0"/>
    <x v="7"/>
    <s v="Diwali Blast"/>
    <x v="4"/>
  </r>
  <r>
    <x v="357"/>
    <x v="357"/>
    <x v="106"/>
    <x v="2"/>
    <x v="4"/>
    <x v="2"/>
    <x v="0"/>
    <x v="1"/>
    <x v="3"/>
    <s v="Cookware Model 3"/>
    <n v="1"/>
    <n v="11969"/>
    <n v="0"/>
    <n v="11969"/>
    <n v="0.12"/>
    <n v="11969"/>
    <n v="1436.28"/>
    <x v="356"/>
    <s v="NetBanking"/>
    <s v="Delivered"/>
    <d v="2024-05-23T00:00:00"/>
    <d v="2024-05-27T00:00:00"/>
    <x v="0"/>
    <x v="0"/>
    <x v="0"/>
    <x v="5"/>
    <s v="Clearance"/>
    <x v="2"/>
  </r>
  <r>
    <x v="358"/>
    <x v="358"/>
    <x v="16"/>
    <x v="4"/>
    <x v="11"/>
    <x v="1"/>
    <x v="2"/>
    <x v="3"/>
    <x v="56"/>
    <s v="Smartphone Model 2"/>
    <n v="1"/>
    <n v="56037"/>
    <n v="0.1"/>
    <n v="50433.3"/>
    <n v="0.12"/>
    <n v="50433.3"/>
    <n v="6051.9960000000001"/>
    <x v="357"/>
    <s v="COD"/>
    <s v="Delivered"/>
    <d v="2024-09-02T00:00:00"/>
    <d v="2024-09-05T00:00:00"/>
    <x v="0"/>
    <x v="0"/>
    <x v="0"/>
    <x v="9"/>
    <s v="Monsoon Mania"/>
    <x v="0"/>
  </r>
  <r>
    <x v="359"/>
    <x v="359"/>
    <x v="156"/>
    <x v="4"/>
    <x v="17"/>
    <x v="0"/>
    <x v="4"/>
    <x v="8"/>
    <x v="10"/>
    <s v="Jacket Model 3"/>
    <n v="3"/>
    <n v="937"/>
    <n v="0"/>
    <n v="937"/>
    <n v="0.05"/>
    <n v="2811"/>
    <n v="140.55000000000001"/>
    <x v="358"/>
    <s v="COD"/>
    <s v="Delivered"/>
    <d v="2025-03-25T00:00:00"/>
    <d v="2025-03-26T00:00:00"/>
    <x v="0"/>
    <x v="0"/>
    <x v="0"/>
    <x v="0"/>
    <s v="Summer Splash"/>
    <x v="2"/>
  </r>
  <r>
    <x v="360"/>
    <x v="360"/>
    <x v="157"/>
    <x v="2"/>
    <x v="6"/>
    <x v="0"/>
    <x v="1"/>
    <x v="20"/>
    <x v="65"/>
    <s v="Pulses Model 1"/>
    <n v="2"/>
    <n v="788"/>
    <n v="0"/>
    <n v="788"/>
    <n v="0.05"/>
    <n v="1576"/>
    <n v="78.800000000000011"/>
    <x v="359"/>
    <s v="UPI"/>
    <s v="Delivered"/>
    <d v="2024-06-13T00:00:00"/>
    <d v="2024-06-17T00:00:00"/>
    <x v="0"/>
    <x v="0"/>
    <x v="0"/>
    <x v="9"/>
    <s v="Back to School"/>
    <x v="3"/>
  </r>
  <r>
    <x v="361"/>
    <x v="361"/>
    <x v="58"/>
    <x v="4"/>
    <x v="11"/>
    <x v="2"/>
    <x v="1"/>
    <x v="18"/>
    <x v="42"/>
    <s v="Beverage Model 3"/>
    <n v="2"/>
    <n v="318"/>
    <n v="0.05"/>
    <n v="302.10000000000002"/>
    <n v="0.12"/>
    <n v="604.19999999999993"/>
    <n v="72.503999999999991"/>
    <x v="360"/>
    <s v="UPI"/>
    <s v="Delivered"/>
    <d v="2025-01-23T00:00:00"/>
    <d v="2025-01-24T00:00:00"/>
    <x v="0"/>
    <x v="0"/>
    <x v="0"/>
    <x v="1"/>
    <s v="Diwali Blast"/>
    <x v="6"/>
  </r>
  <r>
    <x v="362"/>
    <x v="362"/>
    <x v="158"/>
    <x v="1"/>
    <x v="1"/>
    <x v="3"/>
    <x v="4"/>
    <x v="5"/>
    <x v="7"/>
    <s v="Dress Model 3"/>
    <n v="2"/>
    <n v="2562"/>
    <n v="0"/>
    <n v="2562"/>
    <n v="0.12"/>
    <n v="5124"/>
    <n v="614.88"/>
    <x v="361"/>
    <s v="NetBanking"/>
    <s v="Delivered"/>
    <d v="2024-08-16T00:00:00"/>
    <d v="2024-08-18T00:00:00"/>
    <x v="0"/>
    <x v="0"/>
    <x v="0"/>
    <x v="6"/>
    <s v="Festival Fever"/>
    <x v="3"/>
  </r>
  <r>
    <x v="363"/>
    <x v="363"/>
    <x v="58"/>
    <x v="4"/>
    <x v="11"/>
    <x v="0"/>
    <x v="4"/>
    <x v="8"/>
    <x v="72"/>
    <s v="Jacket Model 2"/>
    <n v="1"/>
    <n v="637"/>
    <n v="0.05"/>
    <n v="605.15"/>
    <n v="0.18"/>
    <n v="605.15"/>
    <n v="108.92700000000001"/>
    <x v="362"/>
    <s v="Debit Card"/>
    <s v="Delivered"/>
    <d v="2024-05-27T00:00:00"/>
    <d v="2024-05-31T00:00:00"/>
    <x v="0"/>
    <x v="0"/>
    <x v="0"/>
    <x v="5"/>
    <s v="Back to School"/>
    <x v="1"/>
  </r>
  <r>
    <x v="364"/>
    <x v="364"/>
    <x v="26"/>
    <x v="1"/>
    <x v="12"/>
    <x v="3"/>
    <x v="4"/>
    <x v="8"/>
    <x v="10"/>
    <s v="Jacket Model 3"/>
    <n v="1"/>
    <n v="1921"/>
    <n v="0.05"/>
    <n v="1824.95"/>
    <n v="0.12"/>
    <n v="1824.95"/>
    <n v="218.994"/>
    <x v="363"/>
    <s v="Credit Card"/>
    <s v="Delivered"/>
    <d v="2024-02-16T00:00:00"/>
    <d v="2024-02-20T00:00:00"/>
    <x v="0"/>
    <x v="0"/>
    <x v="0"/>
    <x v="7"/>
    <s v="Festival Fever"/>
    <x v="6"/>
  </r>
  <r>
    <x v="365"/>
    <x v="365"/>
    <x v="87"/>
    <x v="3"/>
    <x v="7"/>
    <x v="0"/>
    <x v="1"/>
    <x v="2"/>
    <x v="59"/>
    <s v="Snacks Model 2"/>
    <n v="3"/>
    <n v="84"/>
    <n v="0"/>
    <n v="84"/>
    <n v="0.12"/>
    <n v="252"/>
    <n v="30.24"/>
    <x v="364"/>
    <s v="UPI"/>
    <s v="Delivered"/>
    <d v="2024-09-26T00:00:00"/>
    <d v="2024-09-27T00:00:00"/>
    <x v="0"/>
    <x v="0"/>
    <x v="0"/>
    <x v="1"/>
    <s v="Summer Splash"/>
    <x v="0"/>
  </r>
  <r>
    <x v="366"/>
    <x v="366"/>
    <x v="15"/>
    <x v="1"/>
    <x v="1"/>
    <x v="2"/>
    <x v="3"/>
    <x v="16"/>
    <x v="70"/>
    <s v="Football Model 3"/>
    <n v="1"/>
    <n v="9037"/>
    <n v="0.1"/>
    <n v="8133.3"/>
    <n v="0.18"/>
    <n v="8133.3"/>
    <n v="1463.9939999999999"/>
    <x v="365"/>
    <s v="Credit Card"/>
    <s v="Delivered"/>
    <d v="2024-08-04T00:00:00"/>
    <d v="2024-08-08T00:00:00"/>
    <x v="0"/>
    <x v="0"/>
    <x v="0"/>
    <x v="9"/>
    <s v="Monsoon Mania"/>
    <x v="4"/>
  </r>
  <r>
    <x v="367"/>
    <x v="367"/>
    <x v="16"/>
    <x v="4"/>
    <x v="11"/>
    <x v="1"/>
    <x v="2"/>
    <x v="13"/>
    <x v="16"/>
    <s v="Laptop Model 1"/>
    <n v="1"/>
    <n v="46965"/>
    <n v="0.15"/>
    <n v="39920.25"/>
    <n v="0.05"/>
    <n v="39920.25"/>
    <n v="1996.0125"/>
    <x v="366"/>
    <s v="UPI"/>
    <s v="Delivered"/>
    <d v="2024-05-21T00:00:00"/>
    <d v="2024-05-22T00:00:00"/>
    <x v="0"/>
    <x v="0"/>
    <x v="0"/>
    <x v="2"/>
    <s v="Summer Splash"/>
    <x v="6"/>
  </r>
  <r>
    <x v="368"/>
    <x v="368"/>
    <x v="138"/>
    <x v="1"/>
    <x v="18"/>
    <x v="1"/>
    <x v="4"/>
    <x v="8"/>
    <x v="43"/>
    <s v="Jacket Model 1"/>
    <n v="5"/>
    <n v="1097"/>
    <n v="0.15"/>
    <n v="932.44999999999993"/>
    <n v="0.12"/>
    <n v="4662.25"/>
    <n v="559.47"/>
    <x v="367"/>
    <s v="Credit Card"/>
    <s v="In Transit"/>
    <d v="2024-01-31T00:00:00"/>
    <m/>
    <x v="0"/>
    <x v="0"/>
    <x v="0"/>
    <x v="6"/>
    <s v="New Year Sale"/>
    <x v="2"/>
  </r>
  <r>
    <x v="369"/>
    <x v="369"/>
    <x v="40"/>
    <x v="1"/>
    <x v="18"/>
    <x v="2"/>
    <x v="3"/>
    <x v="11"/>
    <x v="14"/>
    <s v="Cricket Bat Model 1"/>
    <n v="3"/>
    <n v="9536"/>
    <n v="0.1"/>
    <n v="8582.4"/>
    <n v="0.12"/>
    <n v="25747.200000000001"/>
    <n v="3089.6640000000002"/>
    <x v="368"/>
    <s v="Debit Card"/>
    <s v="Delivered"/>
    <d v="2024-04-02T00:00:00"/>
    <d v="2024-04-03T00:00:00"/>
    <x v="0"/>
    <x v="0"/>
    <x v="0"/>
    <x v="2"/>
    <s v="Back to School"/>
    <x v="0"/>
  </r>
  <r>
    <x v="370"/>
    <x v="370"/>
    <x v="58"/>
    <x v="4"/>
    <x v="11"/>
    <x v="1"/>
    <x v="1"/>
    <x v="6"/>
    <x v="28"/>
    <s v="Oil Model 2"/>
    <n v="3"/>
    <n v="790"/>
    <n v="0.05"/>
    <n v="750.5"/>
    <n v="0.12"/>
    <n v="2251.5"/>
    <n v="270.18"/>
    <x v="369"/>
    <s v="COD"/>
    <s v="Delivered"/>
    <d v="2024-12-28T00:00:00"/>
    <d v="2024-12-31T00:00:00"/>
    <x v="0"/>
    <x v="0"/>
    <x v="0"/>
    <x v="2"/>
    <s v="Clearance"/>
    <x v="4"/>
  </r>
  <r>
    <x v="371"/>
    <x v="371"/>
    <x v="45"/>
    <x v="0"/>
    <x v="14"/>
    <x v="0"/>
    <x v="2"/>
    <x v="23"/>
    <x v="45"/>
    <s v="Smartwatch Model 3"/>
    <n v="4"/>
    <n v="55852"/>
    <n v="0.1"/>
    <n v="50266.8"/>
    <n v="0.12"/>
    <n v="201067.2"/>
    <n v="24128.063999999998"/>
    <x v="370"/>
    <s v="Debit Card"/>
    <s v="Delivered"/>
    <d v="2024-12-04T00:00:00"/>
    <d v="2024-12-06T00:00:00"/>
    <x v="0"/>
    <x v="0"/>
    <x v="0"/>
    <x v="9"/>
    <s v="New Year Sale"/>
    <x v="3"/>
  </r>
  <r>
    <x v="372"/>
    <x v="372"/>
    <x v="87"/>
    <x v="3"/>
    <x v="7"/>
    <x v="3"/>
    <x v="2"/>
    <x v="12"/>
    <x v="15"/>
    <s v="Headphones Model 2"/>
    <n v="3"/>
    <n v="56260"/>
    <n v="0"/>
    <n v="56260"/>
    <n v="0.12"/>
    <n v="168780"/>
    <n v="20253.599999999999"/>
    <x v="371"/>
    <s v="Credit Card"/>
    <s v="Delivered"/>
    <d v="2025-03-08T00:00:00"/>
    <d v="2025-03-09T00:00:00"/>
    <x v="0"/>
    <x v="0"/>
    <x v="0"/>
    <x v="5"/>
    <s v="Festival Fever"/>
    <x v="1"/>
  </r>
  <r>
    <x v="373"/>
    <x v="373"/>
    <x v="156"/>
    <x v="4"/>
    <x v="17"/>
    <x v="2"/>
    <x v="4"/>
    <x v="24"/>
    <x v="66"/>
    <s v="Jeans Model 3"/>
    <n v="1"/>
    <n v="503"/>
    <n v="0.1"/>
    <n v="452.7"/>
    <n v="0.05"/>
    <n v="452.7"/>
    <n v="22.635000000000002"/>
    <x v="372"/>
    <s v="UPI"/>
    <s v="Delivered"/>
    <d v="2024-11-24T00:00:00"/>
    <d v="2024-11-27T00:00:00"/>
    <x v="0"/>
    <x v="0"/>
    <x v="0"/>
    <x v="4"/>
    <s v="Clearance"/>
    <x v="4"/>
  </r>
  <r>
    <x v="374"/>
    <x v="374"/>
    <x v="159"/>
    <x v="2"/>
    <x v="4"/>
    <x v="0"/>
    <x v="3"/>
    <x v="11"/>
    <x v="14"/>
    <s v="Cricket Bat Model 1"/>
    <n v="3"/>
    <n v="6291"/>
    <n v="0.15"/>
    <n v="5347.3499999999995"/>
    <n v="0.05"/>
    <n v="16042.05"/>
    <n v="802.10249999999996"/>
    <x v="373"/>
    <s v="Credit Card"/>
    <s v="Cancelled"/>
    <m/>
    <m/>
    <x v="0"/>
    <x v="0"/>
    <x v="0"/>
    <x v="5"/>
    <s v="Diwali Blast"/>
    <x v="2"/>
  </r>
  <r>
    <x v="375"/>
    <x v="375"/>
    <x v="139"/>
    <x v="2"/>
    <x v="9"/>
    <x v="0"/>
    <x v="4"/>
    <x v="8"/>
    <x v="43"/>
    <s v="Jacket Model 1"/>
    <n v="1"/>
    <n v="1112"/>
    <n v="0.05"/>
    <n v="1056.4000000000001"/>
    <n v="0.12"/>
    <n v="1056.4000000000001"/>
    <n v="126.768"/>
    <x v="374"/>
    <s v="UPI"/>
    <s v="Delivered"/>
    <d v="2025-02-16T00:00:00"/>
    <d v="2025-02-19T00:00:00"/>
    <x v="0"/>
    <x v="0"/>
    <x v="0"/>
    <x v="4"/>
    <s v="Back to School"/>
    <x v="3"/>
  </r>
  <r>
    <x v="376"/>
    <x v="376"/>
    <x v="127"/>
    <x v="0"/>
    <x v="0"/>
    <x v="0"/>
    <x v="1"/>
    <x v="6"/>
    <x v="34"/>
    <s v="Oil Model 3"/>
    <n v="3"/>
    <n v="1024"/>
    <n v="0.05"/>
    <n v="972.8"/>
    <n v="0.12"/>
    <n v="2918.4"/>
    <n v="350.20800000000003"/>
    <x v="375"/>
    <s v="UPI"/>
    <s v="Shipped"/>
    <d v="2024-07-16T00:00:00"/>
    <m/>
    <x v="0"/>
    <x v="0"/>
    <x v="0"/>
    <x v="0"/>
    <s v="Festival Fever"/>
    <x v="2"/>
  </r>
  <r>
    <x v="377"/>
    <x v="377"/>
    <x v="128"/>
    <x v="4"/>
    <x v="11"/>
    <x v="1"/>
    <x v="0"/>
    <x v="14"/>
    <x v="17"/>
    <s v="Vacuum Model 3"/>
    <n v="2"/>
    <n v="11782"/>
    <n v="0.05"/>
    <n v="11192.9"/>
    <n v="0.18"/>
    <n v="22385.8"/>
    <n v="4029.444"/>
    <x v="376"/>
    <s v="Debit Card"/>
    <s v="Delivered"/>
    <d v="2024-02-16T00:00:00"/>
    <d v="2024-02-20T00:00:00"/>
    <x v="0"/>
    <x v="0"/>
    <x v="0"/>
    <x v="4"/>
    <s v="Festival Fever"/>
    <x v="0"/>
  </r>
  <r>
    <x v="378"/>
    <x v="378"/>
    <x v="72"/>
    <x v="4"/>
    <x v="11"/>
    <x v="1"/>
    <x v="2"/>
    <x v="3"/>
    <x v="57"/>
    <s v="Smartphone Model 1"/>
    <n v="3"/>
    <n v="35442"/>
    <n v="0"/>
    <n v="35442"/>
    <n v="0.12"/>
    <n v="106326"/>
    <n v="12759.12"/>
    <x v="377"/>
    <s v="NetBanking"/>
    <s v="Delivered"/>
    <d v="2024-09-03T00:00:00"/>
    <d v="2024-09-07T00:00:00"/>
    <x v="0"/>
    <x v="0"/>
    <x v="0"/>
    <x v="5"/>
    <s v="Back to School"/>
    <x v="0"/>
  </r>
  <r>
    <x v="379"/>
    <x v="379"/>
    <x v="54"/>
    <x v="2"/>
    <x v="9"/>
    <x v="0"/>
    <x v="3"/>
    <x v="16"/>
    <x v="22"/>
    <s v="Football Model 1"/>
    <n v="2"/>
    <n v="4006"/>
    <n v="0.05"/>
    <n v="3805.7"/>
    <n v="0.05"/>
    <n v="7611.4"/>
    <n v="380.57"/>
    <x v="378"/>
    <s v="UPI"/>
    <s v="Delivered"/>
    <d v="2024-10-16T00:00:00"/>
    <d v="2024-10-18T00:00:00"/>
    <x v="0"/>
    <x v="0"/>
    <x v="0"/>
    <x v="4"/>
    <s v="New Year Sale"/>
    <x v="6"/>
  </r>
  <r>
    <x v="380"/>
    <x v="380"/>
    <x v="50"/>
    <x v="3"/>
    <x v="15"/>
    <x v="0"/>
    <x v="4"/>
    <x v="24"/>
    <x v="55"/>
    <s v="Jeans Model 2"/>
    <n v="4"/>
    <n v="2504"/>
    <n v="0"/>
    <n v="2504"/>
    <n v="0.12"/>
    <n v="10016"/>
    <n v="1201.92"/>
    <x v="379"/>
    <s v="COD"/>
    <s v="Delivered"/>
    <d v="2025-03-17T00:00:00"/>
    <d v="2025-03-18T00:00:00"/>
    <x v="0"/>
    <x v="0"/>
    <x v="0"/>
    <x v="6"/>
    <s v="Back to School"/>
    <x v="0"/>
  </r>
  <r>
    <x v="381"/>
    <x v="381"/>
    <x v="160"/>
    <x v="1"/>
    <x v="5"/>
    <x v="0"/>
    <x v="2"/>
    <x v="23"/>
    <x v="47"/>
    <s v="Smartwatch Model 1"/>
    <n v="3"/>
    <n v="36115"/>
    <n v="0.05"/>
    <n v="34309.25"/>
    <n v="0.12"/>
    <n v="102927.75"/>
    <n v="12351.33"/>
    <x v="380"/>
    <s v="NetBanking"/>
    <s v="Delivered"/>
    <d v="2024-05-30T00:00:00"/>
    <d v="2024-05-31T00:00:00"/>
    <x v="0"/>
    <x v="0"/>
    <x v="0"/>
    <x v="6"/>
    <s v="New Year Sale"/>
    <x v="5"/>
  </r>
  <r>
    <x v="382"/>
    <x v="382"/>
    <x v="9"/>
    <x v="4"/>
    <x v="8"/>
    <x v="0"/>
    <x v="1"/>
    <x v="15"/>
    <x v="21"/>
    <s v="Rice Model 3"/>
    <n v="1"/>
    <n v="592"/>
    <n v="0"/>
    <n v="592"/>
    <n v="0.12"/>
    <n v="592"/>
    <n v="71.039999999999992"/>
    <x v="381"/>
    <s v="Credit Card"/>
    <s v="Delivered"/>
    <d v="2024-06-28T00:00:00"/>
    <d v="2024-06-29T00:00:00"/>
    <x v="0"/>
    <x v="0"/>
    <x v="0"/>
    <x v="1"/>
    <s v="Back to School"/>
    <x v="6"/>
  </r>
  <r>
    <x v="383"/>
    <x v="383"/>
    <x v="50"/>
    <x v="3"/>
    <x v="15"/>
    <x v="0"/>
    <x v="3"/>
    <x v="7"/>
    <x v="9"/>
    <s v="Dumbbells Model 3"/>
    <n v="3"/>
    <n v="8937"/>
    <n v="0.15"/>
    <n v="7596.45"/>
    <n v="0.12"/>
    <n v="22789.35"/>
    <n v="2734.7220000000002"/>
    <x v="382"/>
    <s v="Credit Card"/>
    <s v="Delivered"/>
    <d v="2025-03-28T00:00:00"/>
    <d v="2025-03-31T00:00:00"/>
    <x v="0"/>
    <x v="0"/>
    <x v="0"/>
    <x v="5"/>
    <s v="New Year Sale"/>
    <x v="5"/>
  </r>
  <r>
    <x v="384"/>
    <x v="384"/>
    <x v="131"/>
    <x v="1"/>
    <x v="18"/>
    <x v="0"/>
    <x v="1"/>
    <x v="18"/>
    <x v="42"/>
    <s v="Beverage Model 3"/>
    <n v="3"/>
    <n v="426"/>
    <n v="0.05"/>
    <n v="404.7"/>
    <n v="0.05"/>
    <n v="1214.0999999999999"/>
    <n v="60.704999999999998"/>
    <x v="383"/>
    <s v="NetBanking"/>
    <s v="Delivered"/>
    <d v="2024-06-26T00:00:00"/>
    <d v="2024-06-30T00:00:00"/>
    <x v="0"/>
    <x v="0"/>
    <x v="0"/>
    <x v="6"/>
    <s v="Festival Fever"/>
    <x v="2"/>
  </r>
  <r>
    <x v="385"/>
    <x v="385"/>
    <x v="4"/>
    <x v="2"/>
    <x v="4"/>
    <x v="0"/>
    <x v="0"/>
    <x v="1"/>
    <x v="38"/>
    <s v="Cookware Model 1"/>
    <n v="2"/>
    <n v="14965"/>
    <n v="0"/>
    <n v="14965"/>
    <n v="0.05"/>
    <n v="29930"/>
    <n v="1496.5"/>
    <x v="384"/>
    <s v="Debit Card"/>
    <s v="Delivered"/>
    <d v="2024-05-11T00:00:00"/>
    <d v="2024-05-16T00:00:00"/>
    <x v="0"/>
    <x v="0"/>
    <x v="0"/>
    <x v="8"/>
    <s v="Clearance"/>
    <x v="0"/>
  </r>
  <r>
    <x v="386"/>
    <x v="386"/>
    <x v="161"/>
    <x v="3"/>
    <x v="10"/>
    <x v="0"/>
    <x v="0"/>
    <x v="0"/>
    <x v="0"/>
    <s v="Air Purifier Model 1"/>
    <n v="2"/>
    <n v="14208"/>
    <n v="0.05"/>
    <n v="13497.6"/>
    <n v="0.12"/>
    <n v="26995.200000000001"/>
    <n v="3239.424"/>
    <x v="385"/>
    <s v="Credit Card"/>
    <s v="Delivered"/>
    <d v="2024-07-03T00:00:00"/>
    <d v="2024-07-05T00:00:00"/>
    <x v="0"/>
    <x v="0"/>
    <x v="0"/>
    <x v="2"/>
    <s v="Festival Fever"/>
    <x v="1"/>
  </r>
  <r>
    <x v="387"/>
    <x v="387"/>
    <x v="85"/>
    <x v="2"/>
    <x v="9"/>
    <x v="0"/>
    <x v="2"/>
    <x v="13"/>
    <x v="41"/>
    <s v="Laptop Model 3"/>
    <n v="2"/>
    <n v="57336"/>
    <n v="0.05"/>
    <n v="54469.2"/>
    <n v="0.12"/>
    <n v="108938.4"/>
    <n v="13072.608"/>
    <x v="386"/>
    <s v="NetBanking"/>
    <s v="Delivered"/>
    <d v="2024-01-14T00:00:00"/>
    <d v="2024-01-19T00:00:00"/>
    <x v="0"/>
    <x v="0"/>
    <x v="0"/>
    <x v="2"/>
    <s v="Monsoon Mania"/>
    <x v="2"/>
  </r>
  <r>
    <x v="388"/>
    <x v="388"/>
    <x v="32"/>
    <x v="3"/>
    <x v="15"/>
    <x v="1"/>
    <x v="0"/>
    <x v="1"/>
    <x v="3"/>
    <s v="Cookware Model 3"/>
    <n v="4"/>
    <n v="13005"/>
    <n v="0.05"/>
    <n v="12354.75"/>
    <n v="0.18"/>
    <n v="49419"/>
    <n v="8895.42"/>
    <x v="387"/>
    <s v="Debit Card"/>
    <s v="Delivered"/>
    <d v="2024-04-19T00:00:00"/>
    <d v="2024-04-22T00:00:00"/>
    <x v="0"/>
    <x v="0"/>
    <x v="0"/>
    <x v="7"/>
    <s v="Festival Fever"/>
    <x v="5"/>
  </r>
  <r>
    <x v="389"/>
    <x v="389"/>
    <x v="88"/>
    <x v="4"/>
    <x v="16"/>
    <x v="0"/>
    <x v="4"/>
    <x v="9"/>
    <x v="13"/>
    <s v="Hoodie Model 1"/>
    <n v="2"/>
    <n v="1526"/>
    <n v="0"/>
    <n v="1526"/>
    <n v="0.12"/>
    <n v="3052"/>
    <n v="366.24"/>
    <x v="388"/>
    <s v="Debit Card"/>
    <s v="Delivered"/>
    <d v="2024-10-11T00:00:00"/>
    <d v="2024-10-14T00:00:00"/>
    <x v="0"/>
    <x v="0"/>
    <x v="0"/>
    <x v="4"/>
    <s v="Summer Splash"/>
    <x v="1"/>
  </r>
  <r>
    <x v="390"/>
    <x v="390"/>
    <x v="0"/>
    <x v="0"/>
    <x v="0"/>
    <x v="0"/>
    <x v="0"/>
    <x v="21"/>
    <x v="51"/>
    <s v="Lamp Model 2"/>
    <n v="3"/>
    <n v="14783"/>
    <n v="0"/>
    <n v="14783"/>
    <n v="0.05"/>
    <n v="44349"/>
    <n v="2217.4499999999998"/>
    <x v="389"/>
    <s v="Credit Card"/>
    <s v="Delivered"/>
    <d v="2025-01-08T00:00:00"/>
    <d v="2025-01-12T00:00:00"/>
    <x v="0"/>
    <x v="0"/>
    <x v="0"/>
    <x v="6"/>
    <s v="Festival Fever"/>
    <x v="1"/>
  </r>
  <r>
    <x v="391"/>
    <x v="391"/>
    <x v="34"/>
    <x v="4"/>
    <x v="8"/>
    <x v="2"/>
    <x v="4"/>
    <x v="8"/>
    <x v="10"/>
    <s v="Jacket Model 3"/>
    <n v="2"/>
    <n v="2109"/>
    <n v="0.2"/>
    <n v="1687.2"/>
    <n v="0.18"/>
    <n v="3374.4"/>
    <n v="607.39199999999994"/>
    <x v="390"/>
    <s v="UPI"/>
    <s v="Delivered"/>
    <d v="2024-09-06T00:00:00"/>
    <d v="2024-09-09T00:00:00"/>
    <x v="0"/>
    <x v="0"/>
    <x v="0"/>
    <x v="0"/>
    <s v="Festival Fever"/>
    <x v="4"/>
  </r>
  <r>
    <x v="392"/>
    <x v="392"/>
    <x v="121"/>
    <x v="2"/>
    <x v="6"/>
    <x v="0"/>
    <x v="0"/>
    <x v="0"/>
    <x v="1"/>
    <s v="Air Purifier Model 2"/>
    <n v="2"/>
    <n v="5426"/>
    <n v="0.1"/>
    <n v="4883.4000000000005"/>
    <n v="0.18"/>
    <n v="9766.8000000000011"/>
    <n v="1758.0239999999999"/>
    <x v="391"/>
    <s v="UPI"/>
    <s v="In Transit"/>
    <d v="2024-11-21T00:00:00"/>
    <m/>
    <x v="0"/>
    <x v="0"/>
    <x v="0"/>
    <x v="1"/>
    <s v="Diwali Blast"/>
    <x v="5"/>
  </r>
  <r>
    <x v="393"/>
    <x v="393"/>
    <x v="109"/>
    <x v="1"/>
    <x v="1"/>
    <x v="0"/>
    <x v="0"/>
    <x v="22"/>
    <x v="44"/>
    <s v="Mixer Model 3"/>
    <n v="1"/>
    <n v="8221"/>
    <n v="0.1"/>
    <n v="7398.9000000000005"/>
    <n v="0.12"/>
    <n v="7398.9000000000005"/>
    <n v="887.86800000000005"/>
    <x v="392"/>
    <s v="UPI"/>
    <s v="Delivered"/>
    <d v="2024-03-19T00:00:00"/>
    <d v="2024-03-23T00:00:00"/>
    <x v="0"/>
    <x v="0"/>
    <x v="0"/>
    <x v="4"/>
    <s v="Clearance"/>
    <x v="3"/>
  </r>
  <r>
    <x v="394"/>
    <x v="394"/>
    <x v="3"/>
    <x v="3"/>
    <x v="3"/>
    <x v="3"/>
    <x v="3"/>
    <x v="10"/>
    <x v="52"/>
    <s v="Yoga Mat Model 2"/>
    <n v="1"/>
    <n v="607"/>
    <n v="0.15"/>
    <n v="515.94999999999993"/>
    <n v="0.05"/>
    <n v="515.94999999999993"/>
    <n v="25.797499999999999"/>
    <x v="393"/>
    <s v="UPI"/>
    <s v="Delivered"/>
    <d v="2024-05-17T00:00:00"/>
    <d v="2024-05-22T00:00:00"/>
    <x v="0"/>
    <x v="0"/>
    <x v="0"/>
    <x v="7"/>
    <s v="Diwali Blast"/>
    <x v="4"/>
  </r>
  <r>
    <x v="395"/>
    <x v="395"/>
    <x v="60"/>
    <x v="1"/>
    <x v="18"/>
    <x v="1"/>
    <x v="1"/>
    <x v="15"/>
    <x v="58"/>
    <s v="Rice Model 2"/>
    <n v="2"/>
    <n v="509"/>
    <n v="0"/>
    <n v="509"/>
    <n v="0.12"/>
    <n v="1018"/>
    <n v="122.16"/>
    <x v="394"/>
    <s v="Credit Card"/>
    <s v="Delivered"/>
    <d v="2024-01-08T00:00:00"/>
    <d v="2024-01-12T00:00:00"/>
    <x v="0"/>
    <x v="0"/>
    <x v="0"/>
    <x v="4"/>
    <s v="Diwali Blast"/>
    <x v="5"/>
  </r>
  <r>
    <x v="396"/>
    <x v="396"/>
    <x v="82"/>
    <x v="1"/>
    <x v="1"/>
    <x v="0"/>
    <x v="1"/>
    <x v="6"/>
    <x v="28"/>
    <s v="Oil Model 2"/>
    <n v="2"/>
    <n v="662"/>
    <n v="0.05"/>
    <n v="628.9"/>
    <n v="0.12"/>
    <n v="1257.8"/>
    <n v="150.93600000000001"/>
    <x v="395"/>
    <s v="Debit Card"/>
    <s v="Delivered"/>
    <d v="2024-03-26T00:00:00"/>
    <d v="2024-03-29T00:00:00"/>
    <x v="0"/>
    <x v="0"/>
    <x v="0"/>
    <x v="4"/>
    <s v="New Year Sale"/>
    <x v="2"/>
  </r>
  <r>
    <x v="397"/>
    <x v="397"/>
    <x v="148"/>
    <x v="4"/>
    <x v="16"/>
    <x v="0"/>
    <x v="3"/>
    <x v="4"/>
    <x v="71"/>
    <s v="Tennis Racket Model 2"/>
    <n v="1"/>
    <n v="7915"/>
    <n v="0"/>
    <n v="7915"/>
    <n v="0.12"/>
    <n v="7915"/>
    <n v="949.8"/>
    <x v="396"/>
    <s v="COD"/>
    <s v="Delivered"/>
    <d v="2024-02-06T00:00:00"/>
    <d v="2024-02-11T00:00:00"/>
    <x v="0"/>
    <x v="0"/>
    <x v="0"/>
    <x v="8"/>
    <s v="New Year Sale"/>
    <x v="1"/>
  </r>
  <r>
    <x v="398"/>
    <x v="398"/>
    <x v="123"/>
    <x v="2"/>
    <x v="2"/>
    <x v="2"/>
    <x v="2"/>
    <x v="13"/>
    <x v="41"/>
    <s v="Laptop Model 3"/>
    <n v="2"/>
    <n v="10368"/>
    <n v="0.05"/>
    <n v="9849.6"/>
    <n v="0.18"/>
    <n v="19699.2"/>
    <n v="3545.8560000000002"/>
    <x v="397"/>
    <s v="NetBanking"/>
    <s v="In Transit"/>
    <d v="2024-12-27T00:00:00"/>
    <m/>
    <x v="0"/>
    <x v="0"/>
    <x v="0"/>
    <x v="4"/>
    <s v="Festival Fever"/>
    <x v="5"/>
  </r>
  <r>
    <x v="399"/>
    <x v="399"/>
    <x v="55"/>
    <x v="4"/>
    <x v="8"/>
    <x v="0"/>
    <x v="4"/>
    <x v="17"/>
    <x v="32"/>
    <s v="T-Shirt Model 3"/>
    <n v="1"/>
    <n v="1044"/>
    <n v="0"/>
    <n v="1044"/>
    <n v="0.18"/>
    <n v="1044"/>
    <n v="187.92"/>
    <x v="398"/>
    <s v="NetBanking"/>
    <s v="Cancelled"/>
    <m/>
    <m/>
    <x v="0"/>
    <x v="0"/>
    <x v="0"/>
    <x v="0"/>
    <s v="Summer Splash"/>
    <x v="3"/>
  </r>
  <r>
    <x v="400"/>
    <x v="400"/>
    <x v="29"/>
    <x v="0"/>
    <x v="0"/>
    <x v="0"/>
    <x v="0"/>
    <x v="14"/>
    <x v="60"/>
    <s v="Vacuum Model 1"/>
    <n v="1"/>
    <n v="9815"/>
    <n v="0.15"/>
    <n v="8342.75"/>
    <n v="0.18"/>
    <n v="8342.75"/>
    <n v="1501.6949999999999"/>
    <x v="399"/>
    <s v="Credit Card"/>
    <s v="Delivered"/>
    <d v="2024-08-31T00:00:00"/>
    <d v="2024-09-04T00:00:00"/>
    <x v="0"/>
    <x v="0"/>
    <x v="0"/>
    <x v="5"/>
    <s v="Diwali Blast"/>
    <x v="5"/>
  </r>
  <r>
    <x v="401"/>
    <x v="401"/>
    <x v="25"/>
    <x v="2"/>
    <x v="6"/>
    <x v="1"/>
    <x v="4"/>
    <x v="5"/>
    <x v="19"/>
    <s v="Dress Model 1"/>
    <n v="3"/>
    <n v="1432"/>
    <n v="0.15"/>
    <n v="1217.2"/>
    <n v="0.12"/>
    <n v="3651.6"/>
    <n v="438.19200000000001"/>
    <x v="400"/>
    <s v="Credit Card"/>
    <s v="Delivered"/>
    <d v="2025-01-11T00:00:00"/>
    <d v="2025-01-16T00:00:00"/>
    <x v="0"/>
    <x v="0"/>
    <x v="0"/>
    <x v="5"/>
    <s v="Diwali Blast"/>
    <x v="4"/>
  </r>
  <r>
    <x v="402"/>
    <x v="402"/>
    <x v="56"/>
    <x v="2"/>
    <x v="6"/>
    <x v="0"/>
    <x v="4"/>
    <x v="5"/>
    <x v="19"/>
    <s v="Dress Model 1"/>
    <n v="1"/>
    <n v="550"/>
    <n v="0.05"/>
    <n v="522.5"/>
    <n v="0.18"/>
    <n v="522.5"/>
    <n v="94.05"/>
    <x v="401"/>
    <s v="UPI"/>
    <s v="Delivered"/>
    <d v="2024-05-10T00:00:00"/>
    <d v="2024-05-11T00:00:00"/>
    <x v="0"/>
    <x v="0"/>
    <x v="0"/>
    <x v="3"/>
    <s v="Diwali Blast"/>
    <x v="5"/>
  </r>
  <r>
    <x v="403"/>
    <x v="403"/>
    <x v="69"/>
    <x v="3"/>
    <x v="10"/>
    <x v="1"/>
    <x v="3"/>
    <x v="4"/>
    <x v="71"/>
    <s v="Tennis Racket Model 2"/>
    <n v="3"/>
    <n v="4444"/>
    <n v="0"/>
    <n v="4444"/>
    <n v="0.05"/>
    <n v="13332"/>
    <n v="666.6"/>
    <x v="402"/>
    <s v="NetBanking"/>
    <s v="Delivered"/>
    <d v="2024-06-19T00:00:00"/>
    <d v="2024-06-23T00:00:00"/>
    <x v="0"/>
    <x v="0"/>
    <x v="0"/>
    <x v="0"/>
    <s v="Festival Fever"/>
    <x v="6"/>
  </r>
  <r>
    <x v="404"/>
    <x v="404"/>
    <x v="73"/>
    <x v="2"/>
    <x v="6"/>
    <x v="0"/>
    <x v="3"/>
    <x v="16"/>
    <x v="22"/>
    <s v="Football Model 1"/>
    <n v="1"/>
    <n v="9646"/>
    <n v="0"/>
    <n v="9646"/>
    <n v="0.12"/>
    <n v="9646"/>
    <n v="1157.52"/>
    <x v="403"/>
    <s v="UPI"/>
    <s v="Delivered"/>
    <d v="2024-02-16T00:00:00"/>
    <d v="2024-02-18T00:00:00"/>
    <x v="0"/>
    <x v="0"/>
    <x v="0"/>
    <x v="2"/>
    <s v="Clearance"/>
    <x v="0"/>
  </r>
  <r>
    <x v="405"/>
    <x v="405"/>
    <x v="162"/>
    <x v="3"/>
    <x v="10"/>
    <x v="1"/>
    <x v="1"/>
    <x v="18"/>
    <x v="42"/>
    <s v="Beverage Model 3"/>
    <n v="4"/>
    <n v="515"/>
    <n v="0.15"/>
    <n v="437.75"/>
    <n v="0.12"/>
    <n v="1751"/>
    <n v="210.12"/>
    <x v="404"/>
    <s v="Credit Card"/>
    <s v="Delivered"/>
    <d v="2025-03-27T00:00:00"/>
    <d v="2025-03-28T00:00:00"/>
    <x v="0"/>
    <x v="0"/>
    <x v="0"/>
    <x v="0"/>
    <s v="Diwali Blast"/>
    <x v="1"/>
  </r>
  <r>
    <x v="406"/>
    <x v="406"/>
    <x v="62"/>
    <x v="2"/>
    <x v="2"/>
    <x v="0"/>
    <x v="0"/>
    <x v="14"/>
    <x v="60"/>
    <s v="Vacuum Model 1"/>
    <n v="2"/>
    <n v="8491"/>
    <n v="0"/>
    <n v="8491"/>
    <n v="0.12"/>
    <n v="16982"/>
    <n v="2037.84"/>
    <x v="405"/>
    <s v="UPI"/>
    <s v="Delivered"/>
    <d v="2024-07-30T00:00:00"/>
    <d v="2024-08-03T00:00:00"/>
    <x v="0"/>
    <x v="0"/>
    <x v="0"/>
    <x v="2"/>
    <s v="Diwali Blast"/>
    <x v="1"/>
  </r>
  <r>
    <x v="407"/>
    <x v="407"/>
    <x v="7"/>
    <x v="2"/>
    <x v="6"/>
    <x v="1"/>
    <x v="0"/>
    <x v="21"/>
    <x v="51"/>
    <s v="Lamp Model 2"/>
    <n v="4"/>
    <n v="4976"/>
    <n v="0.05"/>
    <n v="4727.2"/>
    <n v="0.05"/>
    <n v="18908.8"/>
    <n v="945.44"/>
    <x v="406"/>
    <s v="UPI"/>
    <s v="Delivered"/>
    <d v="2025-01-31T00:00:00"/>
    <d v="2025-02-01T00:00:00"/>
    <x v="0"/>
    <x v="0"/>
    <x v="0"/>
    <x v="8"/>
    <s v="Summer Splash"/>
    <x v="6"/>
  </r>
  <r>
    <x v="408"/>
    <x v="408"/>
    <x v="152"/>
    <x v="2"/>
    <x v="9"/>
    <x v="0"/>
    <x v="4"/>
    <x v="17"/>
    <x v="69"/>
    <s v="T-Shirt Model 1"/>
    <n v="2"/>
    <n v="2139"/>
    <n v="0"/>
    <n v="2139"/>
    <n v="0.18"/>
    <n v="4278"/>
    <n v="770.04"/>
    <x v="407"/>
    <s v="UPI"/>
    <s v="Delivered"/>
    <d v="2024-03-20T00:00:00"/>
    <d v="2024-03-25T00:00:00"/>
    <x v="0"/>
    <x v="0"/>
    <x v="0"/>
    <x v="9"/>
    <s v="New Year Sale"/>
    <x v="4"/>
  </r>
  <r>
    <x v="409"/>
    <x v="409"/>
    <x v="94"/>
    <x v="3"/>
    <x v="15"/>
    <x v="1"/>
    <x v="1"/>
    <x v="18"/>
    <x v="26"/>
    <s v="Beverage Model 2"/>
    <n v="3"/>
    <n v="147"/>
    <n v="0"/>
    <n v="147"/>
    <n v="0.12"/>
    <n v="441"/>
    <n v="52.919999999999987"/>
    <x v="408"/>
    <s v="UPI"/>
    <s v="Delivered"/>
    <d v="2025-04-04T00:00:00"/>
    <d v="2025-04-05T00:00:00"/>
    <x v="0"/>
    <x v="0"/>
    <x v="0"/>
    <x v="5"/>
    <s v="Back to School"/>
    <x v="3"/>
  </r>
  <r>
    <x v="410"/>
    <x v="410"/>
    <x v="102"/>
    <x v="0"/>
    <x v="13"/>
    <x v="0"/>
    <x v="0"/>
    <x v="21"/>
    <x v="63"/>
    <s v="Lamp Model 1"/>
    <n v="4"/>
    <n v="5321"/>
    <n v="0.05"/>
    <n v="5054.95"/>
    <n v="0.05"/>
    <n v="20219.8"/>
    <n v="1010.99"/>
    <x v="409"/>
    <s v="Credit Card"/>
    <s v="Delivered"/>
    <d v="2024-07-01T00:00:00"/>
    <d v="2024-07-02T00:00:00"/>
    <x v="0"/>
    <x v="0"/>
    <x v="0"/>
    <x v="7"/>
    <s v="Back to School"/>
    <x v="1"/>
  </r>
  <r>
    <x v="411"/>
    <x v="411"/>
    <x v="98"/>
    <x v="2"/>
    <x v="4"/>
    <x v="0"/>
    <x v="0"/>
    <x v="21"/>
    <x v="51"/>
    <s v="Lamp Model 2"/>
    <n v="1"/>
    <n v="9618"/>
    <n v="0.05"/>
    <n v="9137.1"/>
    <n v="0.12"/>
    <n v="9137.1"/>
    <n v="1096.452"/>
    <x v="410"/>
    <s v="UPI"/>
    <s v="Delivered"/>
    <d v="2025-01-19T00:00:00"/>
    <d v="2025-01-22T00:00:00"/>
    <x v="0"/>
    <x v="0"/>
    <x v="0"/>
    <x v="2"/>
    <s v="Back to School"/>
    <x v="6"/>
  </r>
  <r>
    <x v="412"/>
    <x v="412"/>
    <x v="133"/>
    <x v="2"/>
    <x v="9"/>
    <x v="3"/>
    <x v="0"/>
    <x v="0"/>
    <x v="0"/>
    <s v="Air Purifier Model 1"/>
    <n v="1"/>
    <n v="13879"/>
    <n v="0.15"/>
    <n v="11797.15"/>
    <n v="0.18"/>
    <n v="11797.15"/>
    <n v="2123.4870000000001"/>
    <x v="411"/>
    <s v="Debit Card"/>
    <s v="Delivered"/>
    <d v="2024-01-19T00:00:00"/>
    <d v="2024-01-21T00:00:00"/>
    <x v="0"/>
    <x v="0"/>
    <x v="0"/>
    <x v="4"/>
    <s v="New Year Sale"/>
    <x v="4"/>
  </r>
  <r>
    <x v="413"/>
    <x v="413"/>
    <x v="129"/>
    <x v="2"/>
    <x v="4"/>
    <x v="0"/>
    <x v="2"/>
    <x v="19"/>
    <x v="39"/>
    <s v="Camera Model 3"/>
    <n v="1"/>
    <n v="57337"/>
    <n v="0.05"/>
    <n v="54470.149999999987"/>
    <n v="0.12"/>
    <n v="54470.149999999987"/>
    <n v="6536.4179999999988"/>
    <x v="412"/>
    <s v="COD"/>
    <s v="Delivered"/>
    <d v="2025-03-21T00:00:00"/>
    <d v="2025-03-24T00:00:00"/>
    <x v="0"/>
    <x v="0"/>
    <x v="0"/>
    <x v="9"/>
    <s v="Diwali Blast"/>
    <x v="5"/>
  </r>
  <r>
    <x v="414"/>
    <x v="414"/>
    <x v="98"/>
    <x v="2"/>
    <x v="4"/>
    <x v="1"/>
    <x v="4"/>
    <x v="17"/>
    <x v="69"/>
    <s v="T-Shirt Model 1"/>
    <n v="1"/>
    <n v="942"/>
    <n v="0.05"/>
    <n v="894.9"/>
    <n v="0.12"/>
    <n v="894.9"/>
    <n v="107.38800000000001"/>
    <x v="413"/>
    <s v="COD"/>
    <s v="Delivered"/>
    <d v="2024-05-13T00:00:00"/>
    <d v="2024-05-15T00:00:00"/>
    <x v="0"/>
    <x v="0"/>
    <x v="0"/>
    <x v="3"/>
    <s v="Diwali Blast"/>
    <x v="3"/>
  </r>
  <r>
    <x v="415"/>
    <x v="415"/>
    <x v="159"/>
    <x v="2"/>
    <x v="4"/>
    <x v="3"/>
    <x v="4"/>
    <x v="17"/>
    <x v="69"/>
    <s v="T-Shirt Model 1"/>
    <n v="1"/>
    <n v="2203"/>
    <n v="0"/>
    <n v="2203"/>
    <n v="0.12"/>
    <n v="2203"/>
    <n v="264.36"/>
    <x v="414"/>
    <s v="COD"/>
    <s v="Delivered"/>
    <d v="2024-10-30T00:00:00"/>
    <d v="2024-11-01T00:00:00"/>
    <x v="0"/>
    <x v="0"/>
    <x v="0"/>
    <x v="9"/>
    <s v="Monsoon Mania"/>
    <x v="1"/>
  </r>
  <r>
    <x v="416"/>
    <x v="416"/>
    <x v="150"/>
    <x v="2"/>
    <x v="6"/>
    <x v="1"/>
    <x v="3"/>
    <x v="4"/>
    <x v="71"/>
    <s v="Tennis Racket Model 2"/>
    <n v="3"/>
    <n v="2964"/>
    <n v="0"/>
    <n v="2964"/>
    <n v="0.18"/>
    <n v="8892"/>
    <n v="1600.56"/>
    <x v="415"/>
    <s v="Credit Card"/>
    <s v="Delivered"/>
    <d v="2024-11-26T00:00:00"/>
    <d v="2024-11-30T00:00:00"/>
    <x v="0"/>
    <x v="0"/>
    <x v="0"/>
    <x v="9"/>
    <s v="Diwali Blast"/>
    <x v="2"/>
  </r>
  <r>
    <x v="417"/>
    <x v="417"/>
    <x v="30"/>
    <x v="1"/>
    <x v="1"/>
    <x v="0"/>
    <x v="1"/>
    <x v="15"/>
    <x v="21"/>
    <s v="Rice Model 3"/>
    <n v="5"/>
    <n v="161"/>
    <n v="0.05"/>
    <n v="152.94999999999999"/>
    <n v="0.18"/>
    <n v="764.75"/>
    <n v="137.655"/>
    <x v="416"/>
    <s v="UPI"/>
    <s v="Delivered"/>
    <d v="2024-02-14T00:00:00"/>
    <d v="2024-02-19T00:00:00"/>
    <x v="0"/>
    <x v="0"/>
    <x v="0"/>
    <x v="3"/>
    <s v="Monsoon Mania"/>
    <x v="6"/>
  </r>
  <r>
    <x v="418"/>
    <x v="418"/>
    <x v="18"/>
    <x v="0"/>
    <x v="0"/>
    <x v="3"/>
    <x v="2"/>
    <x v="13"/>
    <x v="41"/>
    <s v="Laptop Model 3"/>
    <n v="1"/>
    <n v="6231"/>
    <n v="0"/>
    <n v="6231"/>
    <n v="0.18"/>
    <n v="6231"/>
    <n v="1121.58"/>
    <x v="417"/>
    <s v="UPI"/>
    <s v="Delivered"/>
    <d v="2024-01-19T00:00:00"/>
    <d v="2024-01-23T00:00:00"/>
    <x v="0"/>
    <x v="0"/>
    <x v="0"/>
    <x v="6"/>
    <s v="Festival Fever"/>
    <x v="2"/>
  </r>
  <r>
    <x v="419"/>
    <x v="419"/>
    <x v="49"/>
    <x v="2"/>
    <x v="4"/>
    <x v="0"/>
    <x v="2"/>
    <x v="3"/>
    <x v="57"/>
    <s v="Smartphone Model 1"/>
    <n v="1"/>
    <n v="22903"/>
    <n v="0"/>
    <n v="22903"/>
    <n v="0.12"/>
    <n v="22903"/>
    <n v="2748.36"/>
    <x v="418"/>
    <s v="Credit Card"/>
    <s v="Delivered"/>
    <d v="2025-03-22T00:00:00"/>
    <d v="2025-03-23T00:00:00"/>
    <x v="0"/>
    <x v="0"/>
    <x v="0"/>
    <x v="3"/>
    <s v="New Year Sale"/>
    <x v="4"/>
  </r>
  <r>
    <x v="420"/>
    <x v="420"/>
    <x v="11"/>
    <x v="2"/>
    <x v="9"/>
    <x v="0"/>
    <x v="4"/>
    <x v="17"/>
    <x v="69"/>
    <s v="T-Shirt Model 1"/>
    <n v="4"/>
    <n v="2998"/>
    <n v="0.05"/>
    <n v="2848.1"/>
    <n v="0.12"/>
    <n v="11392.4"/>
    <n v="1367.088"/>
    <x v="419"/>
    <s v="COD"/>
    <s v="Delivered"/>
    <d v="2024-06-02T00:00:00"/>
    <d v="2024-06-06T00:00:00"/>
    <x v="0"/>
    <x v="0"/>
    <x v="0"/>
    <x v="8"/>
    <s v="Monsoon Mania"/>
    <x v="5"/>
  </r>
  <r>
    <x v="421"/>
    <x v="421"/>
    <x v="6"/>
    <x v="1"/>
    <x v="5"/>
    <x v="3"/>
    <x v="0"/>
    <x v="0"/>
    <x v="0"/>
    <s v="Air Purifier Model 1"/>
    <n v="2"/>
    <n v="3849"/>
    <n v="0"/>
    <n v="3849"/>
    <n v="0.12"/>
    <n v="7698"/>
    <n v="923.76"/>
    <x v="420"/>
    <s v="NetBanking"/>
    <s v="Delivered"/>
    <d v="2025-01-15T00:00:00"/>
    <d v="2025-01-20T00:00:00"/>
    <x v="0"/>
    <x v="0"/>
    <x v="0"/>
    <x v="0"/>
    <s v="Diwali Blast"/>
    <x v="6"/>
  </r>
  <r>
    <x v="422"/>
    <x v="422"/>
    <x v="69"/>
    <x v="3"/>
    <x v="10"/>
    <x v="0"/>
    <x v="2"/>
    <x v="13"/>
    <x v="16"/>
    <s v="Laptop Model 1"/>
    <n v="2"/>
    <n v="49215"/>
    <n v="0"/>
    <n v="49215"/>
    <n v="0.12"/>
    <n v="98430"/>
    <n v="11811.6"/>
    <x v="421"/>
    <s v="UPI"/>
    <s v="Delivered"/>
    <d v="2024-12-05T00:00:00"/>
    <d v="2024-12-10T00:00:00"/>
    <x v="0"/>
    <x v="0"/>
    <x v="0"/>
    <x v="3"/>
    <s v="Monsoon Mania"/>
    <x v="5"/>
  </r>
  <r>
    <x v="423"/>
    <x v="423"/>
    <x v="12"/>
    <x v="2"/>
    <x v="4"/>
    <x v="0"/>
    <x v="1"/>
    <x v="2"/>
    <x v="62"/>
    <s v="Snacks Model 3"/>
    <n v="1"/>
    <n v="87"/>
    <n v="0.15"/>
    <n v="73.95"/>
    <n v="0.18"/>
    <n v="73.95"/>
    <n v="13.311"/>
    <x v="422"/>
    <s v="Credit Card"/>
    <s v="In Transit"/>
    <d v="2025-03-02T00:00:00"/>
    <m/>
    <x v="0"/>
    <x v="0"/>
    <x v="0"/>
    <x v="8"/>
    <s v="Clearance"/>
    <x v="2"/>
  </r>
  <r>
    <x v="424"/>
    <x v="424"/>
    <x v="109"/>
    <x v="1"/>
    <x v="1"/>
    <x v="3"/>
    <x v="4"/>
    <x v="9"/>
    <x v="11"/>
    <s v="Hoodie Model 3"/>
    <n v="3"/>
    <n v="2725"/>
    <n v="0"/>
    <n v="2725"/>
    <n v="0.05"/>
    <n v="8175"/>
    <n v="408.75"/>
    <x v="423"/>
    <s v="Credit Card"/>
    <s v="Delivered"/>
    <d v="2024-09-26T00:00:00"/>
    <d v="2024-09-28T00:00:00"/>
    <x v="0"/>
    <x v="0"/>
    <x v="0"/>
    <x v="6"/>
    <s v="Summer Splash"/>
    <x v="5"/>
  </r>
  <r>
    <x v="425"/>
    <x v="425"/>
    <x v="123"/>
    <x v="2"/>
    <x v="2"/>
    <x v="1"/>
    <x v="2"/>
    <x v="19"/>
    <x v="73"/>
    <s v="Camera Model 1"/>
    <n v="2"/>
    <n v="30115"/>
    <n v="0"/>
    <n v="30115"/>
    <n v="0.12"/>
    <n v="60230"/>
    <n v="7227.5999999999995"/>
    <x v="424"/>
    <s v="Debit Card"/>
    <s v="Delivered"/>
    <d v="2025-04-24T00:00:00"/>
    <d v="2025-04-29T00:00:00"/>
    <x v="0"/>
    <x v="0"/>
    <x v="0"/>
    <x v="3"/>
    <s v="New Year Sale"/>
    <x v="3"/>
  </r>
  <r>
    <x v="426"/>
    <x v="426"/>
    <x v="137"/>
    <x v="4"/>
    <x v="11"/>
    <x v="0"/>
    <x v="2"/>
    <x v="19"/>
    <x v="39"/>
    <s v="Camera Model 3"/>
    <n v="1"/>
    <n v="15885"/>
    <n v="0.05"/>
    <n v="15090.75"/>
    <n v="0.05"/>
    <n v="15090.75"/>
    <n v="754.53750000000002"/>
    <x v="425"/>
    <s v="UPI"/>
    <s v="Delivered"/>
    <d v="2025-03-30T00:00:00"/>
    <d v="2025-04-01T00:00:00"/>
    <x v="0"/>
    <x v="0"/>
    <x v="0"/>
    <x v="0"/>
    <s v="New Year Sale"/>
    <x v="2"/>
  </r>
  <r>
    <x v="427"/>
    <x v="427"/>
    <x v="100"/>
    <x v="2"/>
    <x v="6"/>
    <x v="0"/>
    <x v="4"/>
    <x v="8"/>
    <x v="10"/>
    <s v="Jacket Model 3"/>
    <n v="4"/>
    <n v="867"/>
    <n v="0.1"/>
    <n v="780.30000000000007"/>
    <n v="0.18"/>
    <n v="3121.2"/>
    <n v="561.81600000000003"/>
    <x v="426"/>
    <s v="UPI"/>
    <s v="Delivered"/>
    <d v="2024-03-18T00:00:00"/>
    <d v="2024-03-20T00:00:00"/>
    <x v="0"/>
    <x v="0"/>
    <x v="0"/>
    <x v="0"/>
    <s v="New Year Sale"/>
    <x v="0"/>
  </r>
  <r>
    <x v="428"/>
    <x v="428"/>
    <x v="5"/>
    <x v="2"/>
    <x v="4"/>
    <x v="0"/>
    <x v="0"/>
    <x v="21"/>
    <x v="51"/>
    <s v="Lamp Model 2"/>
    <n v="1"/>
    <n v="1306"/>
    <n v="0"/>
    <n v="1306"/>
    <n v="0.12"/>
    <n v="1306"/>
    <n v="156.72"/>
    <x v="218"/>
    <s v="UPI"/>
    <s v="Delivered"/>
    <d v="2025-02-22T00:00:00"/>
    <d v="2025-02-23T00:00:00"/>
    <x v="0"/>
    <x v="0"/>
    <x v="0"/>
    <x v="8"/>
    <s v="Back to School"/>
    <x v="5"/>
  </r>
  <r>
    <x v="429"/>
    <x v="429"/>
    <x v="50"/>
    <x v="3"/>
    <x v="15"/>
    <x v="3"/>
    <x v="3"/>
    <x v="11"/>
    <x v="24"/>
    <s v="Cricket Bat Model 3"/>
    <n v="4"/>
    <n v="3218"/>
    <n v="0"/>
    <n v="3218"/>
    <n v="0.18"/>
    <n v="12872"/>
    <n v="2316.96"/>
    <x v="427"/>
    <s v="UPI"/>
    <s v="Delivered"/>
    <d v="2025-04-13T00:00:00"/>
    <d v="2025-04-17T00:00:00"/>
    <x v="0"/>
    <x v="0"/>
    <x v="0"/>
    <x v="1"/>
    <s v="Summer Splash"/>
    <x v="4"/>
  </r>
  <r>
    <x v="430"/>
    <x v="430"/>
    <x v="67"/>
    <x v="3"/>
    <x v="3"/>
    <x v="2"/>
    <x v="3"/>
    <x v="4"/>
    <x v="71"/>
    <s v="Tennis Racket Model 2"/>
    <n v="1"/>
    <n v="8547"/>
    <n v="0"/>
    <n v="8547"/>
    <n v="0.12"/>
    <n v="8547"/>
    <n v="1025.6400000000001"/>
    <x v="428"/>
    <s v="COD"/>
    <s v="Delivered"/>
    <d v="2025-02-09T00:00:00"/>
    <d v="2025-02-12T00:00:00"/>
    <x v="0"/>
    <x v="0"/>
    <x v="0"/>
    <x v="0"/>
    <s v="Summer Splash"/>
    <x v="6"/>
  </r>
  <r>
    <x v="431"/>
    <x v="431"/>
    <x v="88"/>
    <x v="4"/>
    <x v="16"/>
    <x v="0"/>
    <x v="0"/>
    <x v="1"/>
    <x v="67"/>
    <s v="Cookware Model 2"/>
    <n v="3"/>
    <n v="7011"/>
    <n v="0"/>
    <n v="7011"/>
    <n v="0.05"/>
    <n v="21033"/>
    <n v="1051.6500000000001"/>
    <x v="429"/>
    <s v="Credit Card"/>
    <s v="Cancelled"/>
    <m/>
    <m/>
    <x v="0"/>
    <x v="0"/>
    <x v="0"/>
    <x v="8"/>
    <s v="Clearance"/>
    <x v="0"/>
  </r>
  <r>
    <x v="432"/>
    <x v="432"/>
    <x v="119"/>
    <x v="1"/>
    <x v="1"/>
    <x v="2"/>
    <x v="1"/>
    <x v="15"/>
    <x v="21"/>
    <s v="Rice Model 3"/>
    <n v="3"/>
    <n v="1154"/>
    <n v="0"/>
    <n v="1154"/>
    <n v="0.18"/>
    <n v="3462"/>
    <n v="623.16"/>
    <x v="430"/>
    <s v="UPI"/>
    <s v="Shipped"/>
    <d v="2025-02-18T00:00:00"/>
    <m/>
    <x v="0"/>
    <x v="0"/>
    <x v="0"/>
    <x v="6"/>
    <s v="Diwali Blast"/>
    <x v="0"/>
  </r>
  <r>
    <x v="433"/>
    <x v="433"/>
    <x v="46"/>
    <x v="4"/>
    <x v="11"/>
    <x v="0"/>
    <x v="4"/>
    <x v="8"/>
    <x v="43"/>
    <s v="Jacket Model 1"/>
    <n v="3"/>
    <n v="2954"/>
    <n v="0"/>
    <n v="2954"/>
    <n v="0.18"/>
    <n v="8862"/>
    <n v="1595.16"/>
    <x v="431"/>
    <s v="Credit Card"/>
    <s v="Cancelled"/>
    <m/>
    <m/>
    <x v="0"/>
    <x v="0"/>
    <x v="0"/>
    <x v="7"/>
    <s v="Back to School"/>
    <x v="2"/>
  </r>
  <r>
    <x v="434"/>
    <x v="434"/>
    <x v="66"/>
    <x v="0"/>
    <x v="14"/>
    <x v="2"/>
    <x v="3"/>
    <x v="16"/>
    <x v="22"/>
    <s v="Football Model 1"/>
    <n v="1"/>
    <n v="3823"/>
    <n v="0"/>
    <n v="3823"/>
    <n v="0.12"/>
    <n v="3823"/>
    <n v="458.76"/>
    <x v="432"/>
    <s v="UPI"/>
    <s v="Delivered"/>
    <d v="2025-04-22T00:00:00"/>
    <d v="2025-04-23T00:00:00"/>
    <x v="0"/>
    <x v="0"/>
    <x v="0"/>
    <x v="4"/>
    <s v="Clearance"/>
    <x v="6"/>
  </r>
  <r>
    <x v="435"/>
    <x v="435"/>
    <x v="93"/>
    <x v="1"/>
    <x v="1"/>
    <x v="1"/>
    <x v="4"/>
    <x v="8"/>
    <x v="72"/>
    <s v="Jacket Model 2"/>
    <n v="1"/>
    <n v="1409"/>
    <n v="0"/>
    <n v="1409"/>
    <n v="0.12"/>
    <n v="1409"/>
    <n v="169.08"/>
    <x v="433"/>
    <s v="Credit Card"/>
    <s v="Delivered"/>
    <d v="2024-09-20T00:00:00"/>
    <d v="2024-09-21T00:00:00"/>
    <x v="0"/>
    <x v="0"/>
    <x v="0"/>
    <x v="4"/>
    <s v="Diwali Blast"/>
    <x v="5"/>
  </r>
  <r>
    <x v="436"/>
    <x v="436"/>
    <x v="163"/>
    <x v="3"/>
    <x v="15"/>
    <x v="2"/>
    <x v="4"/>
    <x v="24"/>
    <x v="55"/>
    <s v="Jeans Model 2"/>
    <n v="3"/>
    <n v="1843"/>
    <n v="0.2"/>
    <n v="1474.4"/>
    <n v="0.05"/>
    <n v="4423.2000000000007"/>
    <n v="221.16000000000011"/>
    <x v="434"/>
    <s v="COD"/>
    <s v="Delivered"/>
    <d v="2024-09-04T00:00:00"/>
    <d v="2024-09-05T00:00:00"/>
    <x v="0"/>
    <x v="0"/>
    <x v="0"/>
    <x v="2"/>
    <s v="Monsoon Mania"/>
    <x v="6"/>
  </r>
  <r>
    <x v="437"/>
    <x v="437"/>
    <x v="51"/>
    <x v="0"/>
    <x v="19"/>
    <x v="0"/>
    <x v="4"/>
    <x v="17"/>
    <x v="25"/>
    <s v="T-Shirt Model 2"/>
    <n v="1"/>
    <n v="530"/>
    <n v="0"/>
    <n v="530"/>
    <n v="0.12"/>
    <n v="530"/>
    <n v="63.599999999999987"/>
    <x v="435"/>
    <s v="UPI"/>
    <s v="Delivered"/>
    <d v="2024-08-04T00:00:00"/>
    <d v="2024-08-08T00:00:00"/>
    <x v="0"/>
    <x v="0"/>
    <x v="0"/>
    <x v="0"/>
    <s v="Back to School"/>
    <x v="4"/>
  </r>
  <r>
    <x v="438"/>
    <x v="438"/>
    <x v="51"/>
    <x v="0"/>
    <x v="19"/>
    <x v="0"/>
    <x v="2"/>
    <x v="23"/>
    <x v="45"/>
    <s v="Smartwatch Model 3"/>
    <n v="1"/>
    <n v="19222"/>
    <n v="0.05"/>
    <n v="18260.900000000001"/>
    <n v="0.18"/>
    <n v="18260.900000000001"/>
    <n v="3286.962"/>
    <x v="436"/>
    <s v="NetBanking"/>
    <s v="Shipped"/>
    <d v="2024-09-28T00:00:00"/>
    <m/>
    <x v="0"/>
    <x v="0"/>
    <x v="0"/>
    <x v="1"/>
    <s v="New Year Sale"/>
    <x v="6"/>
  </r>
  <r>
    <x v="439"/>
    <x v="439"/>
    <x v="161"/>
    <x v="3"/>
    <x v="10"/>
    <x v="0"/>
    <x v="2"/>
    <x v="12"/>
    <x v="15"/>
    <s v="Headphones Model 2"/>
    <n v="2"/>
    <n v="54308"/>
    <n v="0.15"/>
    <n v="46161.8"/>
    <n v="0.18"/>
    <n v="92323.599999999991"/>
    <n v="16618.248"/>
    <x v="437"/>
    <s v="COD"/>
    <s v="Delivered"/>
    <d v="2025-04-22T00:00:00"/>
    <d v="2025-04-25T00:00:00"/>
    <x v="0"/>
    <x v="0"/>
    <x v="0"/>
    <x v="2"/>
    <s v="Clearance"/>
    <x v="5"/>
  </r>
  <r>
    <x v="440"/>
    <x v="440"/>
    <x v="46"/>
    <x v="4"/>
    <x v="11"/>
    <x v="1"/>
    <x v="4"/>
    <x v="17"/>
    <x v="69"/>
    <s v="T-Shirt Model 1"/>
    <n v="2"/>
    <n v="2996"/>
    <n v="0.1"/>
    <n v="2696.4"/>
    <n v="0.12"/>
    <n v="5392.8"/>
    <n v="647.13599999999997"/>
    <x v="438"/>
    <s v="Debit Card"/>
    <s v="Delivered"/>
    <d v="2024-04-20T00:00:00"/>
    <d v="2024-04-21T00:00:00"/>
    <x v="0"/>
    <x v="0"/>
    <x v="0"/>
    <x v="6"/>
    <s v="Clearance"/>
    <x v="3"/>
  </r>
  <r>
    <x v="441"/>
    <x v="441"/>
    <x v="96"/>
    <x v="3"/>
    <x v="3"/>
    <x v="0"/>
    <x v="4"/>
    <x v="9"/>
    <x v="13"/>
    <s v="Hoodie Model 1"/>
    <n v="1"/>
    <n v="1671"/>
    <n v="0.1"/>
    <n v="1503.9"/>
    <n v="0.05"/>
    <n v="1503.9"/>
    <n v="75.195000000000007"/>
    <x v="439"/>
    <s v="COD"/>
    <s v="Delivered"/>
    <d v="2024-04-27T00:00:00"/>
    <d v="2024-04-29T00:00:00"/>
    <x v="0"/>
    <x v="0"/>
    <x v="0"/>
    <x v="4"/>
    <s v="New Year Sale"/>
    <x v="0"/>
  </r>
  <r>
    <x v="442"/>
    <x v="442"/>
    <x v="164"/>
    <x v="3"/>
    <x v="7"/>
    <x v="2"/>
    <x v="1"/>
    <x v="18"/>
    <x v="29"/>
    <s v="Beverage Model 1"/>
    <n v="1"/>
    <n v="272"/>
    <n v="0"/>
    <n v="272"/>
    <n v="0.05"/>
    <n v="272"/>
    <n v="13.6"/>
    <x v="440"/>
    <s v="COD"/>
    <s v="Delivered"/>
    <d v="2024-08-05T00:00:00"/>
    <d v="2024-08-07T00:00:00"/>
    <x v="0"/>
    <x v="0"/>
    <x v="0"/>
    <x v="6"/>
    <s v="New Year Sale"/>
    <x v="6"/>
  </r>
  <r>
    <x v="443"/>
    <x v="443"/>
    <x v="36"/>
    <x v="4"/>
    <x v="17"/>
    <x v="0"/>
    <x v="3"/>
    <x v="10"/>
    <x v="52"/>
    <s v="Yoga Mat Model 2"/>
    <n v="1"/>
    <n v="8380"/>
    <n v="0.05"/>
    <n v="7961"/>
    <n v="0.05"/>
    <n v="7961"/>
    <n v="398.05"/>
    <x v="441"/>
    <s v="Credit Card"/>
    <s v="Delivered"/>
    <d v="2025-04-20T00:00:00"/>
    <d v="2025-04-22T00:00:00"/>
    <x v="0"/>
    <x v="0"/>
    <x v="0"/>
    <x v="4"/>
    <s v="Back to School"/>
    <x v="4"/>
  </r>
  <r>
    <x v="444"/>
    <x v="444"/>
    <x v="18"/>
    <x v="0"/>
    <x v="0"/>
    <x v="0"/>
    <x v="3"/>
    <x v="7"/>
    <x v="33"/>
    <s v="Dumbbells Model 2"/>
    <n v="2"/>
    <n v="4483"/>
    <n v="0.05"/>
    <n v="4258.8499999999995"/>
    <n v="0.12"/>
    <n v="8517.6999999999989"/>
    <n v="1022.124"/>
    <x v="442"/>
    <s v="UPI"/>
    <s v="Delivered"/>
    <d v="2025-04-24T00:00:00"/>
    <d v="2025-04-28T00:00:00"/>
    <x v="0"/>
    <x v="0"/>
    <x v="0"/>
    <x v="5"/>
    <s v="Clearance"/>
    <x v="0"/>
  </r>
  <r>
    <x v="445"/>
    <x v="445"/>
    <x v="165"/>
    <x v="0"/>
    <x v="19"/>
    <x v="1"/>
    <x v="2"/>
    <x v="13"/>
    <x v="16"/>
    <s v="Laptop Model 1"/>
    <n v="1"/>
    <n v="3928"/>
    <n v="0"/>
    <n v="3928"/>
    <n v="0.18"/>
    <n v="3928"/>
    <n v="707.04"/>
    <x v="443"/>
    <s v="Credit Card"/>
    <s v="Delivered"/>
    <d v="2024-11-14T00:00:00"/>
    <d v="2024-11-17T00:00:00"/>
    <x v="0"/>
    <x v="0"/>
    <x v="0"/>
    <x v="7"/>
    <s v="New Year Sale"/>
    <x v="5"/>
  </r>
  <r>
    <x v="446"/>
    <x v="446"/>
    <x v="83"/>
    <x v="1"/>
    <x v="18"/>
    <x v="2"/>
    <x v="4"/>
    <x v="24"/>
    <x v="55"/>
    <s v="Jeans Model 2"/>
    <n v="3"/>
    <n v="2729"/>
    <n v="0"/>
    <n v="2729"/>
    <n v="0.18"/>
    <n v="8187"/>
    <n v="1473.66"/>
    <x v="444"/>
    <s v="UPI"/>
    <s v="Delivered"/>
    <d v="2024-03-02T00:00:00"/>
    <d v="2024-03-05T00:00:00"/>
    <x v="0"/>
    <x v="0"/>
    <x v="0"/>
    <x v="1"/>
    <s v="Festival Fever"/>
    <x v="3"/>
  </r>
  <r>
    <x v="447"/>
    <x v="447"/>
    <x v="130"/>
    <x v="1"/>
    <x v="12"/>
    <x v="0"/>
    <x v="1"/>
    <x v="2"/>
    <x v="59"/>
    <s v="Snacks Model 2"/>
    <n v="3"/>
    <n v="368"/>
    <n v="0"/>
    <n v="368"/>
    <n v="0.18"/>
    <n v="1104"/>
    <n v="198.72"/>
    <x v="445"/>
    <s v="Debit Card"/>
    <s v="Delivered"/>
    <d v="2024-05-24T00:00:00"/>
    <d v="2024-05-28T00:00:00"/>
    <x v="0"/>
    <x v="0"/>
    <x v="0"/>
    <x v="1"/>
    <s v="Diwali Blast"/>
    <x v="3"/>
  </r>
  <r>
    <x v="448"/>
    <x v="448"/>
    <x v="66"/>
    <x v="0"/>
    <x v="14"/>
    <x v="0"/>
    <x v="4"/>
    <x v="17"/>
    <x v="32"/>
    <s v="T-Shirt Model 3"/>
    <n v="1"/>
    <n v="2840"/>
    <n v="0"/>
    <n v="2840"/>
    <n v="0.18"/>
    <n v="2840"/>
    <n v="511.2"/>
    <x v="446"/>
    <s v="COD"/>
    <s v="Delivered"/>
    <d v="2025-01-18T00:00:00"/>
    <d v="2025-01-21T00:00:00"/>
    <x v="0"/>
    <x v="0"/>
    <x v="0"/>
    <x v="6"/>
    <s v="Monsoon Mania"/>
    <x v="0"/>
  </r>
  <r>
    <x v="449"/>
    <x v="449"/>
    <x v="155"/>
    <x v="2"/>
    <x v="9"/>
    <x v="1"/>
    <x v="3"/>
    <x v="10"/>
    <x v="30"/>
    <s v="Yoga Mat Model 3"/>
    <n v="3"/>
    <n v="3566"/>
    <n v="0.1"/>
    <n v="3209.4"/>
    <n v="0.18"/>
    <n v="9628.2000000000007"/>
    <n v="1733.076"/>
    <x v="447"/>
    <s v="UPI"/>
    <s v="Cancelled"/>
    <m/>
    <m/>
    <x v="0"/>
    <x v="0"/>
    <x v="0"/>
    <x v="3"/>
    <s v="Back to School"/>
    <x v="5"/>
  </r>
  <r>
    <x v="450"/>
    <x v="450"/>
    <x v="155"/>
    <x v="2"/>
    <x v="9"/>
    <x v="0"/>
    <x v="1"/>
    <x v="6"/>
    <x v="28"/>
    <s v="Oil Model 2"/>
    <n v="2"/>
    <n v="859"/>
    <n v="0"/>
    <n v="859"/>
    <n v="0.05"/>
    <n v="1718"/>
    <n v="85.9"/>
    <x v="448"/>
    <s v="Debit Card"/>
    <s v="Delivered"/>
    <d v="2024-09-14T00:00:00"/>
    <d v="2024-09-19T00:00:00"/>
    <x v="0"/>
    <x v="0"/>
    <x v="0"/>
    <x v="2"/>
    <s v="Back to School"/>
    <x v="2"/>
  </r>
  <r>
    <x v="451"/>
    <x v="451"/>
    <x v="89"/>
    <x v="3"/>
    <x v="10"/>
    <x v="1"/>
    <x v="2"/>
    <x v="12"/>
    <x v="46"/>
    <s v="Headphones Model 1"/>
    <n v="3"/>
    <n v="10220"/>
    <n v="0"/>
    <n v="10220"/>
    <n v="0.12"/>
    <n v="30660"/>
    <n v="3679.2"/>
    <x v="449"/>
    <s v="Credit Card"/>
    <s v="Delivered"/>
    <d v="2024-05-15T00:00:00"/>
    <d v="2024-05-16T00:00:00"/>
    <x v="0"/>
    <x v="0"/>
    <x v="0"/>
    <x v="4"/>
    <s v="New Year Sale"/>
    <x v="5"/>
  </r>
  <r>
    <x v="452"/>
    <x v="452"/>
    <x v="43"/>
    <x v="4"/>
    <x v="11"/>
    <x v="2"/>
    <x v="0"/>
    <x v="14"/>
    <x v="31"/>
    <s v="Vacuum Model 2"/>
    <n v="1"/>
    <n v="3407"/>
    <n v="0.15"/>
    <n v="2895.95"/>
    <n v="0.12"/>
    <n v="2895.95"/>
    <n v="347.51400000000001"/>
    <x v="450"/>
    <s v="COD"/>
    <s v="Cancelled"/>
    <m/>
    <m/>
    <x v="0"/>
    <x v="0"/>
    <x v="0"/>
    <x v="9"/>
    <s v="Summer Splash"/>
    <x v="4"/>
  </r>
  <r>
    <x v="453"/>
    <x v="453"/>
    <x v="14"/>
    <x v="3"/>
    <x v="10"/>
    <x v="0"/>
    <x v="2"/>
    <x v="19"/>
    <x v="35"/>
    <s v="Camera Model 2"/>
    <n v="2"/>
    <n v="48524"/>
    <n v="0.1"/>
    <n v="43671.6"/>
    <n v="0.18"/>
    <n v="87343.2"/>
    <n v="15721.776"/>
    <x v="451"/>
    <s v="COD"/>
    <s v="Delivered"/>
    <d v="2024-12-19T00:00:00"/>
    <d v="2024-12-20T00:00:00"/>
    <x v="0"/>
    <x v="0"/>
    <x v="0"/>
    <x v="2"/>
    <s v="Clearance"/>
    <x v="4"/>
  </r>
  <r>
    <x v="454"/>
    <x v="454"/>
    <x v="48"/>
    <x v="3"/>
    <x v="7"/>
    <x v="0"/>
    <x v="4"/>
    <x v="24"/>
    <x v="55"/>
    <s v="Jeans Model 2"/>
    <n v="4"/>
    <n v="539"/>
    <n v="0"/>
    <n v="539"/>
    <n v="0.05"/>
    <n v="2156"/>
    <n v="107.8"/>
    <x v="452"/>
    <s v="Credit Card"/>
    <s v="Delivered"/>
    <d v="2024-03-04T00:00:00"/>
    <d v="2024-03-08T00:00:00"/>
    <x v="0"/>
    <x v="0"/>
    <x v="0"/>
    <x v="9"/>
    <s v="Clearance"/>
    <x v="2"/>
  </r>
  <r>
    <x v="455"/>
    <x v="455"/>
    <x v="29"/>
    <x v="0"/>
    <x v="0"/>
    <x v="1"/>
    <x v="1"/>
    <x v="15"/>
    <x v="21"/>
    <s v="Rice Model 3"/>
    <n v="2"/>
    <n v="490"/>
    <n v="0"/>
    <n v="490"/>
    <n v="0.05"/>
    <n v="980"/>
    <n v="49"/>
    <x v="453"/>
    <s v="UPI"/>
    <s v="Shipped"/>
    <d v="2024-08-17T00:00:00"/>
    <m/>
    <x v="0"/>
    <x v="0"/>
    <x v="0"/>
    <x v="6"/>
    <s v="Summer Splash"/>
    <x v="1"/>
  </r>
  <r>
    <x v="456"/>
    <x v="456"/>
    <x v="119"/>
    <x v="1"/>
    <x v="1"/>
    <x v="1"/>
    <x v="0"/>
    <x v="0"/>
    <x v="2"/>
    <s v="Air Purifier Model 3"/>
    <n v="2"/>
    <n v="3041"/>
    <n v="0"/>
    <n v="3041"/>
    <n v="0.12"/>
    <n v="6082"/>
    <n v="729.83999999999992"/>
    <x v="454"/>
    <s v="Credit Card"/>
    <s v="Delivered"/>
    <d v="2024-04-02T00:00:00"/>
    <d v="2024-04-06T00:00:00"/>
    <x v="0"/>
    <x v="0"/>
    <x v="0"/>
    <x v="1"/>
    <s v="Back to School"/>
    <x v="5"/>
  </r>
  <r>
    <x v="457"/>
    <x v="457"/>
    <x v="166"/>
    <x v="4"/>
    <x v="16"/>
    <x v="0"/>
    <x v="2"/>
    <x v="3"/>
    <x v="57"/>
    <s v="Smartphone Model 1"/>
    <n v="2"/>
    <n v="41572"/>
    <n v="0.2"/>
    <n v="33257.599999999999"/>
    <n v="0.12"/>
    <n v="66515.199999999997"/>
    <n v="7981.8239999999996"/>
    <x v="455"/>
    <s v="NetBanking"/>
    <s v="In Transit"/>
    <d v="2024-03-18T00:00:00"/>
    <m/>
    <x v="0"/>
    <x v="0"/>
    <x v="0"/>
    <x v="2"/>
    <s v="Clearance"/>
    <x v="2"/>
  </r>
  <r>
    <x v="458"/>
    <x v="458"/>
    <x v="167"/>
    <x v="2"/>
    <x v="9"/>
    <x v="0"/>
    <x v="0"/>
    <x v="1"/>
    <x v="38"/>
    <s v="Cookware Model 1"/>
    <n v="1"/>
    <n v="6955"/>
    <n v="0.05"/>
    <n v="6607.25"/>
    <n v="0.12"/>
    <n v="6607.25"/>
    <n v="792.87"/>
    <x v="456"/>
    <s v="Credit Card"/>
    <s v="Delivered"/>
    <d v="2024-06-21T00:00:00"/>
    <d v="2024-06-26T00:00:00"/>
    <x v="0"/>
    <x v="0"/>
    <x v="0"/>
    <x v="2"/>
    <s v="New Year Sale"/>
    <x v="3"/>
  </r>
  <r>
    <x v="459"/>
    <x v="459"/>
    <x v="74"/>
    <x v="1"/>
    <x v="18"/>
    <x v="0"/>
    <x v="0"/>
    <x v="1"/>
    <x v="67"/>
    <s v="Cookware Model 2"/>
    <n v="1"/>
    <n v="6778"/>
    <n v="0.1"/>
    <n v="6100.2"/>
    <n v="0.12"/>
    <n v="6100.2"/>
    <n v="732.024"/>
    <x v="457"/>
    <s v="UPI"/>
    <s v="Shipped"/>
    <d v="2024-09-28T00:00:00"/>
    <m/>
    <x v="0"/>
    <x v="0"/>
    <x v="0"/>
    <x v="7"/>
    <s v="Back to School"/>
    <x v="0"/>
  </r>
  <r>
    <x v="460"/>
    <x v="460"/>
    <x v="151"/>
    <x v="1"/>
    <x v="1"/>
    <x v="0"/>
    <x v="1"/>
    <x v="6"/>
    <x v="8"/>
    <s v="Oil Model 1"/>
    <n v="5"/>
    <n v="253"/>
    <n v="0.1"/>
    <n v="227.7"/>
    <n v="0.05"/>
    <n v="1138.5"/>
    <n v="56.924999999999997"/>
    <x v="458"/>
    <s v="Debit Card"/>
    <s v="Cancelled"/>
    <m/>
    <m/>
    <x v="0"/>
    <x v="0"/>
    <x v="0"/>
    <x v="0"/>
    <s v="Summer Splash"/>
    <x v="0"/>
  </r>
  <r>
    <x v="461"/>
    <x v="461"/>
    <x v="54"/>
    <x v="2"/>
    <x v="9"/>
    <x v="1"/>
    <x v="1"/>
    <x v="18"/>
    <x v="42"/>
    <s v="Beverage Model 3"/>
    <n v="2"/>
    <n v="319"/>
    <n v="0.1"/>
    <n v="287.10000000000002"/>
    <n v="0.18"/>
    <n v="574.20000000000005"/>
    <n v="103.35599999999999"/>
    <x v="459"/>
    <s v="COD"/>
    <s v="Delivered"/>
    <d v="2025-01-24T00:00:00"/>
    <d v="2025-01-26T00:00:00"/>
    <x v="0"/>
    <x v="0"/>
    <x v="0"/>
    <x v="0"/>
    <s v="Monsoon Mania"/>
    <x v="3"/>
  </r>
  <r>
    <x v="462"/>
    <x v="462"/>
    <x v="22"/>
    <x v="0"/>
    <x v="13"/>
    <x v="0"/>
    <x v="2"/>
    <x v="23"/>
    <x v="45"/>
    <s v="Smartwatch Model 3"/>
    <n v="3"/>
    <n v="33429"/>
    <n v="0"/>
    <n v="33429"/>
    <n v="0.12"/>
    <n v="100287"/>
    <n v="12034.44"/>
    <x v="460"/>
    <s v="COD"/>
    <s v="Delivered"/>
    <d v="2024-09-18T00:00:00"/>
    <d v="2024-09-20T00:00:00"/>
    <x v="0"/>
    <x v="0"/>
    <x v="0"/>
    <x v="1"/>
    <s v="Summer Splash"/>
    <x v="5"/>
  </r>
  <r>
    <x v="463"/>
    <x v="463"/>
    <x v="88"/>
    <x v="4"/>
    <x v="16"/>
    <x v="0"/>
    <x v="3"/>
    <x v="7"/>
    <x v="23"/>
    <s v="Dumbbells Model 1"/>
    <n v="2"/>
    <n v="9004"/>
    <n v="0.05"/>
    <n v="8553.7999999999993"/>
    <n v="0.12"/>
    <n v="17107.599999999999"/>
    <n v="2052.9119999999998"/>
    <x v="461"/>
    <s v="Debit Card"/>
    <s v="Delivered"/>
    <d v="2025-04-12T00:00:00"/>
    <d v="2025-04-17T00:00:00"/>
    <x v="0"/>
    <x v="0"/>
    <x v="0"/>
    <x v="1"/>
    <s v="Festival Fever"/>
    <x v="4"/>
  </r>
  <r>
    <x v="464"/>
    <x v="464"/>
    <x v="99"/>
    <x v="4"/>
    <x v="8"/>
    <x v="1"/>
    <x v="4"/>
    <x v="5"/>
    <x v="19"/>
    <s v="Dress Model 1"/>
    <n v="3"/>
    <n v="2460"/>
    <n v="0.05"/>
    <n v="2337"/>
    <n v="0.12"/>
    <n v="7011"/>
    <n v="841.31999999999994"/>
    <x v="462"/>
    <s v="UPI"/>
    <s v="Delivered"/>
    <d v="2024-08-17T00:00:00"/>
    <d v="2024-08-21T00:00:00"/>
    <x v="0"/>
    <x v="0"/>
    <x v="0"/>
    <x v="1"/>
    <s v="New Year Sale"/>
    <x v="5"/>
  </r>
  <r>
    <x v="465"/>
    <x v="465"/>
    <x v="152"/>
    <x v="2"/>
    <x v="9"/>
    <x v="1"/>
    <x v="4"/>
    <x v="9"/>
    <x v="11"/>
    <s v="Hoodie Model 3"/>
    <n v="1"/>
    <n v="2491"/>
    <n v="0"/>
    <n v="2491"/>
    <n v="0.12"/>
    <n v="2491"/>
    <n v="298.92"/>
    <x v="463"/>
    <s v="UPI"/>
    <s v="Delivered"/>
    <d v="2025-04-22T00:00:00"/>
    <d v="2025-04-27T00:00:00"/>
    <x v="0"/>
    <x v="0"/>
    <x v="0"/>
    <x v="7"/>
    <s v="Summer Splash"/>
    <x v="0"/>
  </r>
  <r>
    <x v="466"/>
    <x v="466"/>
    <x v="29"/>
    <x v="0"/>
    <x v="0"/>
    <x v="0"/>
    <x v="1"/>
    <x v="6"/>
    <x v="8"/>
    <s v="Oil Model 1"/>
    <n v="3"/>
    <n v="918"/>
    <n v="0.1"/>
    <n v="826.2"/>
    <n v="0.12"/>
    <n v="2478.6"/>
    <n v="297.43200000000002"/>
    <x v="464"/>
    <s v="Credit Card"/>
    <s v="Delivered"/>
    <d v="2024-09-29T00:00:00"/>
    <d v="2024-10-01T00:00:00"/>
    <x v="0"/>
    <x v="0"/>
    <x v="0"/>
    <x v="8"/>
    <s v="Monsoon Mania"/>
    <x v="3"/>
  </r>
  <r>
    <x v="467"/>
    <x v="467"/>
    <x v="165"/>
    <x v="0"/>
    <x v="19"/>
    <x v="3"/>
    <x v="0"/>
    <x v="14"/>
    <x v="17"/>
    <s v="Vacuum Model 3"/>
    <n v="3"/>
    <n v="2141"/>
    <n v="0.05"/>
    <n v="2033.95"/>
    <n v="0.12"/>
    <n v="6101.8499999999995"/>
    <n v="732.22199999999987"/>
    <x v="465"/>
    <s v="Credit Card"/>
    <s v="Delivered"/>
    <d v="2025-04-17T00:00:00"/>
    <d v="2025-04-22T00:00:00"/>
    <x v="0"/>
    <x v="0"/>
    <x v="0"/>
    <x v="0"/>
    <s v="Festival Fever"/>
    <x v="6"/>
  </r>
  <r>
    <x v="468"/>
    <x v="468"/>
    <x v="106"/>
    <x v="2"/>
    <x v="4"/>
    <x v="3"/>
    <x v="3"/>
    <x v="16"/>
    <x v="48"/>
    <s v="Football Model 2"/>
    <n v="3"/>
    <n v="7391"/>
    <n v="0"/>
    <n v="7391"/>
    <n v="0.12"/>
    <n v="22173"/>
    <n v="2660.76"/>
    <x v="466"/>
    <s v="UPI"/>
    <s v="Shipped"/>
    <d v="2024-08-17T00:00:00"/>
    <m/>
    <x v="0"/>
    <x v="0"/>
    <x v="0"/>
    <x v="5"/>
    <s v="Diwali Blast"/>
    <x v="5"/>
  </r>
  <r>
    <x v="469"/>
    <x v="469"/>
    <x v="144"/>
    <x v="2"/>
    <x v="2"/>
    <x v="1"/>
    <x v="2"/>
    <x v="13"/>
    <x v="16"/>
    <s v="Laptop Model 1"/>
    <n v="2"/>
    <n v="17050"/>
    <n v="0.2"/>
    <n v="13640"/>
    <n v="0.05"/>
    <n v="27280"/>
    <n v="1364"/>
    <x v="467"/>
    <s v="UPI"/>
    <s v="Delivered"/>
    <d v="2025-04-04T00:00:00"/>
    <d v="2025-04-05T00:00:00"/>
    <x v="0"/>
    <x v="0"/>
    <x v="0"/>
    <x v="4"/>
    <s v="Festival Fever"/>
    <x v="2"/>
  </r>
  <r>
    <x v="470"/>
    <x v="470"/>
    <x v="22"/>
    <x v="0"/>
    <x v="13"/>
    <x v="1"/>
    <x v="0"/>
    <x v="21"/>
    <x v="63"/>
    <s v="Lamp Model 1"/>
    <n v="3"/>
    <n v="10128"/>
    <n v="0.05"/>
    <n v="9621.6"/>
    <n v="0.12"/>
    <n v="28864.799999999999"/>
    <n v="3463.7759999999998"/>
    <x v="468"/>
    <s v="UPI"/>
    <s v="Delivered"/>
    <d v="2024-08-16T00:00:00"/>
    <d v="2024-08-21T00:00:00"/>
    <x v="0"/>
    <x v="0"/>
    <x v="0"/>
    <x v="7"/>
    <s v="Back to School"/>
    <x v="1"/>
  </r>
  <r>
    <x v="471"/>
    <x v="471"/>
    <x v="61"/>
    <x v="0"/>
    <x v="13"/>
    <x v="1"/>
    <x v="0"/>
    <x v="22"/>
    <x v="44"/>
    <s v="Mixer Model 3"/>
    <n v="2"/>
    <n v="3063"/>
    <n v="0"/>
    <n v="3063"/>
    <n v="0.18"/>
    <n v="6126"/>
    <n v="1102.68"/>
    <x v="469"/>
    <s v="UPI"/>
    <s v="Delivered"/>
    <d v="2024-12-22T00:00:00"/>
    <d v="2024-12-25T00:00:00"/>
    <x v="0"/>
    <x v="0"/>
    <x v="0"/>
    <x v="0"/>
    <s v="Festival Fever"/>
    <x v="6"/>
  </r>
  <r>
    <x v="472"/>
    <x v="472"/>
    <x v="130"/>
    <x v="1"/>
    <x v="12"/>
    <x v="0"/>
    <x v="2"/>
    <x v="19"/>
    <x v="39"/>
    <s v="Camera Model 3"/>
    <n v="4"/>
    <n v="47831"/>
    <n v="0"/>
    <n v="47831"/>
    <n v="0.12"/>
    <n v="191324"/>
    <n v="22958.880000000001"/>
    <x v="470"/>
    <s v="UPI"/>
    <s v="Cancelled"/>
    <m/>
    <m/>
    <x v="0"/>
    <x v="0"/>
    <x v="0"/>
    <x v="9"/>
    <s v="Summer Splash"/>
    <x v="2"/>
  </r>
  <r>
    <x v="473"/>
    <x v="473"/>
    <x v="57"/>
    <x v="4"/>
    <x v="17"/>
    <x v="1"/>
    <x v="4"/>
    <x v="24"/>
    <x v="64"/>
    <s v="Jeans Model 1"/>
    <n v="1"/>
    <n v="979"/>
    <n v="0.1"/>
    <n v="881.1"/>
    <n v="0.12"/>
    <n v="881.1"/>
    <n v="105.732"/>
    <x v="471"/>
    <s v="NetBanking"/>
    <s v="In Transit"/>
    <d v="2024-07-03T00:00:00"/>
    <m/>
    <x v="0"/>
    <x v="0"/>
    <x v="0"/>
    <x v="7"/>
    <s v="Diwali Blast"/>
    <x v="0"/>
  </r>
  <r>
    <x v="474"/>
    <x v="474"/>
    <x v="18"/>
    <x v="0"/>
    <x v="0"/>
    <x v="1"/>
    <x v="2"/>
    <x v="12"/>
    <x v="15"/>
    <s v="Headphones Model 2"/>
    <n v="2"/>
    <n v="23033"/>
    <n v="0"/>
    <n v="23033"/>
    <n v="0.05"/>
    <n v="46066"/>
    <n v="2303.3000000000002"/>
    <x v="472"/>
    <s v="UPI"/>
    <s v="Delivered"/>
    <d v="2024-10-09T00:00:00"/>
    <d v="2024-10-13T00:00:00"/>
    <x v="0"/>
    <x v="0"/>
    <x v="0"/>
    <x v="3"/>
    <s v="Monsoon Mania"/>
    <x v="4"/>
  </r>
  <r>
    <x v="475"/>
    <x v="475"/>
    <x v="104"/>
    <x v="0"/>
    <x v="13"/>
    <x v="2"/>
    <x v="0"/>
    <x v="21"/>
    <x v="37"/>
    <s v="Lamp Model 3"/>
    <n v="2"/>
    <n v="6601"/>
    <n v="0"/>
    <n v="6601"/>
    <n v="0.18"/>
    <n v="13202"/>
    <n v="2376.36"/>
    <x v="473"/>
    <s v="UPI"/>
    <s v="Delivered"/>
    <d v="2024-07-17T00:00:00"/>
    <d v="2024-07-22T00:00:00"/>
    <x v="0"/>
    <x v="0"/>
    <x v="0"/>
    <x v="5"/>
    <s v="Monsoon Mania"/>
    <x v="4"/>
  </r>
  <r>
    <x v="476"/>
    <x v="476"/>
    <x v="124"/>
    <x v="1"/>
    <x v="1"/>
    <x v="1"/>
    <x v="0"/>
    <x v="1"/>
    <x v="67"/>
    <s v="Cookware Model 2"/>
    <n v="2"/>
    <n v="5892"/>
    <n v="0.15"/>
    <n v="5008.2"/>
    <n v="0.12"/>
    <n v="10016.4"/>
    <n v="1201.9680000000001"/>
    <x v="474"/>
    <s v="Debit Card"/>
    <s v="Delivered"/>
    <d v="2024-04-13T00:00:00"/>
    <d v="2024-04-18T00:00:00"/>
    <x v="0"/>
    <x v="0"/>
    <x v="0"/>
    <x v="3"/>
    <s v="Festival Fever"/>
    <x v="6"/>
  </r>
  <r>
    <x v="477"/>
    <x v="477"/>
    <x v="38"/>
    <x v="0"/>
    <x v="14"/>
    <x v="3"/>
    <x v="3"/>
    <x v="4"/>
    <x v="6"/>
    <s v="Tennis Racket Model 3"/>
    <n v="2"/>
    <n v="2142"/>
    <n v="0"/>
    <n v="2142"/>
    <n v="0.12"/>
    <n v="4284"/>
    <n v="514.07999999999993"/>
    <x v="475"/>
    <s v="Credit Card"/>
    <s v="Delivered"/>
    <d v="2024-09-07T00:00:00"/>
    <d v="2024-09-11T00:00:00"/>
    <x v="0"/>
    <x v="0"/>
    <x v="0"/>
    <x v="1"/>
    <s v="Festival Fever"/>
    <x v="1"/>
  </r>
  <r>
    <x v="478"/>
    <x v="478"/>
    <x v="46"/>
    <x v="4"/>
    <x v="11"/>
    <x v="2"/>
    <x v="2"/>
    <x v="12"/>
    <x v="46"/>
    <s v="Headphones Model 1"/>
    <n v="1"/>
    <n v="6653"/>
    <n v="0.2"/>
    <n v="5322.4000000000005"/>
    <n v="0.18"/>
    <n v="5322.4000000000005"/>
    <n v="958.03200000000004"/>
    <x v="476"/>
    <s v="UPI"/>
    <s v="Delivered"/>
    <d v="2025-04-23T00:00:00"/>
    <d v="2025-04-26T00:00:00"/>
    <x v="0"/>
    <x v="0"/>
    <x v="0"/>
    <x v="4"/>
    <s v="Monsoon Mania"/>
    <x v="0"/>
  </r>
  <r>
    <x v="479"/>
    <x v="479"/>
    <x v="84"/>
    <x v="4"/>
    <x v="8"/>
    <x v="0"/>
    <x v="1"/>
    <x v="2"/>
    <x v="59"/>
    <s v="Snacks Model 2"/>
    <n v="3"/>
    <n v="92"/>
    <n v="0"/>
    <n v="92"/>
    <n v="0.12"/>
    <n v="276"/>
    <n v="33.119999999999997"/>
    <x v="477"/>
    <s v="NetBanking"/>
    <s v="Delivered"/>
    <d v="2025-01-27T00:00:00"/>
    <d v="2025-01-29T00:00:00"/>
    <x v="0"/>
    <x v="0"/>
    <x v="0"/>
    <x v="9"/>
    <s v="Clearance"/>
    <x v="0"/>
  </r>
  <r>
    <x v="480"/>
    <x v="480"/>
    <x v="5"/>
    <x v="2"/>
    <x v="4"/>
    <x v="0"/>
    <x v="1"/>
    <x v="15"/>
    <x v="27"/>
    <s v="Rice Model 1"/>
    <n v="2"/>
    <n v="94"/>
    <n v="0.05"/>
    <n v="89.3"/>
    <n v="0.18"/>
    <n v="178.6"/>
    <n v="32.148000000000003"/>
    <x v="478"/>
    <s v="COD"/>
    <s v="Delivered"/>
    <d v="2024-06-27T00:00:00"/>
    <d v="2024-06-28T00:00:00"/>
    <x v="0"/>
    <x v="0"/>
    <x v="0"/>
    <x v="4"/>
    <s v="Monsoon Mania"/>
    <x v="6"/>
  </r>
  <r>
    <x v="481"/>
    <x v="481"/>
    <x v="134"/>
    <x v="2"/>
    <x v="4"/>
    <x v="0"/>
    <x v="1"/>
    <x v="2"/>
    <x v="4"/>
    <s v="Snacks Model 1"/>
    <n v="4"/>
    <n v="187"/>
    <n v="0"/>
    <n v="187"/>
    <n v="0.12"/>
    <n v="748"/>
    <n v="89.759999999999991"/>
    <x v="479"/>
    <s v="Debit Card"/>
    <s v="In Transit"/>
    <d v="2024-01-29T00:00:00"/>
    <m/>
    <x v="0"/>
    <x v="0"/>
    <x v="0"/>
    <x v="7"/>
    <s v="Clearance"/>
    <x v="1"/>
  </r>
  <r>
    <x v="482"/>
    <x v="482"/>
    <x v="28"/>
    <x v="0"/>
    <x v="14"/>
    <x v="0"/>
    <x v="1"/>
    <x v="20"/>
    <x v="36"/>
    <s v="Pulses Model 3"/>
    <n v="3"/>
    <n v="86"/>
    <n v="0"/>
    <n v="86"/>
    <n v="0.05"/>
    <n v="258"/>
    <n v="12.9"/>
    <x v="480"/>
    <s v="Credit Card"/>
    <s v="Delivered"/>
    <d v="2024-09-07T00:00:00"/>
    <d v="2024-09-12T00:00:00"/>
    <x v="0"/>
    <x v="0"/>
    <x v="0"/>
    <x v="9"/>
    <s v="Festival Fever"/>
    <x v="3"/>
  </r>
  <r>
    <x v="483"/>
    <x v="483"/>
    <x v="123"/>
    <x v="2"/>
    <x v="2"/>
    <x v="1"/>
    <x v="2"/>
    <x v="13"/>
    <x v="16"/>
    <s v="Laptop Model 1"/>
    <n v="2"/>
    <n v="59132"/>
    <n v="0"/>
    <n v="59132"/>
    <n v="0.05"/>
    <n v="118264"/>
    <n v="5913.2000000000007"/>
    <x v="481"/>
    <s v="Debit Card"/>
    <s v="Delivered"/>
    <d v="2025-01-23T00:00:00"/>
    <d v="2025-01-26T00:00:00"/>
    <x v="0"/>
    <x v="0"/>
    <x v="0"/>
    <x v="7"/>
    <s v="Back to School"/>
    <x v="5"/>
  </r>
  <r>
    <x v="484"/>
    <x v="484"/>
    <x v="25"/>
    <x v="2"/>
    <x v="6"/>
    <x v="1"/>
    <x v="2"/>
    <x v="13"/>
    <x v="16"/>
    <s v="Laptop Model 1"/>
    <n v="3"/>
    <n v="39943"/>
    <n v="0"/>
    <n v="39943"/>
    <n v="0.18"/>
    <n v="119829"/>
    <n v="21569.22"/>
    <x v="482"/>
    <s v="Debit Card"/>
    <s v="Delivered"/>
    <d v="2025-03-21T00:00:00"/>
    <d v="2025-03-25T00:00:00"/>
    <x v="0"/>
    <x v="0"/>
    <x v="0"/>
    <x v="2"/>
    <s v="Back to School"/>
    <x v="2"/>
  </r>
  <r>
    <x v="485"/>
    <x v="485"/>
    <x v="92"/>
    <x v="2"/>
    <x v="2"/>
    <x v="1"/>
    <x v="1"/>
    <x v="15"/>
    <x v="27"/>
    <s v="Rice Model 1"/>
    <n v="3"/>
    <n v="359"/>
    <n v="0"/>
    <n v="359"/>
    <n v="0.05"/>
    <n v="1077"/>
    <n v="53.85"/>
    <x v="483"/>
    <s v="COD"/>
    <s v="Delivered"/>
    <d v="2024-10-22T00:00:00"/>
    <d v="2024-10-25T00:00:00"/>
    <x v="0"/>
    <x v="0"/>
    <x v="0"/>
    <x v="3"/>
    <s v="Diwali Blast"/>
    <x v="0"/>
  </r>
  <r>
    <x v="486"/>
    <x v="486"/>
    <x v="63"/>
    <x v="1"/>
    <x v="1"/>
    <x v="0"/>
    <x v="4"/>
    <x v="24"/>
    <x v="66"/>
    <s v="Jeans Model 3"/>
    <n v="3"/>
    <n v="624"/>
    <n v="0.05"/>
    <n v="592.79999999999995"/>
    <n v="0.18"/>
    <n v="1778.4"/>
    <n v="320.11200000000002"/>
    <x v="484"/>
    <s v="UPI"/>
    <s v="Delivered"/>
    <d v="2024-11-27T00:00:00"/>
    <d v="2024-11-30T00:00:00"/>
    <x v="0"/>
    <x v="0"/>
    <x v="0"/>
    <x v="5"/>
    <s v="Summer Splash"/>
    <x v="2"/>
  </r>
  <r>
    <x v="487"/>
    <x v="487"/>
    <x v="162"/>
    <x v="3"/>
    <x v="10"/>
    <x v="0"/>
    <x v="0"/>
    <x v="22"/>
    <x v="54"/>
    <s v="Mixer Model 1"/>
    <n v="2"/>
    <n v="3949"/>
    <n v="0"/>
    <n v="3949"/>
    <n v="0.12"/>
    <n v="7898"/>
    <n v="947.76"/>
    <x v="485"/>
    <s v="COD"/>
    <s v="Delivered"/>
    <d v="2025-03-29T00:00:00"/>
    <d v="2025-04-02T00:00:00"/>
    <x v="0"/>
    <x v="0"/>
    <x v="0"/>
    <x v="5"/>
    <s v="Diwali Blast"/>
    <x v="5"/>
  </r>
  <r>
    <x v="488"/>
    <x v="488"/>
    <x v="59"/>
    <x v="4"/>
    <x v="8"/>
    <x v="0"/>
    <x v="4"/>
    <x v="17"/>
    <x v="32"/>
    <s v="T-Shirt Model 3"/>
    <n v="1"/>
    <n v="715"/>
    <n v="0.05"/>
    <n v="679.25"/>
    <n v="0.12"/>
    <n v="679.25"/>
    <n v="81.509999999999991"/>
    <x v="486"/>
    <s v="UPI"/>
    <s v="Delivered"/>
    <d v="2024-04-05T00:00:00"/>
    <d v="2024-04-06T00:00:00"/>
    <x v="0"/>
    <x v="0"/>
    <x v="0"/>
    <x v="5"/>
    <s v="Monsoon Mania"/>
    <x v="1"/>
  </r>
  <r>
    <x v="489"/>
    <x v="489"/>
    <x v="29"/>
    <x v="0"/>
    <x v="0"/>
    <x v="1"/>
    <x v="0"/>
    <x v="0"/>
    <x v="2"/>
    <s v="Air Purifier Model 3"/>
    <n v="2"/>
    <n v="12770"/>
    <n v="0"/>
    <n v="12770"/>
    <n v="0.05"/>
    <n v="25540"/>
    <n v="1277"/>
    <x v="487"/>
    <s v="Debit Card"/>
    <s v="Delivered"/>
    <d v="2024-07-07T00:00:00"/>
    <d v="2024-07-08T00:00:00"/>
    <x v="0"/>
    <x v="0"/>
    <x v="0"/>
    <x v="5"/>
    <s v="Back to School"/>
    <x v="2"/>
  </r>
  <r>
    <x v="490"/>
    <x v="490"/>
    <x v="125"/>
    <x v="2"/>
    <x v="4"/>
    <x v="1"/>
    <x v="2"/>
    <x v="3"/>
    <x v="56"/>
    <s v="Smartphone Model 2"/>
    <n v="2"/>
    <n v="36611"/>
    <n v="0"/>
    <n v="36611"/>
    <n v="0.18"/>
    <n v="73222"/>
    <n v="13179.96"/>
    <x v="488"/>
    <s v="UPI"/>
    <s v="Delivered"/>
    <d v="2025-04-08T00:00:00"/>
    <d v="2025-04-11T00:00:00"/>
    <x v="0"/>
    <x v="0"/>
    <x v="0"/>
    <x v="7"/>
    <s v="Clearance"/>
    <x v="0"/>
  </r>
  <r>
    <x v="491"/>
    <x v="491"/>
    <x v="156"/>
    <x v="4"/>
    <x v="17"/>
    <x v="1"/>
    <x v="2"/>
    <x v="13"/>
    <x v="50"/>
    <s v="Laptop Model 2"/>
    <n v="3"/>
    <n v="22583"/>
    <n v="0"/>
    <n v="22583"/>
    <n v="0.05"/>
    <n v="67749"/>
    <n v="3387.45"/>
    <x v="489"/>
    <s v="UPI"/>
    <s v="In Transit"/>
    <d v="2024-02-15T00:00:00"/>
    <m/>
    <x v="0"/>
    <x v="0"/>
    <x v="0"/>
    <x v="0"/>
    <s v="Back to School"/>
    <x v="6"/>
  </r>
  <r>
    <x v="492"/>
    <x v="492"/>
    <x v="38"/>
    <x v="0"/>
    <x v="14"/>
    <x v="0"/>
    <x v="4"/>
    <x v="8"/>
    <x v="72"/>
    <s v="Jacket Model 2"/>
    <n v="3"/>
    <n v="1269"/>
    <n v="0.1"/>
    <n v="1142.0999999999999"/>
    <n v="0.05"/>
    <n v="3426.3"/>
    <n v="171.315"/>
    <x v="490"/>
    <s v="Credit Card"/>
    <s v="Delivered"/>
    <d v="2024-11-21T00:00:00"/>
    <d v="2024-11-24T00:00:00"/>
    <x v="0"/>
    <x v="0"/>
    <x v="0"/>
    <x v="3"/>
    <s v="Festival Fever"/>
    <x v="2"/>
  </r>
  <r>
    <x v="493"/>
    <x v="493"/>
    <x v="10"/>
    <x v="2"/>
    <x v="2"/>
    <x v="0"/>
    <x v="4"/>
    <x v="9"/>
    <x v="11"/>
    <s v="Hoodie Model 3"/>
    <n v="2"/>
    <n v="1180"/>
    <n v="0.1"/>
    <n v="1062"/>
    <n v="0.12"/>
    <n v="2124"/>
    <n v="254.88"/>
    <x v="491"/>
    <s v="Credit Card"/>
    <s v="Cancelled"/>
    <m/>
    <m/>
    <x v="0"/>
    <x v="0"/>
    <x v="0"/>
    <x v="8"/>
    <s v="Clearance"/>
    <x v="6"/>
  </r>
  <r>
    <x v="494"/>
    <x v="494"/>
    <x v="102"/>
    <x v="0"/>
    <x v="13"/>
    <x v="0"/>
    <x v="0"/>
    <x v="22"/>
    <x v="40"/>
    <s v="Mixer Model 2"/>
    <n v="2"/>
    <n v="4042"/>
    <n v="0"/>
    <n v="4042"/>
    <n v="0.05"/>
    <n v="8084"/>
    <n v="404.2"/>
    <x v="492"/>
    <s v="Debit Card"/>
    <s v="Delivered"/>
    <d v="2024-10-15T00:00:00"/>
    <d v="2024-10-18T00:00:00"/>
    <x v="0"/>
    <x v="0"/>
    <x v="0"/>
    <x v="1"/>
    <s v="Festival Fever"/>
    <x v="6"/>
  </r>
  <r>
    <x v="495"/>
    <x v="495"/>
    <x v="121"/>
    <x v="2"/>
    <x v="6"/>
    <x v="0"/>
    <x v="1"/>
    <x v="6"/>
    <x v="8"/>
    <s v="Oil Model 1"/>
    <n v="1"/>
    <n v="777"/>
    <n v="0.05"/>
    <n v="738.15"/>
    <n v="0.18"/>
    <n v="738.15"/>
    <n v="132.86699999999999"/>
    <x v="493"/>
    <s v="UPI"/>
    <s v="Cancelled"/>
    <m/>
    <m/>
    <x v="0"/>
    <x v="0"/>
    <x v="0"/>
    <x v="4"/>
    <s v="Festival Fever"/>
    <x v="4"/>
  </r>
  <r>
    <x v="496"/>
    <x v="496"/>
    <x v="10"/>
    <x v="2"/>
    <x v="2"/>
    <x v="3"/>
    <x v="1"/>
    <x v="20"/>
    <x v="74"/>
    <s v="Pulses Model 2"/>
    <n v="1"/>
    <n v="534"/>
    <n v="0"/>
    <n v="534"/>
    <n v="0.12"/>
    <n v="534"/>
    <n v="64.08"/>
    <x v="494"/>
    <s v="NetBanking"/>
    <s v="Delivered"/>
    <d v="2025-02-28T00:00:00"/>
    <d v="2025-03-03T00:00:00"/>
    <x v="0"/>
    <x v="0"/>
    <x v="0"/>
    <x v="6"/>
    <s v="Clearance"/>
    <x v="6"/>
  </r>
  <r>
    <x v="497"/>
    <x v="497"/>
    <x v="168"/>
    <x v="3"/>
    <x v="7"/>
    <x v="0"/>
    <x v="0"/>
    <x v="22"/>
    <x v="40"/>
    <s v="Mixer Model 2"/>
    <n v="2"/>
    <n v="13524"/>
    <n v="0.15"/>
    <n v="11495.4"/>
    <n v="0.05"/>
    <n v="22990.799999999999"/>
    <n v="1149.54"/>
    <x v="495"/>
    <s v="Credit Card"/>
    <s v="Delivered"/>
    <d v="2025-01-18T00:00:00"/>
    <d v="2025-01-19T00:00:00"/>
    <x v="0"/>
    <x v="0"/>
    <x v="0"/>
    <x v="7"/>
    <s v="Diwali Blast"/>
    <x v="4"/>
  </r>
  <r>
    <x v="498"/>
    <x v="498"/>
    <x v="91"/>
    <x v="1"/>
    <x v="1"/>
    <x v="1"/>
    <x v="1"/>
    <x v="18"/>
    <x v="26"/>
    <s v="Beverage Model 2"/>
    <n v="2"/>
    <n v="558"/>
    <n v="0.1"/>
    <n v="502.2"/>
    <n v="0.12"/>
    <n v="1004.4"/>
    <n v="120.52800000000001"/>
    <x v="496"/>
    <s v="Debit Card"/>
    <s v="Delivered"/>
    <d v="2025-02-12T00:00:00"/>
    <d v="2025-02-15T00:00:00"/>
    <x v="0"/>
    <x v="0"/>
    <x v="0"/>
    <x v="3"/>
    <s v="Diwali Blast"/>
    <x v="2"/>
  </r>
  <r>
    <x v="499"/>
    <x v="499"/>
    <x v="41"/>
    <x v="4"/>
    <x v="11"/>
    <x v="0"/>
    <x v="1"/>
    <x v="15"/>
    <x v="27"/>
    <s v="Rice Model 1"/>
    <n v="1"/>
    <n v="459"/>
    <n v="0.1"/>
    <n v="413.1"/>
    <n v="0.05"/>
    <n v="413.1"/>
    <n v="20.655000000000001"/>
    <x v="497"/>
    <s v="UPI"/>
    <s v="Delivered"/>
    <d v="2024-09-24T00:00:00"/>
    <d v="2024-09-27T00:00:00"/>
    <x v="0"/>
    <x v="0"/>
    <x v="0"/>
    <x v="2"/>
    <s v="Festival Fever"/>
    <x v="6"/>
  </r>
  <r>
    <x v="500"/>
    <x v="500"/>
    <x v="152"/>
    <x v="2"/>
    <x v="9"/>
    <x v="0"/>
    <x v="3"/>
    <x v="11"/>
    <x v="14"/>
    <s v="Cricket Bat Model 1"/>
    <n v="2"/>
    <n v="6645"/>
    <n v="0.15"/>
    <n v="5648.25"/>
    <n v="0.18"/>
    <n v="11296.5"/>
    <n v="2033.37"/>
    <x v="498"/>
    <s v="NetBanking"/>
    <s v="Delivered"/>
    <d v="2025-02-06T00:00:00"/>
    <d v="2025-02-11T00:00:00"/>
    <x v="0"/>
    <x v="0"/>
    <x v="0"/>
    <x v="2"/>
    <s v="Back to School"/>
    <x v="0"/>
  </r>
  <r>
    <x v="501"/>
    <x v="501"/>
    <x v="45"/>
    <x v="0"/>
    <x v="14"/>
    <x v="2"/>
    <x v="1"/>
    <x v="2"/>
    <x v="59"/>
    <s v="Snacks Model 2"/>
    <n v="1"/>
    <n v="281"/>
    <n v="0"/>
    <n v="281"/>
    <n v="0.18"/>
    <n v="281"/>
    <n v="50.58"/>
    <x v="499"/>
    <s v="UPI"/>
    <s v="Delivered"/>
    <d v="2024-10-24T00:00:00"/>
    <d v="2024-10-25T00:00:00"/>
    <x v="0"/>
    <x v="0"/>
    <x v="0"/>
    <x v="5"/>
    <s v="Festival Fever"/>
    <x v="3"/>
  </r>
  <r>
    <x v="502"/>
    <x v="502"/>
    <x v="71"/>
    <x v="1"/>
    <x v="1"/>
    <x v="0"/>
    <x v="4"/>
    <x v="9"/>
    <x v="18"/>
    <s v="Hoodie Model 2"/>
    <n v="2"/>
    <n v="2505"/>
    <n v="0.05"/>
    <n v="2379.75"/>
    <n v="0.12"/>
    <n v="4759.5"/>
    <n v="571.14"/>
    <x v="500"/>
    <s v="NetBanking"/>
    <s v="Shipped"/>
    <d v="2024-06-13T00:00:00"/>
    <m/>
    <x v="0"/>
    <x v="0"/>
    <x v="0"/>
    <x v="8"/>
    <s v="Monsoon Mania"/>
    <x v="5"/>
  </r>
  <r>
    <x v="503"/>
    <x v="503"/>
    <x v="107"/>
    <x v="1"/>
    <x v="12"/>
    <x v="0"/>
    <x v="2"/>
    <x v="19"/>
    <x v="35"/>
    <s v="Camera Model 2"/>
    <n v="1"/>
    <n v="52306"/>
    <n v="0.05"/>
    <n v="49690.7"/>
    <n v="0.12"/>
    <n v="49690.7"/>
    <n v="5962.8839999999991"/>
    <x v="501"/>
    <s v="Credit Card"/>
    <s v="Delivered"/>
    <d v="2024-10-04T00:00:00"/>
    <d v="2024-10-09T00:00:00"/>
    <x v="0"/>
    <x v="0"/>
    <x v="0"/>
    <x v="8"/>
    <s v="New Year Sale"/>
    <x v="3"/>
  </r>
  <r>
    <x v="504"/>
    <x v="504"/>
    <x v="161"/>
    <x v="3"/>
    <x v="10"/>
    <x v="0"/>
    <x v="4"/>
    <x v="5"/>
    <x v="19"/>
    <s v="Dress Model 1"/>
    <n v="3"/>
    <n v="423"/>
    <n v="0"/>
    <n v="423"/>
    <n v="0.12"/>
    <n v="1269"/>
    <n v="152.28"/>
    <x v="502"/>
    <s v="Debit Card"/>
    <s v="Delivered"/>
    <d v="2024-04-11T00:00:00"/>
    <d v="2024-04-16T00:00:00"/>
    <x v="0"/>
    <x v="0"/>
    <x v="0"/>
    <x v="6"/>
    <s v="Summer Splash"/>
    <x v="0"/>
  </r>
  <r>
    <x v="505"/>
    <x v="505"/>
    <x v="167"/>
    <x v="2"/>
    <x v="9"/>
    <x v="1"/>
    <x v="4"/>
    <x v="8"/>
    <x v="10"/>
    <s v="Jacket Model 3"/>
    <n v="3"/>
    <n v="436"/>
    <n v="0.15"/>
    <n v="370.6"/>
    <n v="0.18"/>
    <n v="1111.8"/>
    <n v="200.124"/>
    <x v="503"/>
    <s v="Credit Card"/>
    <s v="Delivered"/>
    <d v="2024-12-12T00:00:00"/>
    <d v="2024-12-17T00:00:00"/>
    <x v="0"/>
    <x v="0"/>
    <x v="0"/>
    <x v="5"/>
    <s v="Diwali Blast"/>
    <x v="3"/>
  </r>
  <r>
    <x v="506"/>
    <x v="506"/>
    <x v="70"/>
    <x v="3"/>
    <x v="15"/>
    <x v="2"/>
    <x v="1"/>
    <x v="2"/>
    <x v="59"/>
    <s v="Snacks Model 2"/>
    <n v="1"/>
    <n v="348"/>
    <n v="0"/>
    <n v="348"/>
    <n v="0.18"/>
    <n v="348"/>
    <n v="62.64"/>
    <x v="504"/>
    <s v="UPI"/>
    <s v="Delivered"/>
    <d v="2024-02-22T00:00:00"/>
    <d v="2024-02-24T00:00:00"/>
    <x v="0"/>
    <x v="0"/>
    <x v="0"/>
    <x v="7"/>
    <s v="New Year Sale"/>
    <x v="1"/>
  </r>
  <r>
    <x v="507"/>
    <x v="507"/>
    <x v="99"/>
    <x v="4"/>
    <x v="8"/>
    <x v="3"/>
    <x v="1"/>
    <x v="2"/>
    <x v="4"/>
    <s v="Snacks Model 1"/>
    <n v="1"/>
    <n v="695"/>
    <n v="0.15"/>
    <n v="590.75"/>
    <n v="0.12"/>
    <n v="590.75"/>
    <n v="70.89"/>
    <x v="505"/>
    <s v="UPI"/>
    <s v="Delivered"/>
    <d v="2024-10-14T00:00:00"/>
    <d v="2024-10-19T00:00:00"/>
    <x v="0"/>
    <x v="0"/>
    <x v="0"/>
    <x v="4"/>
    <s v="New Year Sale"/>
    <x v="1"/>
  </r>
  <r>
    <x v="508"/>
    <x v="508"/>
    <x v="155"/>
    <x v="2"/>
    <x v="9"/>
    <x v="2"/>
    <x v="0"/>
    <x v="21"/>
    <x v="51"/>
    <s v="Lamp Model 2"/>
    <n v="1"/>
    <n v="7351"/>
    <n v="0.05"/>
    <n v="6983.45"/>
    <n v="0.12"/>
    <n v="6983.45"/>
    <n v="838.0139999999999"/>
    <x v="506"/>
    <s v="UPI"/>
    <s v="Delivered"/>
    <d v="2024-11-11T00:00:00"/>
    <d v="2024-11-16T00:00:00"/>
    <x v="0"/>
    <x v="0"/>
    <x v="0"/>
    <x v="4"/>
    <s v="New Year Sale"/>
    <x v="5"/>
  </r>
  <r>
    <x v="509"/>
    <x v="509"/>
    <x v="133"/>
    <x v="2"/>
    <x v="9"/>
    <x v="0"/>
    <x v="3"/>
    <x v="11"/>
    <x v="14"/>
    <s v="Cricket Bat Model 1"/>
    <n v="1"/>
    <n v="5632"/>
    <n v="0"/>
    <n v="5632"/>
    <n v="0.12"/>
    <n v="5632"/>
    <n v="675.83999999999992"/>
    <x v="507"/>
    <s v="UPI"/>
    <s v="Shipped"/>
    <d v="2024-04-12T00:00:00"/>
    <m/>
    <x v="0"/>
    <x v="0"/>
    <x v="0"/>
    <x v="2"/>
    <s v="New Year Sale"/>
    <x v="3"/>
  </r>
  <r>
    <x v="510"/>
    <x v="510"/>
    <x v="169"/>
    <x v="4"/>
    <x v="17"/>
    <x v="1"/>
    <x v="4"/>
    <x v="8"/>
    <x v="72"/>
    <s v="Jacket Model 2"/>
    <n v="1"/>
    <n v="2207"/>
    <n v="0.05"/>
    <n v="2096.65"/>
    <n v="0.12"/>
    <n v="2096.65"/>
    <n v="251.59800000000001"/>
    <x v="508"/>
    <s v="Credit Card"/>
    <s v="Delivered"/>
    <d v="2024-07-10T00:00:00"/>
    <d v="2024-07-15T00:00:00"/>
    <x v="0"/>
    <x v="0"/>
    <x v="0"/>
    <x v="4"/>
    <s v="Diwali Blast"/>
    <x v="0"/>
  </r>
  <r>
    <x v="511"/>
    <x v="511"/>
    <x v="119"/>
    <x v="1"/>
    <x v="1"/>
    <x v="1"/>
    <x v="4"/>
    <x v="9"/>
    <x v="18"/>
    <s v="Hoodie Model 2"/>
    <n v="2"/>
    <n v="1849"/>
    <n v="0.2"/>
    <n v="1479.2"/>
    <n v="0.05"/>
    <n v="2958.4"/>
    <n v="147.91999999999999"/>
    <x v="509"/>
    <s v="Debit Card"/>
    <s v="In Transit"/>
    <d v="2024-01-11T00:00:00"/>
    <m/>
    <x v="0"/>
    <x v="0"/>
    <x v="0"/>
    <x v="7"/>
    <s v="New Year Sale"/>
    <x v="4"/>
  </r>
  <r>
    <x v="512"/>
    <x v="512"/>
    <x v="26"/>
    <x v="1"/>
    <x v="12"/>
    <x v="0"/>
    <x v="3"/>
    <x v="7"/>
    <x v="9"/>
    <s v="Dumbbells Model 3"/>
    <n v="3"/>
    <n v="8869"/>
    <n v="0.1"/>
    <n v="7982.1"/>
    <n v="0.12"/>
    <n v="23946.3"/>
    <n v="2873.556"/>
    <x v="510"/>
    <s v="Debit Card"/>
    <s v="Delivered"/>
    <d v="2025-01-10T00:00:00"/>
    <d v="2025-01-14T00:00:00"/>
    <x v="0"/>
    <x v="0"/>
    <x v="0"/>
    <x v="4"/>
    <s v="Clearance"/>
    <x v="4"/>
  </r>
  <r>
    <x v="513"/>
    <x v="513"/>
    <x v="87"/>
    <x v="3"/>
    <x v="7"/>
    <x v="0"/>
    <x v="1"/>
    <x v="18"/>
    <x v="29"/>
    <s v="Beverage Model 1"/>
    <n v="1"/>
    <n v="1044"/>
    <n v="0.15"/>
    <n v="887.4"/>
    <n v="0.12"/>
    <n v="887.4"/>
    <n v="106.488"/>
    <x v="511"/>
    <s v="UPI"/>
    <s v="Delivered"/>
    <d v="2024-07-09T00:00:00"/>
    <d v="2024-07-10T00:00:00"/>
    <x v="0"/>
    <x v="0"/>
    <x v="0"/>
    <x v="3"/>
    <s v="New Year Sale"/>
    <x v="1"/>
  </r>
  <r>
    <x v="514"/>
    <x v="514"/>
    <x v="109"/>
    <x v="1"/>
    <x v="1"/>
    <x v="0"/>
    <x v="0"/>
    <x v="22"/>
    <x v="44"/>
    <s v="Mixer Model 3"/>
    <n v="4"/>
    <n v="7672"/>
    <n v="0.1"/>
    <n v="6904.8"/>
    <n v="0.18"/>
    <n v="27619.200000000001"/>
    <n v="4971.4560000000001"/>
    <x v="512"/>
    <s v="NetBanking"/>
    <s v="Cancelled"/>
    <m/>
    <m/>
    <x v="0"/>
    <x v="0"/>
    <x v="0"/>
    <x v="7"/>
    <s v="Diwali Blast"/>
    <x v="5"/>
  </r>
  <r>
    <x v="515"/>
    <x v="515"/>
    <x v="136"/>
    <x v="3"/>
    <x v="3"/>
    <x v="0"/>
    <x v="4"/>
    <x v="5"/>
    <x v="53"/>
    <s v="Dress Model 2"/>
    <n v="1"/>
    <n v="1910"/>
    <n v="0.05"/>
    <n v="1814.5"/>
    <n v="0.18"/>
    <n v="1814.5"/>
    <n v="326.61"/>
    <x v="513"/>
    <s v="UPI"/>
    <s v="Cancelled"/>
    <m/>
    <m/>
    <x v="0"/>
    <x v="0"/>
    <x v="0"/>
    <x v="0"/>
    <s v="Festival Fever"/>
    <x v="2"/>
  </r>
  <r>
    <x v="516"/>
    <x v="516"/>
    <x v="32"/>
    <x v="3"/>
    <x v="15"/>
    <x v="0"/>
    <x v="3"/>
    <x v="16"/>
    <x v="70"/>
    <s v="Football Model 3"/>
    <n v="2"/>
    <n v="1881"/>
    <n v="0.2"/>
    <n v="1504.8"/>
    <n v="0.05"/>
    <n v="3009.6"/>
    <n v="150.47999999999999"/>
    <x v="514"/>
    <s v="Credit Card"/>
    <s v="Delivered"/>
    <d v="2024-07-17T00:00:00"/>
    <d v="2024-07-20T00:00:00"/>
    <x v="0"/>
    <x v="0"/>
    <x v="0"/>
    <x v="7"/>
    <s v="Clearance"/>
    <x v="6"/>
  </r>
  <r>
    <x v="517"/>
    <x v="517"/>
    <x v="130"/>
    <x v="1"/>
    <x v="12"/>
    <x v="0"/>
    <x v="1"/>
    <x v="6"/>
    <x v="8"/>
    <s v="Oil Model 1"/>
    <n v="2"/>
    <n v="806"/>
    <n v="0.1"/>
    <n v="725.4"/>
    <n v="0.18"/>
    <n v="1450.8"/>
    <n v="261.14400000000001"/>
    <x v="515"/>
    <s v="Credit Card"/>
    <s v="Delivered"/>
    <d v="2024-11-10T00:00:00"/>
    <d v="2024-11-13T00:00:00"/>
    <x v="0"/>
    <x v="0"/>
    <x v="0"/>
    <x v="7"/>
    <s v="Monsoon Mania"/>
    <x v="4"/>
  </r>
  <r>
    <x v="518"/>
    <x v="518"/>
    <x v="113"/>
    <x v="1"/>
    <x v="18"/>
    <x v="0"/>
    <x v="0"/>
    <x v="0"/>
    <x v="0"/>
    <s v="Air Purifier Model 1"/>
    <n v="2"/>
    <n v="2875"/>
    <n v="0"/>
    <n v="2875"/>
    <n v="0.12"/>
    <n v="5750"/>
    <n v="690"/>
    <x v="516"/>
    <s v="UPI"/>
    <s v="Shipped"/>
    <d v="2024-08-02T00:00:00"/>
    <m/>
    <x v="0"/>
    <x v="0"/>
    <x v="0"/>
    <x v="9"/>
    <s v="Festival Fever"/>
    <x v="4"/>
  </r>
  <r>
    <x v="519"/>
    <x v="519"/>
    <x v="2"/>
    <x v="2"/>
    <x v="2"/>
    <x v="0"/>
    <x v="1"/>
    <x v="2"/>
    <x v="4"/>
    <s v="Snacks Model 1"/>
    <n v="3"/>
    <n v="188"/>
    <n v="0"/>
    <n v="188"/>
    <n v="0.18"/>
    <n v="564"/>
    <n v="101.52"/>
    <x v="517"/>
    <s v="Credit Card"/>
    <s v="Delivered"/>
    <d v="2024-11-24T00:00:00"/>
    <d v="2024-11-26T00:00:00"/>
    <x v="0"/>
    <x v="0"/>
    <x v="0"/>
    <x v="9"/>
    <s v="Diwali Blast"/>
    <x v="1"/>
  </r>
  <r>
    <x v="520"/>
    <x v="520"/>
    <x v="40"/>
    <x v="1"/>
    <x v="18"/>
    <x v="0"/>
    <x v="1"/>
    <x v="18"/>
    <x v="29"/>
    <s v="Beverage Model 1"/>
    <n v="2"/>
    <n v="748"/>
    <n v="0"/>
    <n v="748"/>
    <n v="0.18"/>
    <n v="1496"/>
    <n v="269.27999999999997"/>
    <x v="518"/>
    <s v="UPI"/>
    <s v="Delivered"/>
    <d v="2024-12-04T00:00:00"/>
    <d v="2024-12-08T00:00:00"/>
    <x v="0"/>
    <x v="0"/>
    <x v="0"/>
    <x v="8"/>
    <s v="Diwali Blast"/>
    <x v="2"/>
  </r>
  <r>
    <x v="521"/>
    <x v="521"/>
    <x v="108"/>
    <x v="0"/>
    <x v="14"/>
    <x v="1"/>
    <x v="1"/>
    <x v="20"/>
    <x v="36"/>
    <s v="Pulses Model 3"/>
    <n v="3"/>
    <n v="864"/>
    <n v="0"/>
    <n v="864"/>
    <n v="0.12"/>
    <n v="2592"/>
    <n v="311.04000000000002"/>
    <x v="519"/>
    <s v="UPI"/>
    <s v="Cancelled"/>
    <m/>
    <m/>
    <x v="0"/>
    <x v="0"/>
    <x v="0"/>
    <x v="2"/>
    <s v="New Year Sale"/>
    <x v="1"/>
  </r>
  <r>
    <x v="522"/>
    <x v="522"/>
    <x v="104"/>
    <x v="0"/>
    <x v="13"/>
    <x v="1"/>
    <x v="0"/>
    <x v="1"/>
    <x v="3"/>
    <s v="Cookware Model 3"/>
    <n v="2"/>
    <n v="14946"/>
    <n v="0"/>
    <n v="14946"/>
    <n v="0.18"/>
    <n v="29892"/>
    <n v="5380.5599999999986"/>
    <x v="520"/>
    <s v="Debit Card"/>
    <s v="Delivered"/>
    <d v="2025-02-20T00:00:00"/>
    <d v="2025-02-25T00:00:00"/>
    <x v="0"/>
    <x v="0"/>
    <x v="0"/>
    <x v="2"/>
    <s v="Diwali Blast"/>
    <x v="6"/>
  </r>
  <r>
    <x v="523"/>
    <x v="523"/>
    <x v="49"/>
    <x v="2"/>
    <x v="4"/>
    <x v="0"/>
    <x v="3"/>
    <x v="10"/>
    <x v="52"/>
    <s v="Yoga Mat Model 2"/>
    <n v="3"/>
    <n v="7365"/>
    <n v="0.1"/>
    <n v="6628.5"/>
    <n v="0.12"/>
    <n v="19885.5"/>
    <n v="2386.2600000000002"/>
    <x v="521"/>
    <s v="Credit Card"/>
    <s v="Delivered"/>
    <d v="2024-02-09T00:00:00"/>
    <d v="2024-02-12T00:00:00"/>
    <x v="0"/>
    <x v="0"/>
    <x v="0"/>
    <x v="8"/>
    <s v="Monsoon Mania"/>
    <x v="3"/>
  </r>
  <r>
    <x v="524"/>
    <x v="524"/>
    <x v="40"/>
    <x v="1"/>
    <x v="18"/>
    <x v="0"/>
    <x v="3"/>
    <x v="11"/>
    <x v="49"/>
    <s v="Cricket Bat Model 2"/>
    <n v="3"/>
    <n v="6223"/>
    <n v="0.05"/>
    <n v="5911.8499999999995"/>
    <n v="0.12"/>
    <n v="17735.55"/>
    <n v="2128.2660000000001"/>
    <x v="522"/>
    <s v="COD"/>
    <s v="Delivered"/>
    <d v="2024-09-03T00:00:00"/>
    <d v="2024-09-07T00:00:00"/>
    <x v="0"/>
    <x v="0"/>
    <x v="0"/>
    <x v="0"/>
    <s v="Back to School"/>
    <x v="5"/>
  </r>
  <r>
    <x v="525"/>
    <x v="525"/>
    <x v="170"/>
    <x v="1"/>
    <x v="1"/>
    <x v="3"/>
    <x v="1"/>
    <x v="2"/>
    <x v="62"/>
    <s v="Snacks Model 3"/>
    <n v="3"/>
    <n v="1081"/>
    <n v="0"/>
    <n v="1081"/>
    <n v="0.18"/>
    <n v="3243"/>
    <n v="583.74"/>
    <x v="523"/>
    <s v="COD"/>
    <s v="Delivered"/>
    <d v="2024-02-15T00:00:00"/>
    <d v="2024-02-16T00:00:00"/>
    <x v="0"/>
    <x v="0"/>
    <x v="0"/>
    <x v="0"/>
    <s v="Festival Fever"/>
    <x v="5"/>
  </r>
  <r>
    <x v="526"/>
    <x v="526"/>
    <x v="97"/>
    <x v="4"/>
    <x v="8"/>
    <x v="0"/>
    <x v="0"/>
    <x v="14"/>
    <x v="31"/>
    <s v="Vacuum Model 2"/>
    <n v="1"/>
    <n v="13507"/>
    <n v="0"/>
    <n v="13507"/>
    <n v="0.05"/>
    <n v="13507"/>
    <n v="675.35"/>
    <x v="524"/>
    <s v="Credit Card"/>
    <s v="Delivered"/>
    <d v="2025-01-23T00:00:00"/>
    <d v="2025-01-27T00:00:00"/>
    <x v="0"/>
    <x v="0"/>
    <x v="0"/>
    <x v="3"/>
    <s v="Summer Splash"/>
    <x v="0"/>
  </r>
  <r>
    <x v="527"/>
    <x v="527"/>
    <x v="58"/>
    <x v="4"/>
    <x v="11"/>
    <x v="0"/>
    <x v="4"/>
    <x v="8"/>
    <x v="10"/>
    <s v="Jacket Model 3"/>
    <n v="2"/>
    <n v="2416"/>
    <n v="0.15"/>
    <n v="2053.6"/>
    <n v="0.05"/>
    <n v="4107.2"/>
    <n v="205.36"/>
    <x v="525"/>
    <s v="UPI"/>
    <s v="Delivered"/>
    <d v="2024-05-26T00:00:00"/>
    <d v="2024-05-28T00:00:00"/>
    <x v="0"/>
    <x v="0"/>
    <x v="0"/>
    <x v="1"/>
    <s v="Clearance"/>
    <x v="6"/>
  </r>
  <r>
    <x v="528"/>
    <x v="528"/>
    <x v="18"/>
    <x v="0"/>
    <x v="0"/>
    <x v="0"/>
    <x v="0"/>
    <x v="14"/>
    <x v="17"/>
    <s v="Vacuum Model 3"/>
    <n v="4"/>
    <n v="10951"/>
    <n v="0.05"/>
    <n v="10403.450000000001"/>
    <n v="0.12"/>
    <n v="41613.800000000003"/>
    <n v="4993.655999999999"/>
    <x v="526"/>
    <s v="NetBanking"/>
    <s v="Returned"/>
    <d v="2024-12-01T00:00:00"/>
    <m/>
    <x v="1"/>
    <x v="21"/>
    <x v="21"/>
    <x v="7"/>
    <s v="Back to School"/>
    <x v="1"/>
  </r>
  <r>
    <x v="529"/>
    <x v="529"/>
    <x v="158"/>
    <x v="1"/>
    <x v="1"/>
    <x v="3"/>
    <x v="4"/>
    <x v="17"/>
    <x v="32"/>
    <s v="T-Shirt Model 3"/>
    <n v="1"/>
    <n v="1517"/>
    <n v="0"/>
    <n v="1517"/>
    <n v="0.12"/>
    <n v="1517"/>
    <n v="182.04"/>
    <x v="527"/>
    <s v="UPI"/>
    <s v="Shipped"/>
    <d v="2024-02-03T00:00:00"/>
    <m/>
    <x v="0"/>
    <x v="0"/>
    <x v="0"/>
    <x v="5"/>
    <s v="Clearance"/>
    <x v="4"/>
  </r>
  <r>
    <x v="530"/>
    <x v="530"/>
    <x v="22"/>
    <x v="0"/>
    <x v="13"/>
    <x v="0"/>
    <x v="1"/>
    <x v="2"/>
    <x v="62"/>
    <s v="Snacks Model 3"/>
    <n v="1"/>
    <n v="938"/>
    <n v="0.1"/>
    <n v="844.2"/>
    <n v="0.18"/>
    <n v="844.2"/>
    <n v="151.95599999999999"/>
    <x v="528"/>
    <s v="Credit Card"/>
    <s v="Delivered"/>
    <d v="2024-05-23T00:00:00"/>
    <d v="2024-05-27T00:00:00"/>
    <x v="0"/>
    <x v="0"/>
    <x v="0"/>
    <x v="8"/>
    <s v="Back to School"/>
    <x v="5"/>
  </r>
  <r>
    <x v="531"/>
    <x v="531"/>
    <x v="40"/>
    <x v="1"/>
    <x v="18"/>
    <x v="1"/>
    <x v="3"/>
    <x v="16"/>
    <x v="22"/>
    <s v="Football Model 1"/>
    <n v="1"/>
    <n v="8270"/>
    <n v="0"/>
    <n v="8270"/>
    <n v="0.12"/>
    <n v="8270"/>
    <n v="992.4"/>
    <x v="529"/>
    <s v="UPI"/>
    <s v="Delivered"/>
    <d v="2024-03-13T00:00:00"/>
    <d v="2024-03-15T00:00:00"/>
    <x v="0"/>
    <x v="0"/>
    <x v="0"/>
    <x v="3"/>
    <s v="Monsoon Mania"/>
    <x v="3"/>
  </r>
  <r>
    <x v="532"/>
    <x v="532"/>
    <x v="28"/>
    <x v="0"/>
    <x v="14"/>
    <x v="0"/>
    <x v="4"/>
    <x v="5"/>
    <x v="7"/>
    <s v="Dress Model 3"/>
    <n v="2"/>
    <n v="2195"/>
    <n v="0.05"/>
    <n v="2085.25"/>
    <n v="0.18"/>
    <n v="4170.5"/>
    <n v="750.68999999999994"/>
    <x v="530"/>
    <s v="UPI"/>
    <s v="Delivered"/>
    <d v="2025-02-28T00:00:00"/>
    <d v="2025-03-03T00:00:00"/>
    <x v="0"/>
    <x v="0"/>
    <x v="0"/>
    <x v="4"/>
    <s v="Clearance"/>
    <x v="3"/>
  </r>
  <r>
    <x v="533"/>
    <x v="533"/>
    <x v="81"/>
    <x v="1"/>
    <x v="12"/>
    <x v="0"/>
    <x v="1"/>
    <x v="20"/>
    <x v="65"/>
    <s v="Pulses Model 1"/>
    <n v="1"/>
    <n v="645"/>
    <n v="0.05"/>
    <n v="612.75"/>
    <n v="0.12"/>
    <n v="612.75"/>
    <n v="73.53"/>
    <x v="531"/>
    <s v="COD"/>
    <s v="Delivered"/>
    <d v="2024-09-09T00:00:00"/>
    <d v="2024-09-14T00:00:00"/>
    <x v="0"/>
    <x v="0"/>
    <x v="0"/>
    <x v="6"/>
    <s v="Clearance"/>
    <x v="5"/>
  </r>
  <r>
    <x v="534"/>
    <x v="534"/>
    <x v="144"/>
    <x v="2"/>
    <x v="2"/>
    <x v="0"/>
    <x v="4"/>
    <x v="8"/>
    <x v="43"/>
    <s v="Jacket Model 1"/>
    <n v="4"/>
    <n v="2549"/>
    <n v="0.15"/>
    <n v="2166.65"/>
    <n v="0.12"/>
    <n v="8666.6"/>
    <n v="1039.992"/>
    <x v="532"/>
    <s v="Debit Card"/>
    <s v="Delivered"/>
    <d v="2024-01-18T00:00:00"/>
    <d v="2024-01-22T00:00:00"/>
    <x v="0"/>
    <x v="0"/>
    <x v="0"/>
    <x v="8"/>
    <s v="New Year Sale"/>
    <x v="6"/>
  </r>
  <r>
    <x v="535"/>
    <x v="535"/>
    <x v="118"/>
    <x v="3"/>
    <x v="7"/>
    <x v="0"/>
    <x v="4"/>
    <x v="8"/>
    <x v="43"/>
    <s v="Jacket Model 1"/>
    <n v="4"/>
    <n v="509"/>
    <n v="0.05"/>
    <n v="483.55"/>
    <n v="0.12"/>
    <n v="1934.2"/>
    <n v="232.10400000000001"/>
    <x v="533"/>
    <s v="Credit Card"/>
    <s v="Delivered"/>
    <d v="2024-05-04T00:00:00"/>
    <d v="2024-05-08T00:00:00"/>
    <x v="0"/>
    <x v="0"/>
    <x v="0"/>
    <x v="4"/>
    <s v="New Year Sale"/>
    <x v="5"/>
  </r>
  <r>
    <x v="536"/>
    <x v="536"/>
    <x v="84"/>
    <x v="4"/>
    <x v="8"/>
    <x v="1"/>
    <x v="1"/>
    <x v="6"/>
    <x v="28"/>
    <s v="Oil Model 2"/>
    <n v="1"/>
    <n v="1126"/>
    <n v="0"/>
    <n v="1126"/>
    <n v="0.12"/>
    <n v="1126"/>
    <n v="135.12"/>
    <x v="534"/>
    <s v="UPI"/>
    <s v="Delivered"/>
    <d v="2025-03-26T00:00:00"/>
    <d v="2025-03-30T00:00:00"/>
    <x v="0"/>
    <x v="0"/>
    <x v="0"/>
    <x v="5"/>
    <s v="New Year Sale"/>
    <x v="5"/>
  </r>
  <r>
    <x v="537"/>
    <x v="537"/>
    <x v="171"/>
    <x v="3"/>
    <x v="15"/>
    <x v="2"/>
    <x v="2"/>
    <x v="13"/>
    <x v="50"/>
    <s v="Laptop Model 2"/>
    <n v="3"/>
    <n v="34953"/>
    <n v="0"/>
    <n v="34953"/>
    <n v="0.12"/>
    <n v="104859"/>
    <n v="12583.08"/>
    <x v="535"/>
    <s v="UPI"/>
    <s v="Shipped"/>
    <d v="2024-04-02T00:00:00"/>
    <m/>
    <x v="0"/>
    <x v="0"/>
    <x v="0"/>
    <x v="7"/>
    <s v="Festival Fever"/>
    <x v="4"/>
  </r>
  <r>
    <x v="538"/>
    <x v="538"/>
    <x v="24"/>
    <x v="3"/>
    <x v="3"/>
    <x v="0"/>
    <x v="1"/>
    <x v="2"/>
    <x v="4"/>
    <s v="Snacks Model 1"/>
    <n v="4"/>
    <n v="246"/>
    <n v="0"/>
    <n v="246"/>
    <n v="0.18"/>
    <n v="984"/>
    <n v="177.12"/>
    <x v="536"/>
    <s v="Credit Card"/>
    <s v="Delivered"/>
    <d v="2024-03-24T00:00:00"/>
    <d v="2024-03-26T00:00:00"/>
    <x v="0"/>
    <x v="0"/>
    <x v="0"/>
    <x v="4"/>
    <s v="Diwali Blast"/>
    <x v="2"/>
  </r>
  <r>
    <x v="539"/>
    <x v="539"/>
    <x v="68"/>
    <x v="4"/>
    <x v="17"/>
    <x v="1"/>
    <x v="0"/>
    <x v="21"/>
    <x v="51"/>
    <s v="Lamp Model 2"/>
    <n v="3"/>
    <n v="1427"/>
    <n v="0"/>
    <n v="1427"/>
    <n v="0.05"/>
    <n v="4281"/>
    <n v="214.05"/>
    <x v="159"/>
    <s v="Debit Card"/>
    <s v="Delivered"/>
    <d v="2024-08-26T00:00:00"/>
    <d v="2024-08-28T00:00:00"/>
    <x v="0"/>
    <x v="0"/>
    <x v="0"/>
    <x v="3"/>
    <s v="Monsoon Mania"/>
    <x v="2"/>
  </r>
  <r>
    <x v="540"/>
    <x v="540"/>
    <x v="34"/>
    <x v="4"/>
    <x v="8"/>
    <x v="0"/>
    <x v="4"/>
    <x v="9"/>
    <x v="18"/>
    <s v="Hoodie Model 2"/>
    <n v="2"/>
    <n v="560"/>
    <n v="0"/>
    <n v="560"/>
    <n v="0.12"/>
    <n v="1120"/>
    <n v="134.4"/>
    <x v="537"/>
    <s v="COD"/>
    <s v="Delivered"/>
    <d v="2024-10-08T00:00:00"/>
    <d v="2024-10-13T00:00:00"/>
    <x v="0"/>
    <x v="0"/>
    <x v="0"/>
    <x v="4"/>
    <s v="Diwali Blast"/>
    <x v="0"/>
  </r>
  <r>
    <x v="541"/>
    <x v="541"/>
    <x v="149"/>
    <x v="1"/>
    <x v="1"/>
    <x v="0"/>
    <x v="3"/>
    <x v="7"/>
    <x v="23"/>
    <s v="Dumbbells Model 1"/>
    <n v="3"/>
    <n v="4261"/>
    <n v="0.2"/>
    <n v="3408.8"/>
    <n v="0.18"/>
    <n v="10226.4"/>
    <n v="1840.752"/>
    <x v="538"/>
    <s v="NetBanking"/>
    <s v="Delivered"/>
    <d v="2024-05-30T00:00:00"/>
    <d v="2024-06-02T00:00:00"/>
    <x v="0"/>
    <x v="0"/>
    <x v="0"/>
    <x v="3"/>
    <s v="Diwali Blast"/>
    <x v="4"/>
  </r>
  <r>
    <x v="542"/>
    <x v="542"/>
    <x v="153"/>
    <x v="0"/>
    <x v="19"/>
    <x v="3"/>
    <x v="4"/>
    <x v="24"/>
    <x v="55"/>
    <s v="Jeans Model 2"/>
    <n v="1"/>
    <n v="1835"/>
    <n v="0"/>
    <n v="1835"/>
    <n v="0.12"/>
    <n v="1835"/>
    <n v="220.2"/>
    <x v="539"/>
    <s v="UPI"/>
    <s v="Delivered"/>
    <d v="2024-07-30T00:00:00"/>
    <d v="2024-08-01T00:00:00"/>
    <x v="0"/>
    <x v="0"/>
    <x v="0"/>
    <x v="7"/>
    <s v="Diwali Blast"/>
    <x v="4"/>
  </r>
  <r>
    <x v="543"/>
    <x v="543"/>
    <x v="61"/>
    <x v="0"/>
    <x v="13"/>
    <x v="1"/>
    <x v="4"/>
    <x v="24"/>
    <x v="55"/>
    <s v="Jeans Model 2"/>
    <n v="3"/>
    <n v="1319"/>
    <n v="0"/>
    <n v="1319"/>
    <n v="0.05"/>
    <n v="3957"/>
    <n v="197.85"/>
    <x v="540"/>
    <s v="UPI"/>
    <s v="Delivered"/>
    <d v="2024-05-27T00:00:00"/>
    <d v="2024-05-28T00:00:00"/>
    <x v="0"/>
    <x v="0"/>
    <x v="0"/>
    <x v="5"/>
    <s v="Back to School"/>
    <x v="6"/>
  </r>
  <r>
    <x v="544"/>
    <x v="544"/>
    <x v="71"/>
    <x v="1"/>
    <x v="1"/>
    <x v="1"/>
    <x v="2"/>
    <x v="13"/>
    <x v="41"/>
    <s v="Laptop Model 3"/>
    <n v="3"/>
    <n v="49248"/>
    <n v="0"/>
    <n v="49248"/>
    <n v="0.18"/>
    <n v="147744"/>
    <n v="26593.919999999998"/>
    <x v="541"/>
    <s v="UPI"/>
    <s v="Delivered"/>
    <d v="2024-03-24T00:00:00"/>
    <d v="2024-03-28T00:00:00"/>
    <x v="0"/>
    <x v="0"/>
    <x v="0"/>
    <x v="2"/>
    <s v="New Year Sale"/>
    <x v="3"/>
  </r>
  <r>
    <x v="545"/>
    <x v="545"/>
    <x v="85"/>
    <x v="2"/>
    <x v="9"/>
    <x v="0"/>
    <x v="4"/>
    <x v="9"/>
    <x v="11"/>
    <s v="Hoodie Model 3"/>
    <n v="2"/>
    <n v="622"/>
    <n v="0"/>
    <n v="622"/>
    <n v="0.12"/>
    <n v="1244"/>
    <n v="149.28"/>
    <x v="542"/>
    <s v="Credit Card"/>
    <s v="Shipped"/>
    <d v="2024-09-29T00:00:00"/>
    <m/>
    <x v="0"/>
    <x v="0"/>
    <x v="0"/>
    <x v="9"/>
    <s v="Clearance"/>
    <x v="6"/>
  </r>
  <r>
    <x v="546"/>
    <x v="546"/>
    <x v="140"/>
    <x v="1"/>
    <x v="18"/>
    <x v="0"/>
    <x v="2"/>
    <x v="3"/>
    <x v="5"/>
    <s v="Smartphone Model 3"/>
    <n v="3"/>
    <n v="26480"/>
    <n v="0.15"/>
    <n v="22508"/>
    <n v="0.05"/>
    <n v="67524"/>
    <n v="3376.2"/>
    <x v="543"/>
    <s v="UPI"/>
    <s v="Delivered"/>
    <d v="2024-03-19T00:00:00"/>
    <d v="2024-03-22T00:00:00"/>
    <x v="0"/>
    <x v="0"/>
    <x v="0"/>
    <x v="9"/>
    <s v="Back to School"/>
    <x v="2"/>
  </r>
  <r>
    <x v="547"/>
    <x v="547"/>
    <x v="20"/>
    <x v="0"/>
    <x v="0"/>
    <x v="1"/>
    <x v="1"/>
    <x v="20"/>
    <x v="74"/>
    <s v="Pulses Model 2"/>
    <n v="3"/>
    <n v="665"/>
    <n v="0.1"/>
    <n v="598.5"/>
    <n v="0.12"/>
    <n v="1795.5"/>
    <n v="215.46"/>
    <x v="544"/>
    <s v="Credit Card"/>
    <s v="Delivered"/>
    <d v="2024-12-12T00:00:00"/>
    <d v="2024-12-16T00:00:00"/>
    <x v="0"/>
    <x v="0"/>
    <x v="0"/>
    <x v="3"/>
    <s v="Monsoon Mania"/>
    <x v="5"/>
  </r>
  <r>
    <x v="548"/>
    <x v="548"/>
    <x v="37"/>
    <x v="1"/>
    <x v="1"/>
    <x v="1"/>
    <x v="3"/>
    <x v="7"/>
    <x v="33"/>
    <s v="Dumbbells Model 2"/>
    <n v="2"/>
    <n v="8289"/>
    <n v="0.05"/>
    <n v="7874.5499999999993"/>
    <n v="0.12"/>
    <n v="15749.1"/>
    <n v="1889.8920000000001"/>
    <x v="545"/>
    <s v="Debit Card"/>
    <s v="Returned"/>
    <d v="2025-04-19T00:00:00"/>
    <m/>
    <x v="1"/>
    <x v="22"/>
    <x v="22"/>
    <x v="6"/>
    <s v="Back to School"/>
    <x v="3"/>
  </r>
  <r>
    <x v="549"/>
    <x v="549"/>
    <x v="117"/>
    <x v="3"/>
    <x v="10"/>
    <x v="2"/>
    <x v="4"/>
    <x v="8"/>
    <x v="10"/>
    <s v="Jacket Model 3"/>
    <n v="1"/>
    <n v="489"/>
    <n v="0.1"/>
    <n v="440.1"/>
    <n v="0.18"/>
    <n v="440.1"/>
    <n v="79.218000000000004"/>
    <x v="546"/>
    <s v="COD"/>
    <s v="Shipped"/>
    <d v="2025-02-07T00:00:00"/>
    <m/>
    <x v="0"/>
    <x v="0"/>
    <x v="0"/>
    <x v="8"/>
    <s v="Clearance"/>
    <x v="6"/>
  </r>
  <r>
    <x v="550"/>
    <x v="550"/>
    <x v="80"/>
    <x v="2"/>
    <x v="2"/>
    <x v="0"/>
    <x v="4"/>
    <x v="9"/>
    <x v="11"/>
    <s v="Hoodie Model 3"/>
    <n v="1"/>
    <n v="2612"/>
    <n v="0"/>
    <n v="2612"/>
    <n v="0.12"/>
    <n v="2612"/>
    <n v="313.44"/>
    <x v="547"/>
    <s v="NetBanking"/>
    <s v="Delivered"/>
    <d v="2025-01-24T00:00:00"/>
    <d v="2025-01-26T00:00:00"/>
    <x v="0"/>
    <x v="0"/>
    <x v="0"/>
    <x v="3"/>
    <s v="Clearance"/>
    <x v="5"/>
  </r>
  <r>
    <x v="551"/>
    <x v="551"/>
    <x v="172"/>
    <x v="2"/>
    <x v="2"/>
    <x v="0"/>
    <x v="4"/>
    <x v="5"/>
    <x v="19"/>
    <s v="Dress Model 1"/>
    <n v="2"/>
    <n v="506"/>
    <n v="0.1"/>
    <n v="455.4"/>
    <n v="0.12"/>
    <n v="910.80000000000007"/>
    <n v="109.29600000000001"/>
    <x v="548"/>
    <s v="COD"/>
    <s v="Delivered"/>
    <d v="2024-01-14T00:00:00"/>
    <d v="2024-01-18T00:00:00"/>
    <x v="0"/>
    <x v="0"/>
    <x v="0"/>
    <x v="5"/>
    <s v="Monsoon Mania"/>
    <x v="5"/>
  </r>
  <r>
    <x v="552"/>
    <x v="552"/>
    <x v="142"/>
    <x v="3"/>
    <x v="3"/>
    <x v="0"/>
    <x v="4"/>
    <x v="17"/>
    <x v="32"/>
    <s v="T-Shirt Model 3"/>
    <n v="3"/>
    <n v="1157"/>
    <n v="0"/>
    <n v="1157"/>
    <n v="0.12"/>
    <n v="3471"/>
    <n v="416.52"/>
    <x v="549"/>
    <s v="NetBanking"/>
    <s v="Delivered"/>
    <d v="2024-02-26T00:00:00"/>
    <d v="2024-03-01T00:00:00"/>
    <x v="0"/>
    <x v="0"/>
    <x v="0"/>
    <x v="1"/>
    <s v="New Year Sale"/>
    <x v="6"/>
  </r>
  <r>
    <x v="553"/>
    <x v="553"/>
    <x v="154"/>
    <x v="3"/>
    <x v="3"/>
    <x v="1"/>
    <x v="0"/>
    <x v="22"/>
    <x v="44"/>
    <s v="Mixer Model 3"/>
    <n v="1"/>
    <n v="5799"/>
    <n v="0"/>
    <n v="5799"/>
    <n v="0.05"/>
    <n v="5799"/>
    <n v="289.95"/>
    <x v="550"/>
    <s v="COD"/>
    <s v="Delivered"/>
    <d v="2024-07-21T00:00:00"/>
    <d v="2024-07-26T00:00:00"/>
    <x v="0"/>
    <x v="0"/>
    <x v="0"/>
    <x v="7"/>
    <s v="New Year Sale"/>
    <x v="4"/>
  </r>
  <r>
    <x v="554"/>
    <x v="554"/>
    <x v="16"/>
    <x v="4"/>
    <x v="11"/>
    <x v="0"/>
    <x v="2"/>
    <x v="23"/>
    <x v="47"/>
    <s v="Smartwatch Model 1"/>
    <n v="3"/>
    <n v="13804"/>
    <n v="0"/>
    <n v="13804"/>
    <n v="0.12"/>
    <n v="41412"/>
    <n v="4969.4399999999996"/>
    <x v="551"/>
    <s v="Credit Card"/>
    <s v="Delivered"/>
    <d v="2025-02-28T00:00:00"/>
    <d v="2025-03-02T00:00:00"/>
    <x v="0"/>
    <x v="0"/>
    <x v="0"/>
    <x v="5"/>
    <s v="Festival Fever"/>
    <x v="3"/>
  </r>
  <r>
    <x v="555"/>
    <x v="555"/>
    <x v="45"/>
    <x v="0"/>
    <x v="14"/>
    <x v="1"/>
    <x v="3"/>
    <x v="16"/>
    <x v="70"/>
    <s v="Football Model 3"/>
    <n v="3"/>
    <n v="512"/>
    <n v="0.05"/>
    <n v="486.4"/>
    <n v="0.12"/>
    <n v="1459.2"/>
    <n v="175.10400000000001"/>
    <x v="552"/>
    <s v="COD"/>
    <s v="Cancelled"/>
    <m/>
    <m/>
    <x v="0"/>
    <x v="0"/>
    <x v="0"/>
    <x v="9"/>
    <s v="Monsoon Mania"/>
    <x v="4"/>
  </r>
  <r>
    <x v="556"/>
    <x v="556"/>
    <x v="61"/>
    <x v="0"/>
    <x v="13"/>
    <x v="0"/>
    <x v="2"/>
    <x v="12"/>
    <x v="61"/>
    <s v="Headphones Model 3"/>
    <n v="4"/>
    <n v="20070"/>
    <n v="0.05"/>
    <n v="19066.5"/>
    <n v="0.12"/>
    <n v="76266"/>
    <n v="9151.92"/>
    <x v="553"/>
    <s v="COD"/>
    <s v="Delivered"/>
    <d v="2024-10-24T00:00:00"/>
    <d v="2024-10-26T00:00:00"/>
    <x v="0"/>
    <x v="0"/>
    <x v="0"/>
    <x v="2"/>
    <s v="Monsoon Mania"/>
    <x v="0"/>
  </r>
  <r>
    <x v="557"/>
    <x v="557"/>
    <x v="28"/>
    <x v="0"/>
    <x v="14"/>
    <x v="0"/>
    <x v="2"/>
    <x v="3"/>
    <x v="56"/>
    <s v="Smartphone Model 2"/>
    <n v="1"/>
    <n v="48736"/>
    <n v="0"/>
    <n v="48736"/>
    <n v="0.05"/>
    <n v="48736"/>
    <n v="2436.8000000000002"/>
    <x v="554"/>
    <s v="COD"/>
    <s v="Shipped"/>
    <d v="2024-11-30T00:00:00"/>
    <m/>
    <x v="0"/>
    <x v="0"/>
    <x v="0"/>
    <x v="2"/>
    <s v="Diwali Blast"/>
    <x v="4"/>
  </r>
  <r>
    <x v="558"/>
    <x v="558"/>
    <x v="10"/>
    <x v="2"/>
    <x v="2"/>
    <x v="0"/>
    <x v="4"/>
    <x v="8"/>
    <x v="10"/>
    <s v="Jacket Model 3"/>
    <n v="1"/>
    <n v="2266"/>
    <n v="0.15"/>
    <n v="1926.1"/>
    <n v="0.12"/>
    <n v="1926.1"/>
    <n v="231.13200000000001"/>
    <x v="555"/>
    <s v="NetBanking"/>
    <s v="Delivered"/>
    <d v="2024-11-24T00:00:00"/>
    <d v="2024-11-26T00:00:00"/>
    <x v="0"/>
    <x v="0"/>
    <x v="0"/>
    <x v="6"/>
    <s v="New Year Sale"/>
    <x v="6"/>
  </r>
  <r>
    <x v="559"/>
    <x v="559"/>
    <x v="31"/>
    <x v="2"/>
    <x v="9"/>
    <x v="0"/>
    <x v="1"/>
    <x v="6"/>
    <x v="8"/>
    <s v="Oil Model 1"/>
    <n v="3"/>
    <n v="912"/>
    <n v="0.05"/>
    <n v="866.4"/>
    <n v="0.12"/>
    <n v="2599.1999999999998"/>
    <n v="311.90399999999988"/>
    <x v="556"/>
    <s v="Credit Card"/>
    <s v="In Transit"/>
    <d v="2025-03-06T00:00:00"/>
    <m/>
    <x v="0"/>
    <x v="0"/>
    <x v="0"/>
    <x v="5"/>
    <s v="Clearance"/>
    <x v="4"/>
  </r>
  <r>
    <x v="560"/>
    <x v="560"/>
    <x v="116"/>
    <x v="3"/>
    <x v="7"/>
    <x v="1"/>
    <x v="1"/>
    <x v="18"/>
    <x v="29"/>
    <s v="Beverage Model 1"/>
    <n v="2"/>
    <n v="770"/>
    <n v="0"/>
    <n v="770"/>
    <n v="0.18"/>
    <n v="1540"/>
    <n v="277.2"/>
    <x v="557"/>
    <s v="UPI"/>
    <s v="Shipped"/>
    <d v="2024-11-07T00:00:00"/>
    <m/>
    <x v="0"/>
    <x v="0"/>
    <x v="0"/>
    <x v="1"/>
    <s v="Diwali Blast"/>
    <x v="2"/>
  </r>
  <r>
    <x v="561"/>
    <x v="561"/>
    <x v="108"/>
    <x v="0"/>
    <x v="14"/>
    <x v="1"/>
    <x v="0"/>
    <x v="14"/>
    <x v="17"/>
    <s v="Vacuum Model 3"/>
    <n v="1"/>
    <n v="13099"/>
    <n v="0.05"/>
    <n v="12444.05"/>
    <n v="0.12"/>
    <n v="12444.05"/>
    <n v="1493.2860000000001"/>
    <x v="558"/>
    <s v="NetBanking"/>
    <s v="Delivered"/>
    <d v="2025-01-22T00:00:00"/>
    <d v="2025-01-27T00:00:00"/>
    <x v="0"/>
    <x v="0"/>
    <x v="0"/>
    <x v="9"/>
    <s v="Monsoon Mania"/>
    <x v="3"/>
  </r>
  <r>
    <x v="562"/>
    <x v="562"/>
    <x v="168"/>
    <x v="3"/>
    <x v="7"/>
    <x v="0"/>
    <x v="2"/>
    <x v="19"/>
    <x v="35"/>
    <s v="Camera Model 2"/>
    <n v="3"/>
    <n v="10251"/>
    <n v="0"/>
    <n v="10251"/>
    <n v="0.12"/>
    <n v="30753"/>
    <n v="3690.36"/>
    <x v="559"/>
    <s v="Credit Card"/>
    <s v="Delivered"/>
    <d v="2024-07-06T00:00:00"/>
    <d v="2024-07-10T00:00:00"/>
    <x v="0"/>
    <x v="0"/>
    <x v="0"/>
    <x v="8"/>
    <s v="Monsoon Mania"/>
    <x v="0"/>
  </r>
  <r>
    <x v="563"/>
    <x v="563"/>
    <x v="164"/>
    <x v="3"/>
    <x v="7"/>
    <x v="0"/>
    <x v="0"/>
    <x v="1"/>
    <x v="67"/>
    <s v="Cookware Model 2"/>
    <n v="4"/>
    <n v="11023"/>
    <n v="0.05"/>
    <n v="10471.85"/>
    <n v="0.18"/>
    <n v="41887.4"/>
    <n v="7539.732"/>
    <x v="560"/>
    <s v="Credit Card"/>
    <s v="Delivered"/>
    <d v="2024-12-03T00:00:00"/>
    <d v="2024-12-05T00:00:00"/>
    <x v="0"/>
    <x v="0"/>
    <x v="0"/>
    <x v="9"/>
    <s v="Summer Splash"/>
    <x v="4"/>
  </r>
  <r>
    <x v="564"/>
    <x v="564"/>
    <x v="68"/>
    <x v="4"/>
    <x v="17"/>
    <x v="0"/>
    <x v="0"/>
    <x v="22"/>
    <x v="40"/>
    <s v="Mixer Model 2"/>
    <n v="2"/>
    <n v="6057"/>
    <n v="0"/>
    <n v="6057"/>
    <n v="0.12"/>
    <n v="12114"/>
    <n v="1453.68"/>
    <x v="561"/>
    <s v="Credit Card"/>
    <s v="Delivered"/>
    <d v="2025-03-31T00:00:00"/>
    <d v="2025-04-01T00:00:00"/>
    <x v="0"/>
    <x v="0"/>
    <x v="0"/>
    <x v="0"/>
    <s v="Clearance"/>
    <x v="1"/>
  </r>
  <r>
    <x v="565"/>
    <x v="565"/>
    <x v="130"/>
    <x v="1"/>
    <x v="12"/>
    <x v="0"/>
    <x v="0"/>
    <x v="22"/>
    <x v="40"/>
    <s v="Mixer Model 2"/>
    <n v="1"/>
    <n v="14339"/>
    <n v="0.05"/>
    <n v="13622.05"/>
    <n v="0.18"/>
    <n v="13622.05"/>
    <n v="2451.9690000000001"/>
    <x v="562"/>
    <s v="Debit Card"/>
    <s v="Delivered"/>
    <d v="2024-07-16T00:00:00"/>
    <d v="2024-07-20T00:00:00"/>
    <x v="0"/>
    <x v="0"/>
    <x v="0"/>
    <x v="6"/>
    <s v="New Year Sale"/>
    <x v="2"/>
  </r>
  <r>
    <x v="566"/>
    <x v="566"/>
    <x v="3"/>
    <x v="3"/>
    <x v="3"/>
    <x v="1"/>
    <x v="3"/>
    <x v="10"/>
    <x v="30"/>
    <s v="Yoga Mat Model 3"/>
    <n v="1"/>
    <n v="6272"/>
    <n v="0"/>
    <n v="6272"/>
    <n v="0.12"/>
    <n v="6272"/>
    <n v="752.64"/>
    <x v="563"/>
    <s v="COD"/>
    <s v="Delivered"/>
    <d v="2024-04-28T00:00:00"/>
    <d v="2024-05-02T00:00:00"/>
    <x v="0"/>
    <x v="0"/>
    <x v="0"/>
    <x v="1"/>
    <s v="Monsoon Mania"/>
    <x v="4"/>
  </r>
  <r>
    <x v="567"/>
    <x v="567"/>
    <x v="59"/>
    <x v="4"/>
    <x v="8"/>
    <x v="1"/>
    <x v="1"/>
    <x v="20"/>
    <x v="65"/>
    <s v="Pulses Model 1"/>
    <n v="3"/>
    <n v="1021"/>
    <n v="0"/>
    <n v="1021"/>
    <n v="0.18"/>
    <n v="3063"/>
    <n v="551.34"/>
    <x v="564"/>
    <s v="UPI"/>
    <s v="Delivered"/>
    <d v="2024-11-21T00:00:00"/>
    <d v="2024-11-24T00:00:00"/>
    <x v="0"/>
    <x v="0"/>
    <x v="0"/>
    <x v="1"/>
    <s v="New Year Sale"/>
    <x v="6"/>
  </r>
  <r>
    <x v="568"/>
    <x v="568"/>
    <x v="51"/>
    <x v="0"/>
    <x v="19"/>
    <x v="0"/>
    <x v="3"/>
    <x v="10"/>
    <x v="12"/>
    <s v="Yoga Mat Model 1"/>
    <n v="2"/>
    <n v="2258"/>
    <n v="0.15"/>
    <n v="1919.3"/>
    <n v="0.12"/>
    <n v="3838.6"/>
    <n v="460.63199999999989"/>
    <x v="565"/>
    <s v="COD"/>
    <s v="Delivered"/>
    <d v="2024-01-11T00:00:00"/>
    <d v="2024-01-14T00:00:00"/>
    <x v="0"/>
    <x v="0"/>
    <x v="0"/>
    <x v="3"/>
    <s v="Back to School"/>
    <x v="0"/>
  </r>
  <r>
    <x v="569"/>
    <x v="569"/>
    <x v="108"/>
    <x v="0"/>
    <x v="14"/>
    <x v="0"/>
    <x v="0"/>
    <x v="1"/>
    <x v="38"/>
    <s v="Cookware Model 1"/>
    <n v="2"/>
    <n v="12744"/>
    <n v="0.1"/>
    <n v="11469.6"/>
    <n v="0.12"/>
    <n v="22939.200000000001"/>
    <n v="2752.7040000000002"/>
    <x v="566"/>
    <s v="UPI"/>
    <s v="Shipped"/>
    <d v="2024-12-17T00:00:00"/>
    <m/>
    <x v="0"/>
    <x v="0"/>
    <x v="0"/>
    <x v="7"/>
    <s v="Clearance"/>
    <x v="0"/>
  </r>
  <r>
    <x v="570"/>
    <x v="570"/>
    <x v="56"/>
    <x v="2"/>
    <x v="6"/>
    <x v="0"/>
    <x v="3"/>
    <x v="16"/>
    <x v="48"/>
    <s v="Football Model 2"/>
    <n v="2"/>
    <n v="7478"/>
    <n v="0.15"/>
    <n v="6356.3"/>
    <n v="0.18"/>
    <n v="12712.6"/>
    <n v="2288.268"/>
    <x v="567"/>
    <s v="COD"/>
    <s v="Delivered"/>
    <d v="2024-02-23T00:00:00"/>
    <d v="2024-02-24T00:00:00"/>
    <x v="0"/>
    <x v="0"/>
    <x v="0"/>
    <x v="8"/>
    <s v="Back to School"/>
    <x v="6"/>
  </r>
  <r>
    <x v="571"/>
    <x v="571"/>
    <x v="15"/>
    <x v="1"/>
    <x v="1"/>
    <x v="1"/>
    <x v="2"/>
    <x v="13"/>
    <x v="16"/>
    <s v="Laptop Model 1"/>
    <n v="2"/>
    <n v="32244"/>
    <n v="0.05"/>
    <n v="30631.8"/>
    <n v="0.18"/>
    <n v="61263.6"/>
    <n v="11027.448"/>
    <x v="568"/>
    <s v="Credit Card"/>
    <s v="Delivered"/>
    <d v="2024-12-24T00:00:00"/>
    <d v="2024-12-28T00:00:00"/>
    <x v="0"/>
    <x v="0"/>
    <x v="0"/>
    <x v="0"/>
    <s v="Back to School"/>
    <x v="5"/>
  </r>
  <r>
    <x v="572"/>
    <x v="572"/>
    <x v="83"/>
    <x v="1"/>
    <x v="18"/>
    <x v="2"/>
    <x v="0"/>
    <x v="22"/>
    <x v="54"/>
    <s v="Mixer Model 1"/>
    <n v="1"/>
    <n v="5328"/>
    <n v="0"/>
    <n v="5328"/>
    <n v="0.12"/>
    <n v="5328"/>
    <n v="639.36"/>
    <x v="569"/>
    <s v="UPI"/>
    <s v="Delivered"/>
    <d v="2025-03-10T00:00:00"/>
    <d v="2025-03-11T00:00:00"/>
    <x v="0"/>
    <x v="0"/>
    <x v="0"/>
    <x v="4"/>
    <s v="Diwali Blast"/>
    <x v="4"/>
  </r>
  <r>
    <x v="573"/>
    <x v="573"/>
    <x v="5"/>
    <x v="2"/>
    <x v="4"/>
    <x v="3"/>
    <x v="3"/>
    <x v="16"/>
    <x v="48"/>
    <s v="Football Model 2"/>
    <n v="1"/>
    <n v="9392"/>
    <n v="0.05"/>
    <n v="8922.4"/>
    <n v="0.18"/>
    <n v="8922.4"/>
    <n v="1606.0319999999999"/>
    <x v="570"/>
    <s v="UPI"/>
    <s v="Delivered"/>
    <d v="2024-09-29T00:00:00"/>
    <d v="2024-09-30T00:00:00"/>
    <x v="0"/>
    <x v="0"/>
    <x v="0"/>
    <x v="3"/>
    <s v="Diwali Blast"/>
    <x v="4"/>
  </r>
  <r>
    <x v="574"/>
    <x v="574"/>
    <x v="17"/>
    <x v="1"/>
    <x v="1"/>
    <x v="1"/>
    <x v="4"/>
    <x v="9"/>
    <x v="13"/>
    <s v="Hoodie Model 1"/>
    <n v="1"/>
    <n v="534"/>
    <n v="0.05"/>
    <n v="507.3"/>
    <n v="0.18"/>
    <n v="507.3"/>
    <n v="91.313999999999993"/>
    <x v="571"/>
    <s v="Credit Card"/>
    <s v="Returned"/>
    <d v="2024-03-21T00:00:00"/>
    <m/>
    <x v="1"/>
    <x v="23"/>
    <x v="23"/>
    <x v="5"/>
    <s v="New Year Sale"/>
    <x v="1"/>
  </r>
  <r>
    <x v="575"/>
    <x v="575"/>
    <x v="155"/>
    <x v="2"/>
    <x v="9"/>
    <x v="0"/>
    <x v="2"/>
    <x v="19"/>
    <x v="39"/>
    <s v="Camera Model 3"/>
    <n v="1"/>
    <n v="24039"/>
    <n v="0.1"/>
    <n v="21635.1"/>
    <n v="0.05"/>
    <n v="21635.1"/>
    <n v="1081.7550000000001"/>
    <x v="572"/>
    <s v="Credit Card"/>
    <s v="Delivered"/>
    <d v="2025-02-17T00:00:00"/>
    <d v="2025-02-19T00:00:00"/>
    <x v="0"/>
    <x v="0"/>
    <x v="0"/>
    <x v="5"/>
    <s v="Summer Splash"/>
    <x v="1"/>
  </r>
  <r>
    <x v="576"/>
    <x v="576"/>
    <x v="38"/>
    <x v="0"/>
    <x v="14"/>
    <x v="2"/>
    <x v="1"/>
    <x v="6"/>
    <x v="34"/>
    <s v="Oil Model 3"/>
    <n v="5"/>
    <n v="511"/>
    <n v="0.05"/>
    <n v="485.45"/>
    <n v="0.12"/>
    <n v="2427.25"/>
    <n v="291.27"/>
    <x v="573"/>
    <s v="UPI"/>
    <s v="Delivered"/>
    <d v="2024-11-03T00:00:00"/>
    <d v="2024-11-05T00:00:00"/>
    <x v="0"/>
    <x v="0"/>
    <x v="0"/>
    <x v="3"/>
    <s v="Diwali Blast"/>
    <x v="0"/>
  </r>
  <r>
    <x v="577"/>
    <x v="577"/>
    <x v="107"/>
    <x v="1"/>
    <x v="12"/>
    <x v="0"/>
    <x v="2"/>
    <x v="19"/>
    <x v="73"/>
    <s v="Camera Model 1"/>
    <n v="5"/>
    <n v="19282"/>
    <n v="0.05"/>
    <n v="18317.900000000001"/>
    <n v="0.05"/>
    <n v="91589.499999999985"/>
    <n v="4579.4749999999995"/>
    <x v="574"/>
    <s v="Credit Card"/>
    <s v="Delivered"/>
    <d v="2024-11-18T00:00:00"/>
    <d v="2024-11-21T00:00:00"/>
    <x v="0"/>
    <x v="0"/>
    <x v="0"/>
    <x v="6"/>
    <s v="Summer Splash"/>
    <x v="6"/>
  </r>
  <r>
    <x v="578"/>
    <x v="578"/>
    <x v="28"/>
    <x v="0"/>
    <x v="14"/>
    <x v="0"/>
    <x v="4"/>
    <x v="9"/>
    <x v="13"/>
    <s v="Hoodie Model 1"/>
    <n v="3"/>
    <n v="1428"/>
    <n v="0.15"/>
    <n v="1213.8"/>
    <n v="0.12"/>
    <n v="3641.4"/>
    <n v="436.96800000000002"/>
    <x v="575"/>
    <s v="Credit Card"/>
    <s v="Delivered"/>
    <d v="2025-04-08T00:00:00"/>
    <d v="2025-04-10T00:00:00"/>
    <x v="0"/>
    <x v="0"/>
    <x v="0"/>
    <x v="4"/>
    <s v="Back to School"/>
    <x v="4"/>
  </r>
  <r>
    <x v="579"/>
    <x v="579"/>
    <x v="78"/>
    <x v="2"/>
    <x v="2"/>
    <x v="3"/>
    <x v="0"/>
    <x v="1"/>
    <x v="3"/>
    <s v="Cookware Model 3"/>
    <n v="1"/>
    <n v="6749"/>
    <n v="0"/>
    <n v="6749"/>
    <n v="0.18"/>
    <n v="6749"/>
    <n v="1214.82"/>
    <x v="576"/>
    <s v="Credit Card"/>
    <s v="Delivered"/>
    <d v="2024-05-17T00:00:00"/>
    <d v="2024-05-19T00:00:00"/>
    <x v="0"/>
    <x v="0"/>
    <x v="0"/>
    <x v="7"/>
    <s v="Monsoon Mania"/>
    <x v="4"/>
  </r>
  <r>
    <x v="580"/>
    <x v="580"/>
    <x v="72"/>
    <x v="4"/>
    <x v="11"/>
    <x v="0"/>
    <x v="3"/>
    <x v="16"/>
    <x v="22"/>
    <s v="Football Model 1"/>
    <n v="1"/>
    <n v="6126"/>
    <n v="0"/>
    <n v="6126"/>
    <n v="0.12"/>
    <n v="6126"/>
    <n v="735.12"/>
    <x v="577"/>
    <s v="UPI"/>
    <s v="Delivered"/>
    <d v="2025-03-14T00:00:00"/>
    <d v="2025-03-18T00:00:00"/>
    <x v="0"/>
    <x v="0"/>
    <x v="0"/>
    <x v="2"/>
    <s v="Summer Splash"/>
    <x v="5"/>
  </r>
  <r>
    <x v="581"/>
    <x v="581"/>
    <x v="169"/>
    <x v="4"/>
    <x v="17"/>
    <x v="0"/>
    <x v="1"/>
    <x v="18"/>
    <x v="26"/>
    <s v="Beverage Model 2"/>
    <n v="5"/>
    <n v="1105"/>
    <n v="0.05"/>
    <n v="1049.75"/>
    <n v="0.12"/>
    <n v="5248.75"/>
    <n v="629.85"/>
    <x v="578"/>
    <s v="UPI"/>
    <s v="Shipped"/>
    <d v="2024-02-22T00:00:00"/>
    <m/>
    <x v="0"/>
    <x v="0"/>
    <x v="0"/>
    <x v="7"/>
    <s v="Diwali Blast"/>
    <x v="2"/>
  </r>
  <r>
    <x v="582"/>
    <x v="582"/>
    <x v="4"/>
    <x v="2"/>
    <x v="4"/>
    <x v="1"/>
    <x v="3"/>
    <x v="16"/>
    <x v="22"/>
    <s v="Football Model 1"/>
    <n v="2"/>
    <n v="2191"/>
    <n v="0"/>
    <n v="2191"/>
    <n v="0.18"/>
    <n v="4382"/>
    <n v="788.76"/>
    <x v="579"/>
    <s v="COD"/>
    <s v="Returned"/>
    <d v="2024-04-06T00:00:00"/>
    <m/>
    <x v="1"/>
    <x v="24"/>
    <x v="24"/>
    <x v="5"/>
    <s v="New Year Sale"/>
    <x v="2"/>
  </r>
  <r>
    <x v="583"/>
    <x v="583"/>
    <x v="70"/>
    <x v="3"/>
    <x v="15"/>
    <x v="2"/>
    <x v="1"/>
    <x v="18"/>
    <x v="29"/>
    <s v="Beverage Model 1"/>
    <n v="4"/>
    <n v="1197"/>
    <n v="0.1"/>
    <n v="1077.3"/>
    <n v="0.12"/>
    <n v="4309.2"/>
    <n v="517.10399999999993"/>
    <x v="580"/>
    <s v="UPI"/>
    <s v="Shipped"/>
    <d v="2024-05-05T00:00:00"/>
    <m/>
    <x v="0"/>
    <x v="0"/>
    <x v="0"/>
    <x v="2"/>
    <s v="Back to School"/>
    <x v="4"/>
  </r>
  <r>
    <x v="584"/>
    <x v="584"/>
    <x v="142"/>
    <x v="3"/>
    <x v="3"/>
    <x v="1"/>
    <x v="2"/>
    <x v="12"/>
    <x v="61"/>
    <s v="Headphones Model 3"/>
    <n v="2"/>
    <n v="6980"/>
    <n v="0.1"/>
    <n v="6282"/>
    <n v="0.05"/>
    <n v="12564"/>
    <n v="628.20000000000005"/>
    <x v="581"/>
    <s v="Debit Card"/>
    <s v="Delivered"/>
    <d v="2024-10-02T00:00:00"/>
    <d v="2024-10-07T00:00:00"/>
    <x v="0"/>
    <x v="0"/>
    <x v="0"/>
    <x v="6"/>
    <s v="Summer Splash"/>
    <x v="1"/>
  </r>
  <r>
    <x v="585"/>
    <x v="585"/>
    <x v="42"/>
    <x v="3"/>
    <x v="10"/>
    <x v="0"/>
    <x v="2"/>
    <x v="23"/>
    <x v="47"/>
    <s v="Smartwatch Model 1"/>
    <n v="1"/>
    <n v="50115"/>
    <n v="0"/>
    <n v="50115"/>
    <n v="0.12"/>
    <n v="50115"/>
    <n v="6013.8"/>
    <x v="582"/>
    <s v="Debit Card"/>
    <s v="Delivered"/>
    <d v="2024-03-29T00:00:00"/>
    <d v="2024-04-03T00:00:00"/>
    <x v="0"/>
    <x v="0"/>
    <x v="0"/>
    <x v="4"/>
    <s v="Diwali Blast"/>
    <x v="6"/>
  </r>
  <r>
    <x v="586"/>
    <x v="586"/>
    <x v="140"/>
    <x v="1"/>
    <x v="18"/>
    <x v="2"/>
    <x v="1"/>
    <x v="2"/>
    <x v="62"/>
    <s v="Snacks Model 3"/>
    <n v="2"/>
    <n v="596"/>
    <n v="0.05"/>
    <n v="566.19999999999993"/>
    <n v="0.12"/>
    <n v="1132.4000000000001"/>
    <n v="135.88800000000001"/>
    <x v="583"/>
    <s v="COD"/>
    <s v="Delivered"/>
    <d v="2025-01-13T00:00:00"/>
    <d v="2025-01-14T00:00:00"/>
    <x v="0"/>
    <x v="0"/>
    <x v="0"/>
    <x v="1"/>
    <s v="Summer Splash"/>
    <x v="0"/>
  </r>
  <r>
    <x v="587"/>
    <x v="587"/>
    <x v="52"/>
    <x v="1"/>
    <x v="1"/>
    <x v="1"/>
    <x v="0"/>
    <x v="14"/>
    <x v="31"/>
    <s v="Vacuum Model 2"/>
    <n v="2"/>
    <n v="14791"/>
    <n v="0.1"/>
    <n v="13311.9"/>
    <n v="0.18"/>
    <n v="26623.8"/>
    <n v="4792.2839999999997"/>
    <x v="584"/>
    <s v="UPI"/>
    <s v="Cancelled"/>
    <m/>
    <m/>
    <x v="0"/>
    <x v="0"/>
    <x v="0"/>
    <x v="6"/>
    <s v="Clearance"/>
    <x v="2"/>
  </r>
  <r>
    <x v="588"/>
    <x v="588"/>
    <x v="109"/>
    <x v="1"/>
    <x v="1"/>
    <x v="1"/>
    <x v="1"/>
    <x v="18"/>
    <x v="26"/>
    <s v="Beverage Model 2"/>
    <n v="3"/>
    <n v="931"/>
    <n v="0"/>
    <n v="931"/>
    <n v="0.18"/>
    <n v="2793"/>
    <n v="502.74"/>
    <x v="585"/>
    <s v="NetBanking"/>
    <s v="Delivered"/>
    <d v="2025-03-08T00:00:00"/>
    <d v="2025-03-12T00:00:00"/>
    <x v="0"/>
    <x v="0"/>
    <x v="0"/>
    <x v="5"/>
    <s v="Festival Fever"/>
    <x v="2"/>
  </r>
  <r>
    <x v="589"/>
    <x v="589"/>
    <x v="113"/>
    <x v="1"/>
    <x v="18"/>
    <x v="0"/>
    <x v="3"/>
    <x v="16"/>
    <x v="70"/>
    <s v="Football Model 3"/>
    <n v="3"/>
    <n v="9783"/>
    <n v="0.1"/>
    <n v="8804.7000000000007"/>
    <n v="0.05"/>
    <n v="26414.1"/>
    <n v="1320.7049999999999"/>
    <x v="586"/>
    <s v="COD"/>
    <s v="Delivered"/>
    <d v="2024-08-04T00:00:00"/>
    <d v="2024-08-05T00:00:00"/>
    <x v="0"/>
    <x v="0"/>
    <x v="0"/>
    <x v="4"/>
    <s v="Back to School"/>
    <x v="1"/>
  </r>
  <r>
    <x v="590"/>
    <x v="590"/>
    <x v="135"/>
    <x v="3"/>
    <x v="3"/>
    <x v="0"/>
    <x v="2"/>
    <x v="3"/>
    <x v="56"/>
    <s v="Smartphone Model 2"/>
    <n v="2"/>
    <n v="13544"/>
    <n v="0.1"/>
    <n v="12189.6"/>
    <n v="0.18"/>
    <n v="24379.200000000001"/>
    <n v="4388.2560000000003"/>
    <x v="587"/>
    <s v="NetBanking"/>
    <s v="Delivered"/>
    <d v="2024-08-06T00:00:00"/>
    <d v="2024-08-08T00:00:00"/>
    <x v="0"/>
    <x v="0"/>
    <x v="0"/>
    <x v="6"/>
    <s v="New Year Sale"/>
    <x v="6"/>
  </r>
  <r>
    <x v="591"/>
    <x v="591"/>
    <x v="173"/>
    <x v="4"/>
    <x v="16"/>
    <x v="3"/>
    <x v="1"/>
    <x v="20"/>
    <x v="74"/>
    <s v="Pulses Model 2"/>
    <n v="4"/>
    <n v="886"/>
    <n v="0"/>
    <n v="886"/>
    <n v="0.12"/>
    <n v="3544"/>
    <n v="425.28"/>
    <x v="588"/>
    <s v="COD"/>
    <s v="Delivered"/>
    <d v="2024-08-14T00:00:00"/>
    <d v="2024-08-19T00:00:00"/>
    <x v="0"/>
    <x v="0"/>
    <x v="0"/>
    <x v="6"/>
    <s v="Diwali Blast"/>
    <x v="5"/>
  </r>
  <r>
    <x v="592"/>
    <x v="592"/>
    <x v="64"/>
    <x v="2"/>
    <x v="4"/>
    <x v="0"/>
    <x v="2"/>
    <x v="12"/>
    <x v="46"/>
    <s v="Headphones Model 1"/>
    <n v="1"/>
    <n v="27611"/>
    <n v="0.05"/>
    <n v="26230.45"/>
    <n v="0.05"/>
    <n v="26230.45"/>
    <n v="1311.5225"/>
    <x v="589"/>
    <s v="UPI"/>
    <s v="Delivered"/>
    <d v="2024-08-19T00:00:00"/>
    <d v="2024-08-23T00:00:00"/>
    <x v="0"/>
    <x v="0"/>
    <x v="0"/>
    <x v="7"/>
    <s v="Monsoon Mania"/>
    <x v="5"/>
  </r>
  <r>
    <x v="593"/>
    <x v="593"/>
    <x v="13"/>
    <x v="2"/>
    <x v="4"/>
    <x v="0"/>
    <x v="4"/>
    <x v="24"/>
    <x v="66"/>
    <s v="Jeans Model 3"/>
    <n v="3"/>
    <n v="2873"/>
    <n v="0"/>
    <n v="2873"/>
    <n v="0.05"/>
    <n v="8619"/>
    <n v="430.95"/>
    <x v="590"/>
    <s v="NetBanking"/>
    <s v="Returned"/>
    <d v="2024-08-12T00:00:00"/>
    <m/>
    <x v="1"/>
    <x v="25"/>
    <x v="25"/>
    <x v="1"/>
    <s v="New Year Sale"/>
    <x v="2"/>
  </r>
  <r>
    <x v="594"/>
    <x v="594"/>
    <x v="1"/>
    <x v="1"/>
    <x v="1"/>
    <x v="0"/>
    <x v="4"/>
    <x v="5"/>
    <x v="7"/>
    <s v="Dress Model 3"/>
    <n v="4"/>
    <n v="2964"/>
    <n v="0.15"/>
    <n v="2519.4"/>
    <n v="0.18"/>
    <n v="10077.6"/>
    <n v="1813.9680000000001"/>
    <x v="591"/>
    <s v="UPI"/>
    <s v="Delivered"/>
    <d v="2024-08-04T00:00:00"/>
    <d v="2024-08-07T00:00:00"/>
    <x v="0"/>
    <x v="0"/>
    <x v="0"/>
    <x v="6"/>
    <s v="Summer Splash"/>
    <x v="4"/>
  </r>
  <r>
    <x v="595"/>
    <x v="595"/>
    <x v="49"/>
    <x v="2"/>
    <x v="4"/>
    <x v="0"/>
    <x v="4"/>
    <x v="9"/>
    <x v="13"/>
    <s v="Hoodie Model 1"/>
    <n v="1"/>
    <n v="2190"/>
    <n v="0"/>
    <n v="2190"/>
    <n v="0.12"/>
    <n v="2190"/>
    <n v="262.8"/>
    <x v="592"/>
    <s v="Credit Card"/>
    <s v="In Transit"/>
    <d v="2024-10-23T00:00:00"/>
    <m/>
    <x v="0"/>
    <x v="0"/>
    <x v="0"/>
    <x v="6"/>
    <s v="Summer Splash"/>
    <x v="3"/>
  </r>
  <r>
    <x v="596"/>
    <x v="596"/>
    <x v="65"/>
    <x v="0"/>
    <x v="14"/>
    <x v="1"/>
    <x v="1"/>
    <x v="18"/>
    <x v="26"/>
    <s v="Beverage Model 2"/>
    <n v="2"/>
    <n v="1115"/>
    <n v="0"/>
    <n v="1115"/>
    <n v="0.12"/>
    <n v="2230"/>
    <n v="267.60000000000002"/>
    <x v="593"/>
    <s v="NetBanking"/>
    <s v="Delivered"/>
    <d v="2025-01-13T00:00:00"/>
    <d v="2025-01-15T00:00:00"/>
    <x v="0"/>
    <x v="0"/>
    <x v="0"/>
    <x v="3"/>
    <s v="Summer Splash"/>
    <x v="6"/>
  </r>
  <r>
    <x v="597"/>
    <x v="597"/>
    <x v="75"/>
    <x v="0"/>
    <x v="14"/>
    <x v="0"/>
    <x v="4"/>
    <x v="8"/>
    <x v="72"/>
    <s v="Jacket Model 2"/>
    <n v="3"/>
    <n v="463"/>
    <n v="0.1"/>
    <n v="416.7"/>
    <n v="0.12"/>
    <n v="1250.0999999999999"/>
    <n v="150.012"/>
    <x v="594"/>
    <s v="Credit Card"/>
    <s v="Delivered"/>
    <d v="2024-01-07T00:00:00"/>
    <d v="2024-01-12T00:00:00"/>
    <x v="0"/>
    <x v="0"/>
    <x v="0"/>
    <x v="5"/>
    <s v="Back to School"/>
    <x v="0"/>
  </r>
  <r>
    <x v="598"/>
    <x v="598"/>
    <x v="155"/>
    <x v="2"/>
    <x v="9"/>
    <x v="0"/>
    <x v="3"/>
    <x v="11"/>
    <x v="49"/>
    <s v="Cricket Bat Model 2"/>
    <n v="1"/>
    <n v="5453"/>
    <n v="0"/>
    <n v="5453"/>
    <n v="0.12"/>
    <n v="5453"/>
    <n v="654.36"/>
    <x v="595"/>
    <s v="Credit Card"/>
    <s v="Delivered"/>
    <d v="2025-01-14T00:00:00"/>
    <d v="2025-01-19T00:00:00"/>
    <x v="0"/>
    <x v="0"/>
    <x v="0"/>
    <x v="2"/>
    <s v="Back to School"/>
    <x v="0"/>
  </r>
  <r>
    <x v="599"/>
    <x v="599"/>
    <x v="86"/>
    <x v="3"/>
    <x v="10"/>
    <x v="0"/>
    <x v="2"/>
    <x v="3"/>
    <x v="5"/>
    <s v="Smartphone Model 3"/>
    <n v="3"/>
    <n v="25341"/>
    <n v="0"/>
    <n v="25341"/>
    <n v="0.12"/>
    <n v="76023"/>
    <n v="9122.76"/>
    <x v="596"/>
    <s v="UPI"/>
    <s v="Delivered"/>
    <d v="2024-01-10T00:00:00"/>
    <d v="2024-01-14T00:00:00"/>
    <x v="0"/>
    <x v="0"/>
    <x v="0"/>
    <x v="4"/>
    <s v="Back to School"/>
    <x v="6"/>
  </r>
  <r>
    <x v="600"/>
    <x v="600"/>
    <x v="128"/>
    <x v="4"/>
    <x v="11"/>
    <x v="2"/>
    <x v="3"/>
    <x v="7"/>
    <x v="9"/>
    <s v="Dumbbells Model 3"/>
    <n v="1"/>
    <n v="9270"/>
    <n v="0"/>
    <n v="9270"/>
    <n v="0.05"/>
    <n v="9270"/>
    <n v="463.5"/>
    <x v="597"/>
    <s v="COD"/>
    <s v="Delivered"/>
    <d v="2024-01-08T00:00:00"/>
    <d v="2024-01-11T00:00:00"/>
    <x v="0"/>
    <x v="0"/>
    <x v="0"/>
    <x v="7"/>
    <s v="Festival Fever"/>
    <x v="5"/>
  </r>
  <r>
    <x v="601"/>
    <x v="601"/>
    <x v="145"/>
    <x v="4"/>
    <x v="11"/>
    <x v="3"/>
    <x v="4"/>
    <x v="17"/>
    <x v="25"/>
    <s v="T-Shirt Model 2"/>
    <n v="2"/>
    <n v="1396"/>
    <n v="0.2"/>
    <n v="1116.8"/>
    <n v="0.12"/>
    <n v="2233.6"/>
    <n v="268.03199999999998"/>
    <x v="598"/>
    <s v="Credit Card"/>
    <s v="Delivered"/>
    <d v="2025-02-25T00:00:00"/>
    <d v="2025-02-26T00:00:00"/>
    <x v="0"/>
    <x v="0"/>
    <x v="0"/>
    <x v="1"/>
    <s v="New Year Sale"/>
    <x v="0"/>
  </r>
  <r>
    <x v="602"/>
    <x v="602"/>
    <x v="147"/>
    <x v="3"/>
    <x v="3"/>
    <x v="0"/>
    <x v="2"/>
    <x v="12"/>
    <x v="15"/>
    <s v="Headphones Model 2"/>
    <n v="3"/>
    <n v="36685"/>
    <n v="0.15"/>
    <n v="31182.25"/>
    <n v="0.12"/>
    <n v="93546.75"/>
    <n v="11225.61"/>
    <x v="599"/>
    <s v="Debit Card"/>
    <s v="Delivered"/>
    <d v="2024-08-17T00:00:00"/>
    <d v="2024-08-20T00:00:00"/>
    <x v="0"/>
    <x v="0"/>
    <x v="0"/>
    <x v="7"/>
    <s v="Diwali Blast"/>
    <x v="6"/>
  </r>
  <r>
    <x v="603"/>
    <x v="603"/>
    <x v="174"/>
    <x v="2"/>
    <x v="9"/>
    <x v="0"/>
    <x v="0"/>
    <x v="22"/>
    <x v="40"/>
    <s v="Mixer Model 2"/>
    <n v="3"/>
    <n v="3152"/>
    <n v="0.15"/>
    <n v="2679.2"/>
    <n v="0.12"/>
    <n v="8037.5999999999995"/>
    <n v="964.51199999999994"/>
    <x v="600"/>
    <s v="COD"/>
    <s v="Delivered"/>
    <d v="2024-08-05T00:00:00"/>
    <d v="2024-08-09T00:00:00"/>
    <x v="0"/>
    <x v="0"/>
    <x v="0"/>
    <x v="7"/>
    <s v="Monsoon Mania"/>
    <x v="6"/>
  </r>
  <r>
    <x v="604"/>
    <x v="604"/>
    <x v="1"/>
    <x v="1"/>
    <x v="1"/>
    <x v="0"/>
    <x v="1"/>
    <x v="6"/>
    <x v="8"/>
    <s v="Oil Model 1"/>
    <n v="3"/>
    <n v="631"/>
    <n v="0.05"/>
    <n v="599.44999999999993"/>
    <n v="0.12"/>
    <n v="1798.35"/>
    <n v="215.80199999999999"/>
    <x v="601"/>
    <s v="COD"/>
    <s v="Delivered"/>
    <d v="2024-12-31T00:00:00"/>
    <d v="2025-01-01T00:00:00"/>
    <x v="0"/>
    <x v="0"/>
    <x v="0"/>
    <x v="2"/>
    <s v="Diwali Blast"/>
    <x v="2"/>
  </r>
  <r>
    <x v="605"/>
    <x v="605"/>
    <x v="50"/>
    <x v="3"/>
    <x v="15"/>
    <x v="1"/>
    <x v="3"/>
    <x v="11"/>
    <x v="49"/>
    <s v="Cricket Bat Model 2"/>
    <n v="4"/>
    <n v="1969"/>
    <n v="0.15"/>
    <n v="1673.65"/>
    <n v="0.12"/>
    <n v="6694.5999999999995"/>
    <n v="803.35199999999986"/>
    <x v="602"/>
    <s v="UPI"/>
    <s v="Delivered"/>
    <d v="2025-03-31T00:00:00"/>
    <d v="2025-04-04T00:00:00"/>
    <x v="0"/>
    <x v="0"/>
    <x v="0"/>
    <x v="5"/>
    <s v="Diwali Blast"/>
    <x v="2"/>
  </r>
  <r>
    <x v="606"/>
    <x v="606"/>
    <x v="73"/>
    <x v="2"/>
    <x v="6"/>
    <x v="3"/>
    <x v="0"/>
    <x v="1"/>
    <x v="38"/>
    <s v="Cookware Model 1"/>
    <n v="1"/>
    <n v="2769"/>
    <n v="0"/>
    <n v="2769"/>
    <n v="0.05"/>
    <n v="2769"/>
    <n v="138.44999999999999"/>
    <x v="603"/>
    <s v="UPI"/>
    <s v="Delivered"/>
    <d v="2024-08-20T00:00:00"/>
    <d v="2024-08-24T00:00:00"/>
    <x v="0"/>
    <x v="0"/>
    <x v="0"/>
    <x v="0"/>
    <s v="Summer Splash"/>
    <x v="4"/>
  </r>
  <r>
    <x v="607"/>
    <x v="607"/>
    <x v="122"/>
    <x v="2"/>
    <x v="4"/>
    <x v="1"/>
    <x v="2"/>
    <x v="23"/>
    <x v="47"/>
    <s v="Smartwatch Model 1"/>
    <n v="1"/>
    <n v="20152"/>
    <n v="0"/>
    <n v="20152"/>
    <n v="0.12"/>
    <n v="20152"/>
    <n v="2418.2399999999998"/>
    <x v="604"/>
    <s v="UPI"/>
    <s v="Delivered"/>
    <d v="2024-10-06T00:00:00"/>
    <d v="2024-10-08T00:00:00"/>
    <x v="0"/>
    <x v="0"/>
    <x v="0"/>
    <x v="0"/>
    <s v="New Year Sale"/>
    <x v="2"/>
  </r>
  <r>
    <x v="608"/>
    <x v="608"/>
    <x v="166"/>
    <x v="4"/>
    <x v="16"/>
    <x v="0"/>
    <x v="0"/>
    <x v="0"/>
    <x v="0"/>
    <s v="Air Purifier Model 1"/>
    <n v="3"/>
    <n v="11334"/>
    <n v="0"/>
    <n v="11334"/>
    <n v="0.12"/>
    <n v="34002"/>
    <n v="4080.24"/>
    <x v="605"/>
    <s v="NetBanking"/>
    <s v="Delivered"/>
    <d v="2024-10-10T00:00:00"/>
    <d v="2024-10-12T00:00:00"/>
    <x v="0"/>
    <x v="0"/>
    <x v="0"/>
    <x v="0"/>
    <s v="Monsoon Mania"/>
    <x v="6"/>
  </r>
  <r>
    <x v="609"/>
    <x v="609"/>
    <x v="25"/>
    <x v="2"/>
    <x v="6"/>
    <x v="0"/>
    <x v="1"/>
    <x v="2"/>
    <x v="4"/>
    <s v="Snacks Model 1"/>
    <n v="3"/>
    <n v="967"/>
    <n v="0"/>
    <n v="967"/>
    <n v="0.18"/>
    <n v="2901"/>
    <n v="522.17999999999995"/>
    <x v="606"/>
    <s v="COD"/>
    <s v="Shipped"/>
    <d v="2024-06-14T00:00:00"/>
    <m/>
    <x v="0"/>
    <x v="0"/>
    <x v="0"/>
    <x v="8"/>
    <s v="Back to School"/>
    <x v="1"/>
  </r>
  <r>
    <x v="610"/>
    <x v="610"/>
    <x v="30"/>
    <x v="1"/>
    <x v="1"/>
    <x v="0"/>
    <x v="1"/>
    <x v="6"/>
    <x v="8"/>
    <s v="Oil Model 1"/>
    <n v="1"/>
    <n v="669"/>
    <n v="0.2"/>
    <n v="535.20000000000005"/>
    <n v="0.12"/>
    <n v="535.20000000000005"/>
    <n v="64.224000000000004"/>
    <x v="607"/>
    <s v="Credit Card"/>
    <s v="Delivered"/>
    <d v="2024-03-27T00:00:00"/>
    <d v="2024-04-01T00:00:00"/>
    <x v="0"/>
    <x v="0"/>
    <x v="0"/>
    <x v="6"/>
    <s v="Diwali Blast"/>
    <x v="2"/>
  </r>
  <r>
    <x v="611"/>
    <x v="611"/>
    <x v="160"/>
    <x v="1"/>
    <x v="5"/>
    <x v="1"/>
    <x v="2"/>
    <x v="19"/>
    <x v="73"/>
    <s v="Camera Model 1"/>
    <n v="3"/>
    <n v="29704"/>
    <n v="0"/>
    <n v="29704"/>
    <n v="0.12"/>
    <n v="89112"/>
    <n v="10693.44"/>
    <x v="608"/>
    <s v="NetBanking"/>
    <s v="Shipped"/>
    <d v="2024-04-04T00:00:00"/>
    <m/>
    <x v="0"/>
    <x v="0"/>
    <x v="0"/>
    <x v="2"/>
    <s v="Summer Splash"/>
    <x v="1"/>
  </r>
  <r>
    <x v="612"/>
    <x v="612"/>
    <x v="100"/>
    <x v="2"/>
    <x v="6"/>
    <x v="1"/>
    <x v="3"/>
    <x v="7"/>
    <x v="33"/>
    <s v="Dumbbells Model 2"/>
    <n v="1"/>
    <n v="1973"/>
    <n v="0"/>
    <n v="1973"/>
    <n v="0.12"/>
    <n v="1973"/>
    <n v="236.76"/>
    <x v="609"/>
    <s v="UPI"/>
    <s v="Cancelled"/>
    <m/>
    <m/>
    <x v="0"/>
    <x v="0"/>
    <x v="0"/>
    <x v="3"/>
    <s v="Back to School"/>
    <x v="4"/>
  </r>
  <r>
    <x v="613"/>
    <x v="613"/>
    <x v="68"/>
    <x v="4"/>
    <x v="17"/>
    <x v="0"/>
    <x v="4"/>
    <x v="5"/>
    <x v="7"/>
    <s v="Dress Model 3"/>
    <n v="4"/>
    <n v="1714"/>
    <n v="0.2"/>
    <n v="1371.2"/>
    <n v="0.12"/>
    <n v="5484.8"/>
    <n v="658.17600000000004"/>
    <x v="610"/>
    <s v="COD"/>
    <s v="Delivered"/>
    <d v="2024-07-29T00:00:00"/>
    <d v="2024-08-02T00:00:00"/>
    <x v="0"/>
    <x v="0"/>
    <x v="0"/>
    <x v="8"/>
    <s v="Diwali Blast"/>
    <x v="1"/>
  </r>
  <r>
    <x v="614"/>
    <x v="614"/>
    <x v="166"/>
    <x v="4"/>
    <x v="16"/>
    <x v="1"/>
    <x v="1"/>
    <x v="6"/>
    <x v="8"/>
    <s v="Oil Model 1"/>
    <n v="1"/>
    <n v="252"/>
    <n v="0"/>
    <n v="252"/>
    <n v="0.18"/>
    <n v="252"/>
    <n v="45.36"/>
    <x v="611"/>
    <s v="Credit Card"/>
    <s v="Delivered"/>
    <d v="2024-02-17T00:00:00"/>
    <d v="2024-02-20T00:00:00"/>
    <x v="0"/>
    <x v="0"/>
    <x v="0"/>
    <x v="2"/>
    <s v="Festival Fever"/>
    <x v="3"/>
  </r>
  <r>
    <x v="615"/>
    <x v="615"/>
    <x v="10"/>
    <x v="2"/>
    <x v="2"/>
    <x v="3"/>
    <x v="1"/>
    <x v="15"/>
    <x v="27"/>
    <s v="Rice Model 1"/>
    <n v="2"/>
    <n v="687"/>
    <n v="0"/>
    <n v="687"/>
    <n v="0.18"/>
    <n v="1374"/>
    <n v="247.32"/>
    <x v="612"/>
    <s v="Debit Card"/>
    <s v="In Transit"/>
    <d v="2024-11-02T00:00:00"/>
    <m/>
    <x v="0"/>
    <x v="0"/>
    <x v="0"/>
    <x v="8"/>
    <s v="New Year Sale"/>
    <x v="1"/>
  </r>
  <r>
    <x v="616"/>
    <x v="616"/>
    <x v="40"/>
    <x v="1"/>
    <x v="18"/>
    <x v="0"/>
    <x v="4"/>
    <x v="9"/>
    <x v="18"/>
    <s v="Hoodie Model 2"/>
    <n v="2"/>
    <n v="2100"/>
    <n v="0.1"/>
    <n v="1890"/>
    <n v="0.18"/>
    <n v="3780"/>
    <n v="680.4"/>
    <x v="613"/>
    <s v="UPI"/>
    <s v="Shipped"/>
    <d v="2025-02-07T00:00:00"/>
    <m/>
    <x v="0"/>
    <x v="0"/>
    <x v="0"/>
    <x v="6"/>
    <s v="Summer Splash"/>
    <x v="2"/>
  </r>
  <r>
    <x v="617"/>
    <x v="617"/>
    <x v="146"/>
    <x v="3"/>
    <x v="3"/>
    <x v="3"/>
    <x v="4"/>
    <x v="5"/>
    <x v="19"/>
    <s v="Dress Model 1"/>
    <n v="3"/>
    <n v="2590"/>
    <n v="0"/>
    <n v="2590"/>
    <n v="0.05"/>
    <n v="7770"/>
    <n v="388.5"/>
    <x v="614"/>
    <s v="NetBanking"/>
    <s v="Delivered"/>
    <d v="2024-06-29T00:00:00"/>
    <d v="2024-07-02T00:00:00"/>
    <x v="0"/>
    <x v="0"/>
    <x v="0"/>
    <x v="9"/>
    <s v="New Year Sale"/>
    <x v="5"/>
  </r>
  <r>
    <x v="618"/>
    <x v="618"/>
    <x v="132"/>
    <x v="3"/>
    <x v="15"/>
    <x v="0"/>
    <x v="1"/>
    <x v="18"/>
    <x v="26"/>
    <s v="Beverage Model 2"/>
    <n v="2"/>
    <n v="500"/>
    <n v="0"/>
    <n v="500"/>
    <n v="0.18"/>
    <n v="1000"/>
    <n v="180"/>
    <x v="615"/>
    <s v="Credit Card"/>
    <s v="Delivered"/>
    <d v="2024-10-18T00:00:00"/>
    <d v="2024-10-22T00:00:00"/>
    <x v="0"/>
    <x v="0"/>
    <x v="0"/>
    <x v="8"/>
    <s v="Summer Splash"/>
    <x v="1"/>
  </r>
  <r>
    <x v="619"/>
    <x v="619"/>
    <x v="150"/>
    <x v="2"/>
    <x v="6"/>
    <x v="1"/>
    <x v="3"/>
    <x v="7"/>
    <x v="23"/>
    <s v="Dumbbells Model 1"/>
    <n v="2"/>
    <n v="3717"/>
    <n v="0.2"/>
    <n v="2973.6"/>
    <n v="0.18"/>
    <n v="5947.2000000000007"/>
    <n v="1070.4960000000001"/>
    <x v="616"/>
    <s v="Credit Card"/>
    <s v="Delivered"/>
    <d v="2024-03-12T00:00:00"/>
    <d v="2024-03-14T00:00:00"/>
    <x v="0"/>
    <x v="0"/>
    <x v="0"/>
    <x v="5"/>
    <s v="Summer Splash"/>
    <x v="6"/>
  </r>
  <r>
    <x v="620"/>
    <x v="620"/>
    <x v="56"/>
    <x v="2"/>
    <x v="6"/>
    <x v="1"/>
    <x v="2"/>
    <x v="19"/>
    <x v="35"/>
    <s v="Camera Model 2"/>
    <n v="3"/>
    <n v="35459"/>
    <n v="0.1"/>
    <n v="31913.1"/>
    <n v="0.18"/>
    <n v="95739.3"/>
    <n v="17233.074000000001"/>
    <x v="617"/>
    <s v="Debit Card"/>
    <s v="Delivered"/>
    <d v="2024-01-03T00:00:00"/>
    <d v="2024-01-05T00:00:00"/>
    <x v="0"/>
    <x v="0"/>
    <x v="0"/>
    <x v="3"/>
    <s v="Clearance"/>
    <x v="3"/>
  </r>
  <r>
    <x v="621"/>
    <x v="621"/>
    <x v="3"/>
    <x v="3"/>
    <x v="3"/>
    <x v="1"/>
    <x v="1"/>
    <x v="6"/>
    <x v="8"/>
    <s v="Oil Model 1"/>
    <n v="1"/>
    <n v="874"/>
    <n v="0"/>
    <n v="874"/>
    <n v="0.12"/>
    <n v="874"/>
    <n v="104.88"/>
    <x v="618"/>
    <s v="UPI"/>
    <s v="Shipped"/>
    <d v="2024-09-11T00:00:00"/>
    <m/>
    <x v="0"/>
    <x v="0"/>
    <x v="0"/>
    <x v="0"/>
    <s v="Clearance"/>
    <x v="1"/>
  </r>
  <r>
    <x v="622"/>
    <x v="138"/>
    <x v="46"/>
    <x v="4"/>
    <x v="11"/>
    <x v="1"/>
    <x v="0"/>
    <x v="1"/>
    <x v="3"/>
    <s v="Cookware Model 3"/>
    <n v="2"/>
    <n v="3175"/>
    <n v="0"/>
    <n v="3175"/>
    <n v="0.05"/>
    <n v="6350"/>
    <n v="317.5"/>
    <x v="619"/>
    <s v="Debit Card"/>
    <s v="Cancelled"/>
    <m/>
    <m/>
    <x v="0"/>
    <x v="0"/>
    <x v="0"/>
    <x v="7"/>
    <s v="Diwali Blast"/>
    <x v="1"/>
  </r>
  <r>
    <x v="623"/>
    <x v="622"/>
    <x v="60"/>
    <x v="1"/>
    <x v="18"/>
    <x v="1"/>
    <x v="2"/>
    <x v="12"/>
    <x v="46"/>
    <s v="Headphones Model 1"/>
    <n v="1"/>
    <n v="50232"/>
    <n v="0"/>
    <n v="50232"/>
    <n v="0.12"/>
    <n v="50232"/>
    <n v="6027.84"/>
    <x v="620"/>
    <s v="Debit Card"/>
    <s v="Delivered"/>
    <d v="2024-07-29T00:00:00"/>
    <d v="2024-08-03T00:00:00"/>
    <x v="0"/>
    <x v="0"/>
    <x v="0"/>
    <x v="1"/>
    <s v="New Year Sale"/>
    <x v="1"/>
  </r>
  <r>
    <x v="624"/>
    <x v="623"/>
    <x v="50"/>
    <x v="3"/>
    <x v="15"/>
    <x v="1"/>
    <x v="2"/>
    <x v="23"/>
    <x v="68"/>
    <s v="Smartwatch Model 2"/>
    <n v="1"/>
    <n v="10778"/>
    <n v="0.2"/>
    <n v="8622.4"/>
    <n v="0.18"/>
    <n v="8622.4"/>
    <n v="1552.0319999999999"/>
    <x v="621"/>
    <s v="COD"/>
    <s v="Delivered"/>
    <d v="2024-05-01T00:00:00"/>
    <d v="2024-05-02T00:00:00"/>
    <x v="0"/>
    <x v="0"/>
    <x v="0"/>
    <x v="3"/>
    <s v="Back to School"/>
    <x v="1"/>
  </r>
  <r>
    <x v="625"/>
    <x v="624"/>
    <x v="39"/>
    <x v="4"/>
    <x v="11"/>
    <x v="1"/>
    <x v="0"/>
    <x v="21"/>
    <x v="51"/>
    <s v="Lamp Model 2"/>
    <n v="3"/>
    <n v="2728"/>
    <n v="0.05"/>
    <n v="2591.6"/>
    <n v="0.05"/>
    <n v="7774.7999999999993"/>
    <n v="388.74"/>
    <x v="622"/>
    <s v="UPI"/>
    <s v="Delivered"/>
    <d v="2024-12-31T00:00:00"/>
    <d v="2025-01-05T00:00:00"/>
    <x v="0"/>
    <x v="0"/>
    <x v="0"/>
    <x v="0"/>
    <s v="Diwali Blast"/>
    <x v="1"/>
  </r>
  <r>
    <x v="626"/>
    <x v="625"/>
    <x v="161"/>
    <x v="3"/>
    <x v="10"/>
    <x v="1"/>
    <x v="0"/>
    <x v="21"/>
    <x v="63"/>
    <s v="Lamp Model 1"/>
    <n v="1"/>
    <n v="13729"/>
    <n v="0.1"/>
    <n v="12356.1"/>
    <n v="0.12"/>
    <n v="12356.1"/>
    <n v="1482.732"/>
    <x v="623"/>
    <s v="NetBanking"/>
    <s v="Delivered"/>
    <d v="2024-01-14T00:00:00"/>
    <d v="2024-01-17T00:00:00"/>
    <x v="0"/>
    <x v="0"/>
    <x v="0"/>
    <x v="4"/>
    <s v="Monsoon Mania"/>
    <x v="0"/>
  </r>
  <r>
    <x v="627"/>
    <x v="626"/>
    <x v="130"/>
    <x v="1"/>
    <x v="12"/>
    <x v="0"/>
    <x v="4"/>
    <x v="9"/>
    <x v="11"/>
    <s v="Hoodie Model 3"/>
    <n v="2"/>
    <n v="1185"/>
    <n v="0.2"/>
    <n v="948"/>
    <n v="0.05"/>
    <n v="1896"/>
    <n v="94.800000000000011"/>
    <x v="624"/>
    <s v="UPI"/>
    <s v="Delivered"/>
    <d v="2025-01-24T00:00:00"/>
    <d v="2025-01-25T00:00:00"/>
    <x v="0"/>
    <x v="0"/>
    <x v="0"/>
    <x v="4"/>
    <s v="New Year Sale"/>
    <x v="5"/>
  </r>
  <r>
    <x v="628"/>
    <x v="627"/>
    <x v="164"/>
    <x v="3"/>
    <x v="7"/>
    <x v="0"/>
    <x v="2"/>
    <x v="19"/>
    <x v="39"/>
    <s v="Camera Model 3"/>
    <n v="1"/>
    <n v="10632"/>
    <n v="0"/>
    <n v="10632"/>
    <n v="0.12"/>
    <n v="10632"/>
    <n v="1275.8399999999999"/>
    <x v="625"/>
    <s v="Credit Card"/>
    <s v="Cancelled"/>
    <m/>
    <m/>
    <x v="0"/>
    <x v="0"/>
    <x v="0"/>
    <x v="6"/>
    <s v="Clearance"/>
    <x v="2"/>
  </r>
  <r>
    <x v="629"/>
    <x v="628"/>
    <x v="174"/>
    <x v="2"/>
    <x v="9"/>
    <x v="1"/>
    <x v="2"/>
    <x v="23"/>
    <x v="68"/>
    <s v="Smartwatch Model 2"/>
    <n v="2"/>
    <n v="37518"/>
    <n v="0.05"/>
    <n v="35642.1"/>
    <n v="0.12"/>
    <n v="71284.2"/>
    <n v="8554.1039999999994"/>
    <x v="626"/>
    <s v="COD"/>
    <s v="Delivered"/>
    <d v="2024-07-14T00:00:00"/>
    <d v="2024-07-18T00:00:00"/>
    <x v="0"/>
    <x v="0"/>
    <x v="0"/>
    <x v="2"/>
    <s v="Summer Splash"/>
    <x v="4"/>
  </r>
  <r>
    <x v="630"/>
    <x v="629"/>
    <x v="168"/>
    <x v="3"/>
    <x v="7"/>
    <x v="0"/>
    <x v="4"/>
    <x v="9"/>
    <x v="11"/>
    <s v="Hoodie Model 3"/>
    <n v="3"/>
    <n v="1882"/>
    <n v="0.05"/>
    <n v="1787.9"/>
    <n v="0.18"/>
    <n v="5363.7"/>
    <n v="965.46599999999989"/>
    <x v="627"/>
    <s v="COD"/>
    <s v="Delivered"/>
    <d v="2024-12-03T00:00:00"/>
    <d v="2024-12-06T00:00:00"/>
    <x v="0"/>
    <x v="0"/>
    <x v="0"/>
    <x v="0"/>
    <s v="Summer Splash"/>
    <x v="2"/>
  </r>
  <r>
    <x v="631"/>
    <x v="630"/>
    <x v="106"/>
    <x v="2"/>
    <x v="4"/>
    <x v="0"/>
    <x v="4"/>
    <x v="5"/>
    <x v="7"/>
    <s v="Dress Model 3"/>
    <n v="2"/>
    <n v="2937"/>
    <n v="0.2"/>
    <n v="2349.6"/>
    <n v="0.12"/>
    <n v="4699.2"/>
    <n v="563.904"/>
    <x v="628"/>
    <s v="Debit Card"/>
    <s v="Delivered"/>
    <d v="2025-01-24T00:00:00"/>
    <d v="2025-01-29T00:00:00"/>
    <x v="0"/>
    <x v="0"/>
    <x v="0"/>
    <x v="2"/>
    <s v="Back to School"/>
    <x v="0"/>
  </r>
  <r>
    <x v="632"/>
    <x v="631"/>
    <x v="9"/>
    <x v="4"/>
    <x v="8"/>
    <x v="0"/>
    <x v="1"/>
    <x v="18"/>
    <x v="26"/>
    <s v="Beverage Model 2"/>
    <n v="2"/>
    <n v="86"/>
    <n v="0.05"/>
    <n v="81.7"/>
    <n v="0.05"/>
    <n v="163.4"/>
    <n v="8.17"/>
    <x v="629"/>
    <s v="Debit Card"/>
    <s v="Delivered"/>
    <d v="2024-12-23T00:00:00"/>
    <d v="2024-12-27T00:00:00"/>
    <x v="0"/>
    <x v="0"/>
    <x v="0"/>
    <x v="2"/>
    <s v="New Year Sale"/>
    <x v="3"/>
  </r>
  <r>
    <x v="633"/>
    <x v="632"/>
    <x v="136"/>
    <x v="3"/>
    <x v="3"/>
    <x v="1"/>
    <x v="0"/>
    <x v="21"/>
    <x v="63"/>
    <s v="Lamp Model 1"/>
    <n v="2"/>
    <n v="10310"/>
    <n v="0"/>
    <n v="10310"/>
    <n v="0.12"/>
    <n v="20620"/>
    <n v="2474.4"/>
    <x v="630"/>
    <s v="UPI"/>
    <s v="Cancelled"/>
    <m/>
    <m/>
    <x v="0"/>
    <x v="0"/>
    <x v="0"/>
    <x v="1"/>
    <s v="Clearance"/>
    <x v="3"/>
  </r>
  <r>
    <x v="634"/>
    <x v="633"/>
    <x v="114"/>
    <x v="1"/>
    <x v="18"/>
    <x v="1"/>
    <x v="2"/>
    <x v="23"/>
    <x v="47"/>
    <s v="Smartwatch Model 1"/>
    <n v="1"/>
    <n v="23815"/>
    <n v="0"/>
    <n v="23815"/>
    <n v="0.05"/>
    <n v="23815"/>
    <n v="1190.75"/>
    <x v="631"/>
    <s v="Debit Card"/>
    <s v="Delivered"/>
    <d v="2024-09-24T00:00:00"/>
    <d v="2024-09-28T00:00:00"/>
    <x v="0"/>
    <x v="0"/>
    <x v="0"/>
    <x v="7"/>
    <s v="Summer Splash"/>
    <x v="2"/>
  </r>
  <r>
    <x v="635"/>
    <x v="634"/>
    <x v="21"/>
    <x v="4"/>
    <x v="8"/>
    <x v="0"/>
    <x v="0"/>
    <x v="21"/>
    <x v="37"/>
    <s v="Lamp Model 3"/>
    <n v="1"/>
    <n v="1459"/>
    <n v="0.1"/>
    <n v="1313.1"/>
    <n v="0.12"/>
    <n v="1313.1"/>
    <n v="157.572"/>
    <x v="632"/>
    <s v="Credit Card"/>
    <s v="Shipped"/>
    <d v="2024-12-29T00:00:00"/>
    <m/>
    <x v="0"/>
    <x v="0"/>
    <x v="0"/>
    <x v="7"/>
    <s v="Diwali Blast"/>
    <x v="6"/>
  </r>
  <r>
    <x v="636"/>
    <x v="635"/>
    <x v="141"/>
    <x v="3"/>
    <x v="3"/>
    <x v="2"/>
    <x v="1"/>
    <x v="15"/>
    <x v="21"/>
    <s v="Rice Model 3"/>
    <n v="4"/>
    <n v="1184"/>
    <n v="0"/>
    <n v="1184"/>
    <n v="0.18"/>
    <n v="4736"/>
    <n v="852.48"/>
    <x v="633"/>
    <s v="UPI"/>
    <s v="Returned"/>
    <d v="2025-04-06T00:00:00"/>
    <m/>
    <x v="1"/>
    <x v="26"/>
    <x v="26"/>
    <x v="5"/>
    <s v="Diwali Blast"/>
    <x v="2"/>
  </r>
  <r>
    <x v="637"/>
    <x v="636"/>
    <x v="171"/>
    <x v="3"/>
    <x v="15"/>
    <x v="0"/>
    <x v="1"/>
    <x v="15"/>
    <x v="58"/>
    <s v="Rice Model 2"/>
    <n v="1"/>
    <n v="681"/>
    <n v="0.1"/>
    <n v="612.9"/>
    <n v="0.12"/>
    <n v="612.9"/>
    <n v="73.547999999999988"/>
    <x v="634"/>
    <s v="COD"/>
    <s v="Delivered"/>
    <d v="2024-06-10T00:00:00"/>
    <d v="2024-06-15T00:00:00"/>
    <x v="0"/>
    <x v="0"/>
    <x v="0"/>
    <x v="8"/>
    <s v="Clearance"/>
    <x v="2"/>
  </r>
  <r>
    <x v="638"/>
    <x v="637"/>
    <x v="13"/>
    <x v="2"/>
    <x v="4"/>
    <x v="2"/>
    <x v="4"/>
    <x v="8"/>
    <x v="10"/>
    <s v="Jacket Model 3"/>
    <n v="1"/>
    <n v="2939"/>
    <n v="0"/>
    <n v="2939"/>
    <n v="0.12"/>
    <n v="2939"/>
    <n v="352.68"/>
    <x v="635"/>
    <s v="UPI"/>
    <s v="Delivered"/>
    <d v="2024-04-27T00:00:00"/>
    <d v="2024-05-01T00:00:00"/>
    <x v="0"/>
    <x v="0"/>
    <x v="0"/>
    <x v="7"/>
    <s v="Festival Fever"/>
    <x v="0"/>
  </r>
  <r>
    <x v="639"/>
    <x v="638"/>
    <x v="91"/>
    <x v="1"/>
    <x v="1"/>
    <x v="1"/>
    <x v="1"/>
    <x v="18"/>
    <x v="29"/>
    <s v="Beverage Model 1"/>
    <n v="1"/>
    <n v="1031"/>
    <n v="0.1"/>
    <n v="927.9"/>
    <n v="0.12"/>
    <n v="927.9"/>
    <n v="111.348"/>
    <x v="636"/>
    <s v="COD"/>
    <s v="Delivered"/>
    <d v="2025-03-01T00:00:00"/>
    <d v="2025-03-02T00:00:00"/>
    <x v="0"/>
    <x v="0"/>
    <x v="0"/>
    <x v="0"/>
    <s v="New Year Sale"/>
    <x v="2"/>
  </r>
  <r>
    <x v="640"/>
    <x v="639"/>
    <x v="79"/>
    <x v="4"/>
    <x v="11"/>
    <x v="2"/>
    <x v="0"/>
    <x v="1"/>
    <x v="3"/>
    <s v="Cookware Model 3"/>
    <n v="1"/>
    <n v="1736"/>
    <n v="0.1"/>
    <n v="1562.4"/>
    <n v="0.12"/>
    <n v="1562.4"/>
    <n v="187.488"/>
    <x v="637"/>
    <s v="COD"/>
    <s v="Delivered"/>
    <d v="2024-08-22T00:00:00"/>
    <d v="2024-08-26T00:00:00"/>
    <x v="0"/>
    <x v="0"/>
    <x v="0"/>
    <x v="4"/>
    <s v="Diwali Blast"/>
    <x v="6"/>
  </r>
  <r>
    <x v="641"/>
    <x v="640"/>
    <x v="111"/>
    <x v="0"/>
    <x v="13"/>
    <x v="2"/>
    <x v="0"/>
    <x v="21"/>
    <x v="63"/>
    <s v="Lamp Model 1"/>
    <n v="1"/>
    <n v="8311"/>
    <n v="0.1"/>
    <n v="7479.9000000000005"/>
    <n v="0.12"/>
    <n v="7479.9000000000005"/>
    <n v="897.58800000000008"/>
    <x v="638"/>
    <s v="UPI"/>
    <s v="Returned"/>
    <d v="2024-02-03T00:00:00"/>
    <m/>
    <x v="1"/>
    <x v="27"/>
    <x v="27"/>
    <x v="1"/>
    <s v="Festival Fever"/>
    <x v="0"/>
  </r>
  <r>
    <x v="642"/>
    <x v="641"/>
    <x v="115"/>
    <x v="0"/>
    <x v="13"/>
    <x v="1"/>
    <x v="3"/>
    <x v="7"/>
    <x v="23"/>
    <s v="Dumbbells Model 1"/>
    <n v="1"/>
    <n v="6285"/>
    <n v="0"/>
    <n v="6285"/>
    <n v="0.12"/>
    <n v="6285"/>
    <n v="754.19999999999993"/>
    <x v="639"/>
    <s v="Debit Card"/>
    <s v="Delivered"/>
    <d v="2025-03-23T00:00:00"/>
    <d v="2025-03-24T00:00:00"/>
    <x v="0"/>
    <x v="0"/>
    <x v="0"/>
    <x v="9"/>
    <s v="Clearance"/>
    <x v="0"/>
  </r>
  <r>
    <x v="643"/>
    <x v="642"/>
    <x v="122"/>
    <x v="2"/>
    <x v="4"/>
    <x v="3"/>
    <x v="4"/>
    <x v="8"/>
    <x v="72"/>
    <s v="Jacket Model 2"/>
    <n v="1"/>
    <n v="451"/>
    <n v="0.05"/>
    <n v="428.45"/>
    <n v="0.12"/>
    <n v="428.45"/>
    <n v="51.413999999999987"/>
    <x v="640"/>
    <s v="NetBanking"/>
    <s v="In Transit"/>
    <d v="2024-04-15T00:00:00"/>
    <m/>
    <x v="0"/>
    <x v="0"/>
    <x v="0"/>
    <x v="9"/>
    <s v="Festival Fever"/>
    <x v="0"/>
  </r>
  <r>
    <x v="644"/>
    <x v="643"/>
    <x v="158"/>
    <x v="1"/>
    <x v="1"/>
    <x v="0"/>
    <x v="4"/>
    <x v="5"/>
    <x v="19"/>
    <s v="Dress Model 1"/>
    <n v="2"/>
    <n v="697"/>
    <n v="0"/>
    <n v="697"/>
    <n v="0.12"/>
    <n v="1394"/>
    <n v="167.28"/>
    <x v="641"/>
    <s v="UPI"/>
    <s v="Delivered"/>
    <d v="2024-12-20T00:00:00"/>
    <d v="2024-12-21T00:00:00"/>
    <x v="0"/>
    <x v="0"/>
    <x v="0"/>
    <x v="7"/>
    <s v="Clearance"/>
    <x v="1"/>
  </r>
  <r>
    <x v="645"/>
    <x v="644"/>
    <x v="29"/>
    <x v="0"/>
    <x v="0"/>
    <x v="3"/>
    <x v="3"/>
    <x v="10"/>
    <x v="30"/>
    <s v="Yoga Mat Model 3"/>
    <n v="1"/>
    <n v="6023"/>
    <n v="0.1"/>
    <n v="5420.7"/>
    <n v="0.05"/>
    <n v="5420.7"/>
    <n v="271.03500000000003"/>
    <x v="642"/>
    <s v="UPI"/>
    <s v="Delivered"/>
    <d v="2024-04-23T00:00:00"/>
    <d v="2024-04-27T00:00:00"/>
    <x v="0"/>
    <x v="0"/>
    <x v="0"/>
    <x v="1"/>
    <s v="Diwali Blast"/>
    <x v="4"/>
  </r>
  <r>
    <x v="646"/>
    <x v="645"/>
    <x v="6"/>
    <x v="1"/>
    <x v="5"/>
    <x v="1"/>
    <x v="1"/>
    <x v="15"/>
    <x v="21"/>
    <s v="Rice Model 3"/>
    <n v="1"/>
    <n v="350"/>
    <n v="0.1"/>
    <n v="315"/>
    <n v="0.12"/>
    <n v="315"/>
    <n v="37.799999999999997"/>
    <x v="643"/>
    <s v="NetBanking"/>
    <s v="Delivered"/>
    <d v="2024-10-23T00:00:00"/>
    <d v="2024-10-24T00:00:00"/>
    <x v="0"/>
    <x v="0"/>
    <x v="0"/>
    <x v="8"/>
    <s v="New Year Sale"/>
    <x v="4"/>
  </r>
  <r>
    <x v="647"/>
    <x v="646"/>
    <x v="137"/>
    <x v="4"/>
    <x v="11"/>
    <x v="1"/>
    <x v="0"/>
    <x v="0"/>
    <x v="2"/>
    <s v="Air Purifier Model 3"/>
    <n v="2"/>
    <n v="4377"/>
    <n v="0"/>
    <n v="4377"/>
    <n v="0.12"/>
    <n v="8754"/>
    <n v="1050.48"/>
    <x v="644"/>
    <s v="UPI"/>
    <s v="Cancelled"/>
    <m/>
    <m/>
    <x v="0"/>
    <x v="0"/>
    <x v="0"/>
    <x v="8"/>
    <s v="Clearance"/>
    <x v="6"/>
  </r>
  <r>
    <x v="648"/>
    <x v="647"/>
    <x v="173"/>
    <x v="4"/>
    <x v="16"/>
    <x v="0"/>
    <x v="0"/>
    <x v="14"/>
    <x v="60"/>
    <s v="Vacuum Model 1"/>
    <n v="1"/>
    <n v="3677"/>
    <n v="0.05"/>
    <n v="3493.15"/>
    <n v="0.12"/>
    <n v="3493.15"/>
    <n v="419.17799999999988"/>
    <x v="645"/>
    <s v="NetBanking"/>
    <s v="Delivered"/>
    <d v="2024-07-10T00:00:00"/>
    <d v="2024-07-14T00:00:00"/>
    <x v="0"/>
    <x v="0"/>
    <x v="0"/>
    <x v="9"/>
    <s v="New Year Sale"/>
    <x v="5"/>
  </r>
  <r>
    <x v="649"/>
    <x v="648"/>
    <x v="51"/>
    <x v="0"/>
    <x v="19"/>
    <x v="0"/>
    <x v="2"/>
    <x v="13"/>
    <x v="50"/>
    <s v="Laptop Model 2"/>
    <n v="2"/>
    <n v="20094"/>
    <n v="0.1"/>
    <n v="18084.599999999999"/>
    <n v="0.05"/>
    <n v="36169.199999999997"/>
    <n v="1808.46"/>
    <x v="646"/>
    <s v="NetBanking"/>
    <s v="Delivered"/>
    <d v="2024-11-09T00:00:00"/>
    <d v="2024-11-14T00:00:00"/>
    <x v="0"/>
    <x v="0"/>
    <x v="0"/>
    <x v="8"/>
    <s v="Clearance"/>
    <x v="5"/>
  </r>
  <r>
    <x v="650"/>
    <x v="649"/>
    <x v="84"/>
    <x v="4"/>
    <x v="8"/>
    <x v="0"/>
    <x v="2"/>
    <x v="19"/>
    <x v="35"/>
    <s v="Camera Model 2"/>
    <n v="1"/>
    <n v="34608"/>
    <n v="0.1"/>
    <n v="31147.200000000001"/>
    <n v="0.12"/>
    <n v="31147.200000000001"/>
    <n v="3737.6640000000002"/>
    <x v="647"/>
    <s v="Debit Card"/>
    <s v="Shipped"/>
    <d v="2024-09-04T00:00:00"/>
    <m/>
    <x v="0"/>
    <x v="0"/>
    <x v="0"/>
    <x v="3"/>
    <s v="Back to School"/>
    <x v="0"/>
  </r>
  <r>
    <x v="651"/>
    <x v="650"/>
    <x v="168"/>
    <x v="3"/>
    <x v="7"/>
    <x v="0"/>
    <x v="2"/>
    <x v="3"/>
    <x v="56"/>
    <s v="Smartphone Model 2"/>
    <n v="1"/>
    <n v="46086"/>
    <n v="0"/>
    <n v="46086"/>
    <n v="0.12"/>
    <n v="46086"/>
    <n v="5530.32"/>
    <x v="648"/>
    <s v="UPI"/>
    <s v="Delivered"/>
    <d v="2024-12-18T00:00:00"/>
    <d v="2024-12-21T00:00:00"/>
    <x v="0"/>
    <x v="0"/>
    <x v="0"/>
    <x v="3"/>
    <s v="Festival Fever"/>
    <x v="2"/>
  </r>
  <r>
    <x v="652"/>
    <x v="651"/>
    <x v="16"/>
    <x v="4"/>
    <x v="11"/>
    <x v="0"/>
    <x v="0"/>
    <x v="21"/>
    <x v="37"/>
    <s v="Lamp Model 3"/>
    <n v="1"/>
    <n v="1778"/>
    <n v="0.05"/>
    <n v="1689.1"/>
    <n v="0.18"/>
    <n v="1689.1"/>
    <n v="304.03800000000001"/>
    <x v="649"/>
    <s v="Credit Card"/>
    <s v="Delivered"/>
    <d v="2024-10-11T00:00:00"/>
    <d v="2024-10-13T00:00:00"/>
    <x v="0"/>
    <x v="0"/>
    <x v="0"/>
    <x v="8"/>
    <s v="Diwali Blast"/>
    <x v="5"/>
  </r>
  <r>
    <x v="653"/>
    <x v="652"/>
    <x v="116"/>
    <x v="3"/>
    <x v="7"/>
    <x v="0"/>
    <x v="3"/>
    <x v="4"/>
    <x v="20"/>
    <s v="Tennis Racket Model 1"/>
    <n v="2"/>
    <n v="6976"/>
    <n v="0"/>
    <n v="6976"/>
    <n v="0.12"/>
    <n v="13952"/>
    <n v="1674.24"/>
    <x v="650"/>
    <s v="COD"/>
    <s v="Delivered"/>
    <d v="2024-09-24T00:00:00"/>
    <d v="2024-09-25T00:00:00"/>
    <x v="0"/>
    <x v="0"/>
    <x v="0"/>
    <x v="8"/>
    <s v="Diwali Blast"/>
    <x v="3"/>
  </r>
  <r>
    <x v="654"/>
    <x v="653"/>
    <x v="122"/>
    <x v="2"/>
    <x v="4"/>
    <x v="0"/>
    <x v="0"/>
    <x v="0"/>
    <x v="0"/>
    <s v="Air Purifier Model 1"/>
    <n v="3"/>
    <n v="3588"/>
    <n v="0.05"/>
    <n v="3408.6"/>
    <n v="0.18"/>
    <n v="10225.799999999999"/>
    <n v="1840.644"/>
    <x v="651"/>
    <s v="Credit Card"/>
    <s v="Delivered"/>
    <d v="2024-05-07T00:00:00"/>
    <d v="2024-05-12T00:00:00"/>
    <x v="0"/>
    <x v="0"/>
    <x v="0"/>
    <x v="4"/>
    <s v="Monsoon Mania"/>
    <x v="1"/>
  </r>
  <r>
    <x v="655"/>
    <x v="654"/>
    <x v="149"/>
    <x v="1"/>
    <x v="1"/>
    <x v="0"/>
    <x v="0"/>
    <x v="14"/>
    <x v="17"/>
    <s v="Vacuum Model 3"/>
    <n v="1"/>
    <n v="8683"/>
    <n v="0.05"/>
    <n v="8248.85"/>
    <n v="0.18"/>
    <n v="8248.85"/>
    <n v="1484.7929999999999"/>
    <x v="652"/>
    <s v="NetBanking"/>
    <s v="In Transit"/>
    <d v="2025-04-06T00:00:00"/>
    <m/>
    <x v="0"/>
    <x v="0"/>
    <x v="0"/>
    <x v="5"/>
    <s v="Back to School"/>
    <x v="5"/>
  </r>
  <r>
    <x v="656"/>
    <x v="655"/>
    <x v="31"/>
    <x v="2"/>
    <x v="9"/>
    <x v="1"/>
    <x v="4"/>
    <x v="24"/>
    <x v="55"/>
    <s v="Jeans Model 2"/>
    <n v="1"/>
    <n v="2531"/>
    <n v="0"/>
    <n v="2531"/>
    <n v="0.12"/>
    <n v="2531"/>
    <n v="303.72000000000003"/>
    <x v="653"/>
    <s v="UPI"/>
    <s v="In Transit"/>
    <d v="2024-06-13T00:00:00"/>
    <m/>
    <x v="0"/>
    <x v="0"/>
    <x v="0"/>
    <x v="1"/>
    <s v="Festival Fever"/>
    <x v="3"/>
  </r>
  <r>
    <x v="657"/>
    <x v="656"/>
    <x v="150"/>
    <x v="2"/>
    <x v="6"/>
    <x v="2"/>
    <x v="1"/>
    <x v="2"/>
    <x v="62"/>
    <s v="Snacks Model 3"/>
    <n v="1"/>
    <n v="1071"/>
    <n v="0"/>
    <n v="1071"/>
    <n v="0.18"/>
    <n v="1071"/>
    <n v="192.78"/>
    <x v="654"/>
    <s v="UPI"/>
    <s v="Delivered"/>
    <d v="2025-02-06T00:00:00"/>
    <d v="2025-02-08T00:00:00"/>
    <x v="0"/>
    <x v="0"/>
    <x v="0"/>
    <x v="7"/>
    <s v="Summer Splash"/>
    <x v="6"/>
  </r>
  <r>
    <x v="658"/>
    <x v="657"/>
    <x v="146"/>
    <x v="3"/>
    <x v="3"/>
    <x v="3"/>
    <x v="4"/>
    <x v="5"/>
    <x v="53"/>
    <s v="Dress Model 2"/>
    <n v="1"/>
    <n v="2148"/>
    <n v="0.15"/>
    <n v="1825.8"/>
    <n v="0.05"/>
    <n v="1825.8"/>
    <n v="91.29"/>
    <x v="655"/>
    <s v="Credit Card"/>
    <s v="Delivered"/>
    <d v="2024-11-20T00:00:00"/>
    <d v="2024-11-22T00:00:00"/>
    <x v="0"/>
    <x v="0"/>
    <x v="0"/>
    <x v="1"/>
    <s v="Festival Fever"/>
    <x v="5"/>
  </r>
  <r>
    <x v="659"/>
    <x v="658"/>
    <x v="141"/>
    <x v="3"/>
    <x v="3"/>
    <x v="1"/>
    <x v="1"/>
    <x v="18"/>
    <x v="26"/>
    <s v="Beverage Model 2"/>
    <n v="4"/>
    <n v="626"/>
    <n v="0.15"/>
    <n v="532.1"/>
    <n v="0.18"/>
    <n v="2128.4"/>
    <n v="383.11200000000002"/>
    <x v="656"/>
    <s v="COD"/>
    <s v="Shipped"/>
    <d v="2024-05-25T00:00:00"/>
    <m/>
    <x v="0"/>
    <x v="0"/>
    <x v="0"/>
    <x v="1"/>
    <s v="Monsoon Mania"/>
    <x v="2"/>
  </r>
  <r>
    <x v="660"/>
    <x v="659"/>
    <x v="173"/>
    <x v="4"/>
    <x v="16"/>
    <x v="3"/>
    <x v="4"/>
    <x v="8"/>
    <x v="43"/>
    <s v="Jacket Model 1"/>
    <n v="1"/>
    <n v="496"/>
    <n v="0.1"/>
    <n v="446.4"/>
    <n v="0.12"/>
    <n v="446.4"/>
    <n v="53.567999999999998"/>
    <x v="657"/>
    <s v="UPI"/>
    <s v="Shipped"/>
    <d v="2024-06-06T00:00:00"/>
    <m/>
    <x v="0"/>
    <x v="0"/>
    <x v="0"/>
    <x v="8"/>
    <s v="Summer Splash"/>
    <x v="1"/>
  </r>
  <r>
    <x v="661"/>
    <x v="660"/>
    <x v="112"/>
    <x v="1"/>
    <x v="18"/>
    <x v="1"/>
    <x v="0"/>
    <x v="1"/>
    <x v="3"/>
    <s v="Cookware Model 3"/>
    <n v="1"/>
    <n v="2099"/>
    <n v="0.05"/>
    <n v="1994.05"/>
    <n v="0.05"/>
    <n v="1994.05"/>
    <n v="99.702500000000001"/>
    <x v="658"/>
    <s v="Credit Card"/>
    <s v="Shipped"/>
    <d v="2024-08-30T00:00:00"/>
    <m/>
    <x v="0"/>
    <x v="0"/>
    <x v="0"/>
    <x v="7"/>
    <s v="Back to School"/>
    <x v="4"/>
  </r>
  <r>
    <x v="662"/>
    <x v="661"/>
    <x v="155"/>
    <x v="2"/>
    <x v="9"/>
    <x v="0"/>
    <x v="2"/>
    <x v="3"/>
    <x v="57"/>
    <s v="Smartphone Model 1"/>
    <n v="2"/>
    <n v="57810"/>
    <n v="0.05"/>
    <n v="54919.5"/>
    <n v="0.12"/>
    <n v="109839"/>
    <n v="13180.68"/>
    <x v="659"/>
    <s v="NetBanking"/>
    <s v="Shipped"/>
    <d v="2024-11-27T00:00:00"/>
    <m/>
    <x v="0"/>
    <x v="0"/>
    <x v="0"/>
    <x v="6"/>
    <s v="Diwali Blast"/>
    <x v="3"/>
  </r>
  <r>
    <x v="663"/>
    <x v="662"/>
    <x v="113"/>
    <x v="1"/>
    <x v="18"/>
    <x v="1"/>
    <x v="1"/>
    <x v="18"/>
    <x v="42"/>
    <s v="Beverage Model 3"/>
    <n v="2"/>
    <n v="289"/>
    <n v="0"/>
    <n v="289"/>
    <n v="0.12"/>
    <n v="578"/>
    <n v="69.36"/>
    <x v="660"/>
    <s v="COD"/>
    <s v="Delivered"/>
    <d v="2024-09-14T00:00:00"/>
    <d v="2024-09-17T00:00:00"/>
    <x v="0"/>
    <x v="0"/>
    <x v="0"/>
    <x v="3"/>
    <s v="Back to School"/>
    <x v="4"/>
  </r>
  <r>
    <x v="664"/>
    <x v="663"/>
    <x v="80"/>
    <x v="2"/>
    <x v="2"/>
    <x v="1"/>
    <x v="0"/>
    <x v="0"/>
    <x v="0"/>
    <s v="Air Purifier Model 1"/>
    <n v="1"/>
    <n v="12119"/>
    <n v="0"/>
    <n v="12119"/>
    <n v="0.12"/>
    <n v="12119"/>
    <n v="1454.28"/>
    <x v="661"/>
    <s v="UPI"/>
    <s v="Delivered"/>
    <d v="2024-11-30T00:00:00"/>
    <d v="2024-12-03T00:00:00"/>
    <x v="0"/>
    <x v="0"/>
    <x v="0"/>
    <x v="3"/>
    <s v="New Year Sale"/>
    <x v="1"/>
  </r>
  <r>
    <x v="665"/>
    <x v="664"/>
    <x v="54"/>
    <x v="2"/>
    <x v="9"/>
    <x v="3"/>
    <x v="2"/>
    <x v="12"/>
    <x v="46"/>
    <s v="Headphones Model 1"/>
    <n v="4"/>
    <n v="5852"/>
    <n v="0"/>
    <n v="5852"/>
    <n v="0.18"/>
    <n v="23408"/>
    <n v="4213.4399999999996"/>
    <x v="662"/>
    <s v="UPI"/>
    <s v="Delivered"/>
    <d v="2024-08-26T00:00:00"/>
    <d v="2024-08-29T00:00:00"/>
    <x v="0"/>
    <x v="0"/>
    <x v="0"/>
    <x v="5"/>
    <s v="Monsoon Mania"/>
    <x v="5"/>
  </r>
  <r>
    <x v="666"/>
    <x v="665"/>
    <x v="77"/>
    <x v="4"/>
    <x v="16"/>
    <x v="0"/>
    <x v="3"/>
    <x v="4"/>
    <x v="71"/>
    <s v="Tennis Racket Model 2"/>
    <n v="1"/>
    <n v="9975"/>
    <n v="0.2"/>
    <n v="7980"/>
    <n v="0.18"/>
    <n v="7980"/>
    <n v="1436.4"/>
    <x v="663"/>
    <s v="Credit Card"/>
    <s v="In Transit"/>
    <d v="2025-04-23T00:00:00"/>
    <m/>
    <x v="0"/>
    <x v="0"/>
    <x v="0"/>
    <x v="4"/>
    <s v="Back to School"/>
    <x v="3"/>
  </r>
  <r>
    <x v="667"/>
    <x v="666"/>
    <x v="174"/>
    <x v="2"/>
    <x v="9"/>
    <x v="0"/>
    <x v="1"/>
    <x v="18"/>
    <x v="29"/>
    <s v="Beverage Model 1"/>
    <n v="3"/>
    <n v="1027"/>
    <n v="0"/>
    <n v="1027"/>
    <n v="0.12"/>
    <n v="3081"/>
    <n v="369.72"/>
    <x v="664"/>
    <s v="Credit Card"/>
    <s v="Delivered"/>
    <d v="2024-08-22T00:00:00"/>
    <d v="2024-08-23T00:00:00"/>
    <x v="0"/>
    <x v="0"/>
    <x v="0"/>
    <x v="9"/>
    <s v="Clearance"/>
    <x v="0"/>
  </r>
  <r>
    <x v="668"/>
    <x v="667"/>
    <x v="91"/>
    <x v="1"/>
    <x v="1"/>
    <x v="0"/>
    <x v="0"/>
    <x v="14"/>
    <x v="17"/>
    <s v="Vacuum Model 3"/>
    <n v="1"/>
    <n v="12221"/>
    <n v="0.05"/>
    <n v="11609.95"/>
    <n v="0.12"/>
    <n v="11609.95"/>
    <n v="1393.194"/>
    <x v="665"/>
    <s v="Debit Card"/>
    <s v="Returned"/>
    <d v="2024-01-04T00:00:00"/>
    <m/>
    <x v="1"/>
    <x v="28"/>
    <x v="28"/>
    <x v="7"/>
    <s v="Back to School"/>
    <x v="4"/>
  </r>
  <r>
    <x v="669"/>
    <x v="668"/>
    <x v="56"/>
    <x v="2"/>
    <x v="6"/>
    <x v="2"/>
    <x v="2"/>
    <x v="12"/>
    <x v="46"/>
    <s v="Headphones Model 1"/>
    <n v="2"/>
    <n v="43505"/>
    <n v="0"/>
    <n v="43505"/>
    <n v="0.12"/>
    <n v="87010"/>
    <n v="10441.200000000001"/>
    <x v="666"/>
    <s v="UPI"/>
    <s v="Delivered"/>
    <d v="2024-08-03T00:00:00"/>
    <d v="2024-08-06T00:00:00"/>
    <x v="0"/>
    <x v="0"/>
    <x v="0"/>
    <x v="9"/>
    <s v="Monsoon Mania"/>
    <x v="5"/>
  </r>
  <r>
    <x v="670"/>
    <x v="669"/>
    <x v="87"/>
    <x v="3"/>
    <x v="7"/>
    <x v="1"/>
    <x v="3"/>
    <x v="7"/>
    <x v="9"/>
    <s v="Dumbbells Model 3"/>
    <n v="3"/>
    <n v="6931"/>
    <n v="0.05"/>
    <n v="6584.45"/>
    <n v="0.05"/>
    <n v="19753.349999999999"/>
    <n v="987.66750000000002"/>
    <x v="667"/>
    <s v="Debit Card"/>
    <s v="Delivered"/>
    <d v="2024-10-18T00:00:00"/>
    <d v="2024-10-22T00:00:00"/>
    <x v="0"/>
    <x v="0"/>
    <x v="0"/>
    <x v="3"/>
    <s v="New Year Sale"/>
    <x v="6"/>
  </r>
  <r>
    <x v="671"/>
    <x v="670"/>
    <x v="9"/>
    <x v="4"/>
    <x v="8"/>
    <x v="1"/>
    <x v="4"/>
    <x v="8"/>
    <x v="43"/>
    <s v="Jacket Model 1"/>
    <n v="1"/>
    <n v="1303"/>
    <n v="0.05"/>
    <n v="1237.8499999999999"/>
    <n v="0.12"/>
    <n v="1237.8499999999999"/>
    <n v="148.542"/>
    <x v="668"/>
    <s v="NetBanking"/>
    <s v="Delivered"/>
    <d v="2024-09-28T00:00:00"/>
    <d v="2024-09-30T00:00:00"/>
    <x v="0"/>
    <x v="0"/>
    <x v="0"/>
    <x v="4"/>
    <s v="Diwali Blast"/>
    <x v="3"/>
  </r>
  <r>
    <x v="672"/>
    <x v="671"/>
    <x v="113"/>
    <x v="1"/>
    <x v="18"/>
    <x v="0"/>
    <x v="3"/>
    <x v="16"/>
    <x v="22"/>
    <s v="Football Model 1"/>
    <n v="5"/>
    <n v="4516"/>
    <n v="0"/>
    <n v="4516"/>
    <n v="0.12"/>
    <n v="22580"/>
    <n v="2709.6"/>
    <x v="669"/>
    <s v="Debit Card"/>
    <s v="Delivered"/>
    <d v="2024-10-26T00:00:00"/>
    <d v="2024-10-27T00:00:00"/>
    <x v="0"/>
    <x v="0"/>
    <x v="0"/>
    <x v="8"/>
    <s v="New Year Sale"/>
    <x v="1"/>
  </r>
  <r>
    <x v="673"/>
    <x v="672"/>
    <x v="146"/>
    <x v="3"/>
    <x v="3"/>
    <x v="0"/>
    <x v="1"/>
    <x v="6"/>
    <x v="8"/>
    <s v="Oil Model 1"/>
    <n v="2"/>
    <n v="665"/>
    <n v="0.15"/>
    <n v="565.25"/>
    <n v="0.12"/>
    <n v="1130.5"/>
    <n v="135.66"/>
    <x v="670"/>
    <s v="Debit Card"/>
    <s v="Delivered"/>
    <d v="2024-07-12T00:00:00"/>
    <d v="2024-07-16T00:00:00"/>
    <x v="0"/>
    <x v="0"/>
    <x v="0"/>
    <x v="8"/>
    <s v="Clearance"/>
    <x v="1"/>
  </r>
  <r>
    <x v="674"/>
    <x v="673"/>
    <x v="135"/>
    <x v="3"/>
    <x v="3"/>
    <x v="0"/>
    <x v="4"/>
    <x v="5"/>
    <x v="7"/>
    <s v="Dress Model 3"/>
    <n v="1"/>
    <n v="629"/>
    <n v="0.2"/>
    <n v="503.2"/>
    <n v="0.05"/>
    <n v="503.2"/>
    <n v="25.16"/>
    <x v="671"/>
    <s v="Credit Card"/>
    <s v="Delivered"/>
    <d v="2024-08-25T00:00:00"/>
    <d v="2024-08-26T00:00:00"/>
    <x v="0"/>
    <x v="0"/>
    <x v="0"/>
    <x v="0"/>
    <s v="Summer Splash"/>
    <x v="3"/>
  </r>
  <r>
    <x v="675"/>
    <x v="674"/>
    <x v="17"/>
    <x v="1"/>
    <x v="1"/>
    <x v="1"/>
    <x v="4"/>
    <x v="24"/>
    <x v="64"/>
    <s v="Jeans Model 1"/>
    <n v="3"/>
    <n v="1083"/>
    <n v="0"/>
    <n v="1083"/>
    <n v="0.12"/>
    <n v="3249"/>
    <n v="389.88"/>
    <x v="672"/>
    <s v="UPI"/>
    <s v="Delivered"/>
    <d v="2025-04-25T00:00:00"/>
    <d v="2025-04-30T00:00:00"/>
    <x v="0"/>
    <x v="0"/>
    <x v="0"/>
    <x v="9"/>
    <s v="Summer Splash"/>
    <x v="1"/>
  </r>
  <r>
    <x v="676"/>
    <x v="675"/>
    <x v="97"/>
    <x v="4"/>
    <x v="8"/>
    <x v="1"/>
    <x v="1"/>
    <x v="18"/>
    <x v="26"/>
    <s v="Beverage Model 2"/>
    <n v="2"/>
    <n v="799"/>
    <n v="0.05"/>
    <n v="759.05"/>
    <n v="0.12"/>
    <n v="1518.1"/>
    <n v="182.172"/>
    <x v="673"/>
    <s v="Credit Card"/>
    <s v="Delivered"/>
    <d v="2025-04-21T00:00:00"/>
    <d v="2025-04-23T00:00:00"/>
    <x v="0"/>
    <x v="0"/>
    <x v="0"/>
    <x v="2"/>
    <s v="Back to School"/>
    <x v="2"/>
  </r>
  <r>
    <x v="677"/>
    <x v="676"/>
    <x v="71"/>
    <x v="1"/>
    <x v="1"/>
    <x v="0"/>
    <x v="2"/>
    <x v="12"/>
    <x v="15"/>
    <s v="Headphones Model 2"/>
    <n v="1"/>
    <n v="33849"/>
    <n v="0.05"/>
    <n v="32156.55"/>
    <n v="0.05"/>
    <n v="32156.55"/>
    <n v="1607.8275000000001"/>
    <x v="674"/>
    <s v="Credit Card"/>
    <s v="Delivered"/>
    <d v="2024-06-09T00:00:00"/>
    <d v="2024-06-13T00:00:00"/>
    <x v="0"/>
    <x v="0"/>
    <x v="0"/>
    <x v="0"/>
    <s v="New Year Sale"/>
    <x v="5"/>
  </r>
  <r>
    <x v="678"/>
    <x v="677"/>
    <x v="37"/>
    <x v="1"/>
    <x v="1"/>
    <x v="0"/>
    <x v="0"/>
    <x v="0"/>
    <x v="2"/>
    <s v="Air Purifier Model 3"/>
    <n v="2"/>
    <n v="13718"/>
    <n v="0"/>
    <n v="13718"/>
    <n v="0.12"/>
    <n v="27436"/>
    <n v="3292.32"/>
    <x v="675"/>
    <s v="Credit Card"/>
    <s v="Delivered"/>
    <d v="2024-11-08T00:00:00"/>
    <d v="2024-11-12T00:00:00"/>
    <x v="0"/>
    <x v="0"/>
    <x v="0"/>
    <x v="5"/>
    <s v="Monsoon Mania"/>
    <x v="0"/>
  </r>
  <r>
    <x v="679"/>
    <x v="678"/>
    <x v="175"/>
    <x v="0"/>
    <x v="14"/>
    <x v="1"/>
    <x v="3"/>
    <x v="16"/>
    <x v="48"/>
    <s v="Football Model 2"/>
    <n v="2"/>
    <n v="2251"/>
    <n v="0"/>
    <n v="2251"/>
    <n v="0.12"/>
    <n v="4502"/>
    <n v="540.24"/>
    <x v="676"/>
    <s v="Debit Card"/>
    <s v="Delivered"/>
    <d v="2024-10-21T00:00:00"/>
    <d v="2024-10-25T00:00:00"/>
    <x v="0"/>
    <x v="0"/>
    <x v="0"/>
    <x v="5"/>
    <s v="Summer Splash"/>
    <x v="6"/>
  </r>
  <r>
    <x v="680"/>
    <x v="679"/>
    <x v="58"/>
    <x v="4"/>
    <x v="11"/>
    <x v="1"/>
    <x v="1"/>
    <x v="15"/>
    <x v="27"/>
    <s v="Rice Model 1"/>
    <n v="3"/>
    <n v="181"/>
    <n v="0"/>
    <n v="181"/>
    <n v="0.12"/>
    <n v="543"/>
    <n v="65.16"/>
    <x v="677"/>
    <s v="UPI"/>
    <s v="Delivered"/>
    <d v="2024-04-30T00:00:00"/>
    <d v="2024-05-05T00:00:00"/>
    <x v="0"/>
    <x v="0"/>
    <x v="0"/>
    <x v="9"/>
    <s v="Festival Fever"/>
    <x v="0"/>
  </r>
  <r>
    <x v="681"/>
    <x v="680"/>
    <x v="115"/>
    <x v="0"/>
    <x v="13"/>
    <x v="0"/>
    <x v="2"/>
    <x v="23"/>
    <x v="68"/>
    <s v="Smartwatch Model 2"/>
    <n v="3"/>
    <n v="17655"/>
    <n v="0"/>
    <n v="17655"/>
    <n v="0.05"/>
    <n v="52965"/>
    <n v="2648.25"/>
    <x v="678"/>
    <s v="UPI"/>
    <s v="Delivered"/>
    <d v="2025-04-14T00:00:00"/>
    <d v="2025-04-15T00:00:00"/>
    <x v="0"/>
    <x v="0"/>
    <x v="0"/>
    <x v="1"/>
    <s v="Clearance"/>
    <x v="4"/>
  </r>
  <r>
    <x v="682"/>
    <x v="681"/>
    <x v="67"/>
    <x v="3"/>
    <x v="3"/>
    <x v="0"/>
    <x v="0"/>
    <x v="1"/>
    <x v="3"/>
    <s v="Cookware Model 3"/>
    <n v="1"/>
    <n v="1496"/>
    <n v="0.15"/>
    <n v="1271.5999999999999"/>
    <n v="0.12"/>
    <n v="1271.5999999999999"/>
    <n v="152.59200000000001"/>
    <x v="679"/>
    <s v="Credit Card"/>
    <s v="In Transit"/>
    <d v="2024-07-13T00:00:00"/>
    <m/>
    <x v="0"/>
    <x v="0"/>
    <x v="0"/>
    <x v="1"/>
    <s v="Summer Splash"/>
    <x v="3"/>
  </r>
  <r>
    <x v="683"/>
    <x v="682"/>
    <x v="25"/>
    <x v="2"/>
    <x v="6"/>
    <x v="0"/>
    <x v="3"/>
    <x v="16"/>
    <x v="22"/>
    <s v="Football Model 1"/>
    <n v="2"/>
    <n v="3353"/>
    <n v="0"/>
    <n v="3353"/>
    <n v="0.12"/>
    <n v="6706"/>
    <n v="804.71999999999991"/>
    <x v="680"/>
    <s v="UPI"/>
    <s v="Delivered"/>
    <d v="2024-11-30T00:00:00"/>
    <d v="2024-12-04T00:00:00"/>
    <x v="0"/>
    <x v="0"/>
    <x v="0"/>
    <x v="8"/>
    <s v="New Year Sale"/>
    <x v="2"/>
  </r>
  <r>
    <x v="684"/>
    <x v="683"/>
    <x v="158"/>
    <x v="1"/>
    <x v="1"/>
    <x v="3"/>
    <x v="1"/>
    <x v="2"/>
    <x v="4"/>
    <s v="Snacks Model 1"/>
    <n v="2"/>
    <n v="635"/>
    <n v="0"/>
    <n v="635"/>
    <n v="0.05"/>
    <n v="1270"/>
    <n v="63.5"/>
    <x v="681"/>
    <s v="UPI"/>
    <s v="In Transit"/>
    <d v="2024-02-11T00:00:00"/>
    <m/>
    <x v="0"/>
    <x v="0"/>
    <x v="0"/>
    <x v="1"/>
    <s v="New Year Sale"/>
    <x v="4"/>
  </r>
  <r>
    <x v="685"/>
    <x v="684"/>
    <x v="136"/>
    <x v="3"/>
    <x v="3"/>
    <x v="0"/>
    <x v="0"/>
    <x v="22"/>
    <x v="54"/>
    <s v="Mixer Model 1"/>
    <n v="4"/>
    <n v="4956"/>
    <n v="0.1"/>
    <n v="4460.4000000000005"/>
    <n v="0.12"/>
    <n v="17841.599999999999"/>
    <n v="2140.9920000000002"/>
    <x v="682"/>
    <s v="COD"/>
    <s v="Delivered"/>
    <d v="2024-01-04T00:00:00"/>
    <d v="2024-01-05T00:00:00"/>
    <x v="0"/>
    <x v="0"/>
    <x v="0"/>
    <x v="8"/>
    <s v="Monsoon Mania"/>
    <x v="0"/>
  </r>
  <r>
    <x v="686"/>
    <x v="685"/>
    <x v="1"/>
    <x v="1"/>
    <x v="1"/>
    <x v="0"/>
    <x v="1"/>
    <x v="15"/>
    <x v="27"/>
    <s v="Rice Model 1"/>
    <n v="3"/>
    <n v="997"/>
    <n v="0.15"/>
    <n v="847.44999999999993"/>
    <n v="0.12"/>
    <n v="2542.35"/>
    <n v="305.08199999999999"/>
    <x v="683"/>
    <s v="Debit Card"/>
    <s v="Delivered"/>
    <d v="2024-02-23T00:00:00"/>
    <d v="2024-02-24T00:00:00"/>
    <x v="0"/>
    <x v="0"/>
    <x v="0"/>
    <x v="4"/>
    <s v="Diwali Blast"/>
    <x v="4"/>
  </r>
  <r>
    <x v="687"/>
    <x v="686"/>
    <x v="74"/>
    <x v="1"/>
    <x v="18"/>
    <x v="1"/>
    <x v="3"/>
    <x v="10"/>
    <x v="52"/>
    <s v="Yoga Mat Model 2"/>
    <n v="1"/>
    <n v="1465"/>
    <n v="0.05"/>
    <n v="1391.75"/>
    <n v="0.18"/>
    <n v="1391.75"/>
    <n v="250.51499999999999"/>
    <x v="684"/>
    <s v="Debit Card"/>
    <s v="Shipped"/>
    <d v="2024-09-14T00:00:00"/>
    <m/>
    <x v="0"/>
    <x v="0"/>
    <x v="0"/>
    <x v="4"/>
    <s v="Festival Fever"/>
    <x v="1"/>
  </r>
  <r>
    <x v="688"/>
    <x v="687"/>
    <x v="63"/>
    <x v="1"/>
    <x v="1"/>
    <x v="0"/>
    <x v="0"/>
    <x v="1"/>
    <x v="38"/>
    <s v="Cookware Model 1"/>
    <n v="1"/>
    <n v="6730"/>
    <n v="0"/>
    <n v="6730"/>
    <n v="0.12"/>
    <n v="6730"/>
    <n v="807.6"/>
    <x v="685"/>
    <s v="Debit Card"/>
    <s v="In Transit"/>
    <d v="2024-04-05T00:00:00"/>
    <m/>
    <x v="0"/>
    <x v="0"/>
    <x v="0"/>
    <x v="5"/>
    <s v="Summer Splash"/>
    <x v="4"/>
  </r>
  <r>
    <x v="689"/>
    <x v="688"/>
    <x v="176"/>
    <x v="3"/>
    <x v="3"/>
    <x v="0"/>
    <x v="0"/>
    <x v="21"/>
    <x v="37"/>
    <s v="Lamp Model 3"/>
    <n v="3"/>
    <n v="3958"/>
    <n v="0.1"/>
    <n v="3562.2"/>
    <n v="0.18"/>
    <n v="10686.6"/>
    <n v="1923.588"/>
    <x v="686"/>
    <s v="Debit Card"/>
    <s v="Delivered"/>
    <d v="2024-12-05T00:00:00"/>
    <d v="2024-12-07T00:00:00"/>
    <x v="0"/>
    <x v="0"/>
    <x v="0"/>
    <x v="0"/>
    <s v="Festival Fever"/>
    <x v="4"/>
  </r>
  <r>
    <x v="690"/>
    <x v="689"/>
    <x v="77"/>
    <x v="4"/>
    <x v="16"/>
    <x v="1"/>
    <x v="4"/>
    <x v="5"/>
    <x v="53"/>
    <s v="Dress Model 2"/>
    <n v="3"/>
    <n v="1920"/>
    <n v="0"/>
    <n v="1920"/>
    <n v="0.12"/>
    <n v="5760"/>
    <n v="691.19999999999993"/>
    <x v="687"/>
    <s v="COD"/>
    <s v="Delivered"/>
    <d v="2024-10-26T00:00:00"/>
    <d v="2024-10-30T00:00:00"/>
    <x v="0"/>
    <x v="0"/>
    <x v="0"/>
    <x v="7"/>
    <s v="Clearance"/>
    <x v="6"/>
  </r>
  <r>
    <x v="691"/>
    <x v="690"/>
    <x v="59"/>
    <x v="4"/>
    <x v="8"/>
    <x v="0"/>
    <x v="4"/>
    <x v="17"/>
    <x v="25"/>
    <s v="T-Shirt Model 2"/>
    <n v="2"/>
    <n v="2456"/>
    <n v="0"/>
    <n v="2456"/>
    <n v="0.05"/>
    <n v="4912"/>
    <n v="245.6"/>
    <x v="688"/>
    <s v="Credit Card"/>
    <s v="Delivered"/>
    <d v="2024-06-05T00:00:00"/>
    <d v="2024-06-09T00:00:00"/>
    <x v="0"/>
    <x v="0"/>
    <x v="0"/>
    <x v="8"/>
    <s v="Festival Fever"/>
    <x v="1"/>
  </r>
  <r>
    <x v="692"/>
    <x v="691"/>
    <x v="125"/>
    <x v="2"/>
    <x v="4"/>
    <x v="0"/>
    <x v="2"/>
    <x v="23"/>
    <x v="68"/>
    <s v="Smartwatch Model 2"/>
    <n v="4"/>
    <n v="37105"/>
    <n v="0.1"/>
    <n v="33394.5"/>
    <n v="0.18"/>
    <n v="133578"/>
    <n v="24044.04"/>
    <x v="689"/>
    <s v="NetBanking"/>
    <s v="Delivered"/>
    <d v="2024-01-07T00:00:00"/>
    <d v="2024-01-10T00:00:00"/>
    <x v="0"/>
    <x v="0"/>
    <x v="0"/>
    <x v="9"/>
    <s v="Monsoon Mania"/>
    <x v="2"/>
  </r>
  <r>
    <x v="693"/>
    <x v="692"/>
    <x v="68"/>
    <x v="4"/>
    <x v="17"/>
    <x v="1"/>
    <x v="2"/>
    <x v="23"/>
    <x v="47"/>
    <s v="Smartwatch Model 1"/>
    <n v="1"/>
    <n v="56739"/>
    <n v="0"/>
    <n v="56739"/>
    <n v="0.05"/>
    <n v="56739"/>
    <n v="2836.95"/>
    <x v="690"/>
    <s v="Debit Card"/>
    <s v="Delivered"/>
    <d v="2024-12-17T00:00:00"/>
    <d v="2024-12-22T00:00:00"/>
    <x v="0"/>
    <x v="0"/>
    <x v="0"/>
    <x v="5"/>
    <s v="Summer Splash"/>
    <x v="4"/>
  </r>
  <r>
    <x v="694"/>
    <x v="693"/>
    <x v="164"/>
    <x v="3"/>
    <x v="7"/>
    <x v="0"/>
    <x v="4"/>
    <x v="17"/>
    <x v="25"/>
    <s v="T-Shirt Model 2"/>
    <n v="3"/>
    <n v="2964"/>
    <n v="0"/>
    <n v="2964"/>
    <n v="0.18"/>
    <n v="8892"/>
    <n v="1600.56"/>
    <x v="415"/>
    <s v="UPI"/>
    <s v="Delivered"/>
    <d v="2024-08-11T00:00:00"/>
    <d v="2024-08-14T00:00:00"/>
    <x v="0"/>
    <x v="0"/>
    <x v="0"/>
    <x v="2"/>
    <s v="Monsoon Mania"/>
    <x v="5"/>
  </r>
  <r>
    <x v="695"/>
    <x v="694"/>
    <x v="82"/>
    <x v="1"/>
    <x v="1"/>
    <x v="2"/>
    <x v="3"/>
    <x v="7"/>
    <x v="33"/>
    <s v="Dumbbells Model 2"/>
    <n v="1"/>
    <n v="9276"/>
    <n v="0.15"/>
    <n v="7884.5999999999995"/>
    <n v="0.12"/>
    <n v="7884.5999999999995"/>
    <n v="946.15199999999993"/>
    <x v="691"/>
    <s v="UPI"/>
    <s v="Shipped"/>
    <d v="2024-04-21T00:00:00"/>
    <m/>
    <x v="0"/>
    <x v="0"/>
    <x v="0"/>
    <x v="2"/>
    <s v="Diwali Blast"/>
    <x v="2"/>
  </r>
  <r>
    <x v="696"/>
    <x v="695"/>
    <x v="27"/>
    <x v="2"/>
    <x v="6"/>
    <x v="1"/>
    <x v="2"/>
    <x v="3"/>
    <x v="5"/>
    <s v="Smartphone Model 3"/>
    <n v="1"/>
    <n v="48669"/>
    <n v="0.1"/>
    <n v="43802.1"/>
    <n v="0.18"/>
    <n v="43802.1"/>
    <n v="7884.3779999999997"/>
    <x v="692"/>
    <s v="Debit Card"/>
    <s v="Delivered"/>
    <d v="2024-05-28T00:00:00"/>
    <d v="2024-05-31T00:00:00"/>
    <x v="0"/>
    <x v="0"/>
    <x v="0"/>
    <x v="0"/>
    <s v="Monsoon Mania"/>
    <x v="2"/>
  </r>
  <r>
    <x v="697"/>
    <x v="696"/>
    <x v="107"/>
    <x v="1"/>
    <x v="12"/>
    <x v="0"/>
    <x v="1"/>
    <x v="6"/>
    <x v="8"/>
    <s v="Oil Model 1"/>
    <n v="3"/>
    <n v="108"/>
    <n v="0"/>
    <n v="108"/>
    <n v="0.18"/>
    <n v="324"/>
    <n v="58.32"/>
    <x v="693"/>
    <s v="NetBanking"/>
    <s v="In Transit"/>
    <d v="2024-06-23T00:00:00"/>
    <m/>
    <x v="0"/>
    <x v="0"/>
    <x v="0"/>
    <x v="0"/>
    <s v="Clearance"/>
    <x v="0"/>
  </r>
  <r>
    <x v="698"/>
    <x v="697"/>
    <x v="160"/>
    <x v="1"/>
    <x v="5"/>
    <x v="0"/>
    <x v="4"/>
    <x v="9"/>
    <x v="18"/>
    <s v="Hoodie Model 2"/>
    <n v="4"/>
    <n v="2847"/>
    <n v="0"/>
    <n v="2847"/>
    <n v="0.12"/>
    <n v="11388"/>
    <n v="1366.56"/>
    <x v="694"/>
    <s v="Credit Card"/>
    <s v="Delivered"/>
    <d v="2024-11-27T00:00:00"/>
    <d v="2024-12-02T00:00:00"/>
    <x v="0"/>
    <x v="0"/>
    <x v="0"/>
    <x v="9"/>
    <s v="Diwali Blast"/>
    <x v="6"/>
  </r>
  <r>
    <x v="699"/>
    <x v="698"/>
    <x v="133"/>
    <x v="2"/>
    <x v="9"/>
    <x v="0"/>
    <x v="0"/>
    <x v="0"/>
    <x v="1"/>
    <s v="Air Purifier Model 2"/>
    <n v="1"/>
    <n v="5554"/>
    <n v="0"/>
    <n v="5554"/>
    <n v="0.12"/>
    <n v="5554"/>
    <n v="666.48"/>
    <x v="695"/>
    <s v="Credit Card"/>
    <s v="Delivered"/>
    <d v="2024-10-23T00:00:00"/>
    <d v="2024-10-27T00:00:00"/>
    <x v="0"/>
    <x v="0"/>
    <x v="0"/>
    <x v="7"/>
    <s v="Summer Splash"/>
    <x v="3"/>
  </r>
  <r>
    <x v="700"/>
    <x v="699"/>
    <x v="8"/>
    <x v="3"/>
    <x v="7"/>
    <x v="3"/>
    <x v="1"/>
    <x v="2"/>
    <x v="59"/>
    <s v="Snacks Model 2"/>
    <n v="3"/>
    <n v="1038"/>
    <n v="0.05"/>
    <n v="986.09999999999991"/>
    <n v="0.12"/>
    <n v="2958.3"/>
    <n v="354.99599999999998"/>
    <x v="696"/>
    <s v="Debit Card"/>
    <s v="Delivered"/>
    <d v="2024-01-10T00:00:00"/>
    <d v="2024-01-11T00:00:00"/>
    <x v="0"/>
    <x v="0"/>
    <x v="0"/>
    <x v="7"/>
    <s v="Diwali Blast"/>
    <x v="4"/>
  </r>
  <r>
    <x v="701"/>
    <x v="700"/>
    <x v="145"/>
    <x v="4"/>
    <x v="11"/>
    <x v="0"/>
    <x v="0"/>
    <x v="22"/>
    <x v="40"/>
    <s v="Mixer Model 2"/>
    <n v="2"/>
    <n v="10867"/>
    <n v="0"/>
    <n v="10867"/>
    <n v="0.18"/>
    <n v="21734"/>
    <n v="3912.12"/>
    <x v="697"/>
    <s v="UPI"/>
    <s v="Delivered"/>
    <d v="2024-10-21T00:00:00"/>
    <d v="2024-10-23T00:00:00"/>
    <x v="0"/>
    <x v="0"/>
    <x v="0"/>
    <x v="8"/>
    <s v="Festival Fever"/>
    <x v="0"/>
  </r>
  <r>
    <x v="702"/>
    <x v="701"/>
    <x v="159"/>
    <x v="2"/>
    <x v="4"/>
    <x v="1"/>
    <x v="4"/>
    <x v="8"/>
    <x v="43"/>
    <s v="Jacket Model 1"/>
    <n v="1"/>
    <n v="558"/>
    <n v="0.2"/>
    <n v="446.4"/>
    <n v="0.12"/>
    <n v="446.4"/>
    <n v="53.567999999999998"/>
    <x v="657"/>
    <s v="COD"/>
    <s v="Delivered"/>
    <d v="2024-07-31T00:00:00"/>
    <d v="2024-08-01T00:00:00"/>
    <x v="0"/>
    <x v="0"/>
    <x v="0"/>
    <x v="8"/>
    <s v="Summer Splash"/>
    <x v="3"/>
  </r>
  <r>
    <x v="703"/>
    <x v="702"/>
    <x v="142"/>
    <x v="3"/>
    <x v="3"/>
    <x v="0"/>
    <x v="3"/>
    <x v="11"/>
    <x v="49"/>
    <s v="Cricket Bat Model 2"/>
    <n v="1"/>
    <n v="5830"/>
    <n v="0"/>
    <n v="5830"/>
    <n v="0.18"/>
    <n v="5830"/>
    <n v="1049.4000000000001"/>
    <x v="698"/>
    <s v="COD"/>
    <s v="Shipped"/>
    <d v="2024-12-18T00:00:00"/>
    <m/>
    <x v="0"/>
    <x v="0"/>
    <x v="0"/>
    <x v="4"/>
    <s v="New Year Sale"/>
    <x v="6"/>
  </r>
  <r>
    <x v="704"/>
    <x v="703"/>
    <x v="116"/>
    <x v="3"/>
    <x v="7"/>
    <x v="2"/>
    <x v="3"/>
    <x v="7"/>
    <x v="23"/>
    <s v="Dumbbells Model 1"/>
    <n v="3"/>
    <n v="8665"/>
    <n v="0.1"/>
    <n v="7798.5"/>
    <n v="0.12"/>
    <n v="23395.5"/>
    <n v="2807.46"/>
    <x v="699"/>
    <s v="UPI"/>
    <s v="Shipped"/>
    <d v="2024-04-11T00:00:00"/>
    <m/>
    <x v="0"/>
    <x v="0"/>
    <x v="0"/>
    <x v="3"/>
    <s v="Back to School"/>
    <x v="4"/>
  </r>
  <r>
    <x v="705"/>
    <x v="704"/>
    <x v="64"/>
    <x v="2"/>
    <x v="4"/>
    <x v="0"/>
    <x v="0"/>
    <x v="1"/>
    <x v="3"/>
    <s v="Cookware Model 3"/>
    <n v="2"/>
    <n v="11618"/>
    <n v="0"/>
    <n v="11618"/>
    <n v="0.12"/>
    <n v="23236"/>
    <n v="2788.32"/>
    <x v="700"/>
    <s v="Credit Card"/>
    <s v="Cancelled"/>
    <m/>
    <m/>
    <x v="0"/>
    <x v="0"/>
    <x v="0"/>
    <x v="4"/>
    <s v="Diwali Blast"/>
    <x v="5"/>
  </r>
  <r>
    <x v="706"/>
    <x v="705"/>
    <x v="112"/>
    <x v="1"/>
    <x v="18"/>
    <x v="1"/>
    <x v="1"/>
    <x v="6"/>
    <x v="34"/>
    <s v="Oil Model 3"/>
    <n v="1"/>
    <n v="463"/>
    <n v="0.15"/>
    <n v="393.55"/>
    <n v="0.18"/>
    <n v="393.55"/>
    <n v="70.838999999999999"/>
    <x v="701"/>
    <s v="UPI"/>
    <s v="Cancelled"/>
    <m/>
    <m/>
    <x v="0"/>
    <x v="0"/>
    <x v="0"/>
    <x v="9"/>
    <s v="Monsoon Mania"/>
    <x v="5"/>
  </r>
  <r>
    <x v="707"/>
    <x v="706"/>
    <x v="3"/>
    <x v="3"/>
    <x v="3"/>
    <x v="0"/>
    <x v="3"/>
    <x v="10"/>
    <x v="30"/>
    <s v="Yoga Mat Model 3"/>
    <n v="2"/>
    <n v="7638"/>
    <n v="0.1"/>
    <n v="6874.2"/>
    <n v="0.18"/>
    <n v="13748.4"/>
    <n v="2474.712"/>
    <x v="702"/>
    <s v="Credit Card"/>
    <s v="Delivered"/>
    <d v="2024-07-21T00:00:00"/>
    <d v="2024-07-26T00:00:00"/>
    <x v="0"/>
    <x v="0"/>
    <x v="0"/>
    <x v="9"/>
    <s v="Diwali Blast"/>
    <x v="1"/>
  </r>
  <r>
    <x v="708"/>
    <x v="707"/>
    <x v="17"/>
    <x v="1"/>
    <x v="1"/>
    <x v="0"/>
    <x v="4"/>
    <x v="24"/>
    <x v="55"/>
    <s v="Jeans Model 2"/>
    <n v="2"/>
    <n v="2267"/>
    <n v="0"/>
    <n v="2267"/>
    <n v="0.12"/>
    <n v="4534"/>
    <n v="544.07999999999993"/>
    <x v="703"/>
    <s v="UPI"/>
    <s v="Returned"/>
    <d v="2024-09-29T00:00:00"/>
    <m/>
    <x v="1"/>
    <x v="29"/>
    <x v="29"/>
    <x v="6"/>
    <s v="Diwali Blast"/>
    <x v="4"/>
  </r>
  <r>
    <x v="709"/>
    <x v="708"/>
    <x v="175"/>
    <x v="0"/>
    <x v="14"/>
    <x v="0"/>
    <x v="4"/>
    <x v="8"/>
    <x v="10"/>
    <s v="Jacket Model 3"/>
    <n v="1"/>
    <n v="698"/>
    <n v="0.1"/>
    <n v="628.20000000000005"/>
    <n v="0.12"/>
    <n v="628.20000000000005"/>
    <n v="75.384"/>
    <x v="704"/>
    <s v="Credit Card"/>
    <s v="Delivered"/>
    <d v="2025-01-30T00:00:00"/>
    <d v="2025-02-04T00:00:00"/>
    <x v="0"/>
    <x v="0"/>
    <x v="0"/>
    <x v="6"/>
    <s v="Back to School"/>
    <x v="2"/>
  </r>
  <r>
    <x v="710"/>
    <x v="709"/>
    <x v="103"/>
    <x v="1"/>
    <x v="5"/>
    <x v="0"/>
    <x v="0"/>
    <x v="1"/>
    <x v="38"/>
    <s v="Cookware Model 1"/>
    <n v="1"/>
    <n v="5393"/>
    <n v="0.1"/>
    <n v="4853.7"/>
    <n v="0.12"/>
    <n v="4853.7"/>
    <n v="582.44399999999996"/>
    <x v="705"/>
    <s v="Credit Card"/>
    <s v="Delivered"/>
    <d v="2024-09-30T00:00:00"/>
    <d v="2024-10-01T00:00:00"/>
    <x v="0"/>
    <x v="0"/>
    <x v="0"/>
    <x v="3"/>
    <s v="Monsoon Mania"/>
    <x v="4"/>
  </r>
  <r>
    <x v="711"/>
    <x v="710"/>
    <x v="82"/>
    <x v="1"/>
    <x v="1"/>
    <x v="0"/>
    <x v="0"/>
    <x v="22"/>
    <x v="44"/>
    <s v="Mixer Model 3"/>
    <n v="2"/>
    <n v="8956"/>
    <n v="0.05"/>
    <n v="8508.1999999999989"/>
    <n v="0.12"/>
    <n v="17016.400000000001"/>
    <n v="2041.9680000000001"/>
    <x v="706"/>
    <s v="UPI"/>
    <s v="Cancelled"/>
    <m/>
    <m/>
    <x v="0"/>
    <x v="0"/>
    <x v="0"/>
    <x v="6"/>
    <s v="Monsoon Mania"/>
    <x v="3"/>
  </r>
  <r>
    <x v="712"/>
    <x v="711"/>
    <x v="96"/>
    <x v="3"/>
    <x v="3"/>
    <x v="2"/>
    <x v="2"/>
    <x v="23"/>
    <x v="45"/>
    <s v="Smartwatch Model 3"/>
    <n v="1"/>
    <n v="42776"/>
    <n v="0"/>
    <n v="42776"/>
    <n v="0.18"/>
    <n v="42776"/>
    <n v="7699.6799999999994"/>
    <x v="707"/>
    <s v="COD"/>
    <s v="Delivered"/>
    <d v="2025-04-15T00:00:00"/>
    <d v="2025-04-16T00:00:00"/>
    <x v="0"/>
    <x v="0"/>
    <x v="0"/>
    <x v="1"/>
    <s v="Diwali Blast"/>
    <x v="6"/>
  </r>
  <r>
    <x v="713"/>
    <x v="712"/>
    <x v="25"/>
    <x v="2"/>
    <x v="6"/>
    <x v="0"/>
    <x v="3"/>
    <x v="7"/>
    <x v="33"/>
    <s v="Dumbbells Model 2"/>
    <n v="1"/>
    <n v="9181"/>
    <n v="0"/>
    <n v="9181"/>
    <n v="0.18"/>
    <n v="9181"/>
    <n v="1652.58"/>
    <x v="708"/>
    <s v="UPI"/>
    <s v="Delivered"/>
    <d v="2024-07-28T00:00:00"/>
    <d v="2024-07-30T00:00:00"/>
    <x v="0"/>
    <x v="0"/>
    <x v="0"/>
    <x v="1"/>
    <s v="Festival Fever"/>
    <x v="3"/>
  </r>
  <r>
    <x v="714"/>
    <x v="713"/>
    <x v="72"/>
    <x v="4"/>
    <x v="11"/>
    <x v="1"/>
    <x v="3"/>
    <x v="10"/>
    <x v="30"/>
    <s v="Yoga Mat Model 3"/>
    <n v="2"/>
    <n v="1509"/>
    <n v="0"/>
    <n v="1509"/>
    <n v="0.05"/>
    <n v="3018"/>
    <n v="150.9"/>
    <x v="709"/>
    <s v="Debit Card"/>
    <s v="Returned"/>
    <d v="2024-05-05T00:00:00"/>
    <m/>
    <x v="1"/>
    <x v="30"/>
    <x v="30"/>
    <x v="0"/>
    <s v="Summer Splash"/>
    <x v="6"/>
  </r>
  <r>
    <x v="715"/>
    <x v="714"/>
    <x v="42"/>
    <x v="3"/>
    <x v="10"/>
    <x v="0"/>
    <x v="3"/>
    <x v="16"/>
    <x v="48"/>
    <s v="Football Model 2"/>
    <n v="1"/>
    <n v="6887"/>
    <n v="0"/>
    <n v="6887"/>
    <n v="0.12"/>
    <n v="6887"/>
    <n v="826.43999999999994"/>
    <x v="710"/>
    <s v="Credit Card"/>
    <s v="Delivered"/>
    <d v="2024-02-11T00:00:00"/>
    <d v="2024-02-16T00:00:00"/>
    <x v="0"/>
    <x v="0"/>
    <x v="0"/>
    <x v="9"/>
    <s v="Back to School"/>
    <x v="5"/>
  </r>
  <r>
    <x v="716"/>
    <x v="715"/>
    <x v="100"/>
    <x v="2"/>
    <x v="6"/>
    <x v="0"/>
    <x v="3"/>
    <x v="16"/>
    <x v="70"/>
    <s v="Football Model 3"/>
    <n v="2"/>
    <n v="5996"/>
    <n v="0.05"/>
    <n v="5696.2"/>
    <n v="0.12"/>
    <n v="11392.4"/>
    <n v="1367.088"/>
    <x v="419"/>
    <s v="UPI"/>
    <s v="Delivered"/>
    <d v="2024-10-23T00:00:00"/>
    <d v="2024-10-27T00:00:00"/>
    <x v="0"/>
    <x v="0"/>
    <x v="0"/>
    <x v="3"/>
    <s v="New Year Sale"/>
    <x v="5"/>
  </r>
  <r>
    <x v="717"/>
    <x v="716"/>
    <x v="101"/>
    <x v="4"/>
    <x v="11"/>
    <x v="1"/>
    <x v="4"/>
    <x v="17"/>
    <x v="25"/>
    <s v="T-Shirt Model 2"/>
    <n v="1"/>
    <n v="2745"/>
    <n v="0.2"/>
    <n v="2196"/>
    <n v="0.18"/>
    <n v="2196"/>
    <n v="395.28"/>
    <x v="711"/>
    <s v="UPI"/>
    <s v="Delivered"/>
    <d v="2024-10-02T00:00:00"/>
    <d v="2024-10-04T00:00:00"/>
    <x v="0"/>
    <x v="0"/>
    <x v="0"/>
    <x v="6"/>
    <s v="Festival Fever"/>
    <x v="3"/>
  </r>
  <r>
    <x v="718"/>
    <x v="717"/>
    <x v="107"/>
    <x v="1"/>
    <x v="12"/>
    <x v="0"/>
    <x v="2"/>
    <x v="13"/>
    <x v="41"/>
    <s v="Laptop Model 3"/>
    <n v="2"/>
    <n v="35660"/>
    <n v="0"/>
    <n v="35660"/>
    <n v="0.12"/>
    <n v="71320"/>
    <n v="8558.4"/>
    <x v="712"/>
    <s v="COD"/>
    <s v="Delivered"/>
    <d v="2024-05-06T00:00:00"/>
    <d v="2024-05-10T00:00:00"/>
    <x v="0"/>
    <x v="0"/>
    <x v="0"/>
    <x v="1"/>
    <s v="Festival Fever"/>
    <x v="1"/>
  </r>
  <r>
    <x v="719"/>
    <x v="718"/>
    <x v="139"/>
    <x v="2"/>
    <x v="9"/>
    <x v="0"/>
    <x v="3"/>
    <x v="16"/>
    <x v="48"/>
    <s v="Football Model 2"/>
    <n v="2"/>
    <n v="7108"/>
    <n v="0.1"/>
    <n v="6397.2"/>
    <n v="0.12"/>
    <n v="12794.4"/>
    <n v="1535.328"/>
    <x v="713"/>
    <s v="NetBanking"/>
    <s v="Delivered"/>
    <d v="2025-03-25T00:00:00"/>
    <d v="2025-03-27T00:00:00"/>
    <x v="0"/>
    <x v="0"/>
    <x v="0"/>
    <x v="1"/>
    <s v="New Year Sale"/>
    <x v="0"/>
  </r>
  <r>
    <x v="720"/>
    <x v="719"/>
    <x v="104"/>
    <x v="0"/>
    <x v="13"/>
    <x v="0"/>
    <x v="0"/>
    <x v="21"/>
    <x v="63"/>
    <s v="Lamp Model 1"/>
    <n v="1"/>
    <n v="4631"/>
    <n v="0"/>
    <n v="4631"/>
    <n v="0.05"/>
    <n v="4631"/>
    <n v="231.55"/>
    <x v="714"/>
    <s v="NetBanking"/>
    <s v="Delivered"/>
    <d v="2024-12-01T00:00:00"/>
    <d v="2024-12-02T00:00:00"/>
    <x v="0"/>
    <x v="0"/>
    <x v="0"/>
    <x v="9"/>
    <s v="Festival Fever"/>
    <x v="0"/>
  </r>
  <r>
    <x v="721"/>
    <x v="720"/>
    <x v="135"/>
    <x v="3"/>
    <x v="3"/>
    <x v="1"/>
    <x v="2"/>
    <x v="13"/>
    <x v="50"/>
    <s v="Laptop Model 2"/>
    <n v="1"/>
    <n v="28248"/>
    <n v="0"/>
    <n v="28248"/>
    <n v="0.18"/>
    <n v="28248"/>
    <n v="5084.6399999999994"/>
    <x v="715"/>
    <s v="NetBanking"/>
    <s v="Delivered"/>
    <d v="2025-01-25T00:00:00"/>
    <d v="2025-01-29T00:00:00"/>
    <x v="0"/>
    <x v="0"/>
    <x v="0"/>
    <x v="5"/>
    <s v="Clearance"/>
    <x v="5"/>
  </r>
  <r>
    <x v="722"/>
    <x v="721"/>
    <x v="126"/>
    <x v="3"/>
    <x v="15"/>
    <x v="2"/>
    <x v="2"/>
    <x v="13"/>
    <x v="16"/>
    <s v="Laptop Model 1"/>
    <n v="4"/>
    <n v="22602"/>
    <n v="0.05"/>
    <n v="21471.9"/>
    <n v="0.12"/>
    <n v="85887.599999999991"/>
    <n v="10306.512000000001"/>
    <x v="716"/>
    <s v="Credit Card"/>
    <s v="Delivered"/>
    <d v="2024-02-17T00:00:00"/>
    <d v="2024-02-19T00:00:00"/>
    <x v="0"/>
    <x v="0"/>
    <x v="0"/>
    <x v="3"/>
    <s v="Festival Fever"/>
    <x v="2"/>
  </r>
  <r>
    <x v="723"/>
    <x v="722"/>
    <x v="15"/>
    <x v="1"/>
    <x v="1"/>
    <x v="3"/>
    <x v="1"/>
    <x v="6"/>
    <x v="8"/>
    <s v="Oil Model 1"/>
    <n v="3"/>
    <n v="342"/>
    <n v="0.1"/>
    <n v="307.8"/>
    <n v="0.12"/>
    <n v="923.40000000000009"/>
    <n v="110.80800000000001"/>
    <x v="717"/>
    <s v="Credit Card"/>
    <s v="Delivered"/>
    <d v="2024-02-03T00:00:00"/>
    <d v="2024-02-05T00:00:00"/>
    <x v="0"/>
    <x v="0"/>
    <x v="0"/>
    <x v="5"/>
    <s v="Clearance"/>
    <x v="6"/>
  </r>
  <r>
    <x v="724"/>
    <x v="723"/>
    <x v="11"/>
    <x v="2"/>
    <x v="9"/>
    <x v="0"/>
    <x v="3"/>
    <x v="4"/>
    <x v="20"/>
    <s v="Tennis Racket Model 1"/>
    <n v="2"/>
    <n v="3930"/>
    <n v="0.05"/>
    <n v="3733.5"/>
    <n v="0.18"/>
    <n v="7467"/>
    <n v="1344.06"/>
    <x v="718"/>
    <s v="Credit Card"/>
    <s v="Delivered"/>
    <d v="2024-06-12T00:00:00"/>
    <d v="2024-06-16T00:00:00"/>
    <x v="0"/>
    <x v="0"/>
    <x v="0"/>
    <x v="9"/>
    <s v="Monsoon Mania"/>
    <x v="4"/>
  </r>
  <r>
    <x v="725"/>
    <x v="724"/>
    <x v="47"/>
    <x v="2"/>
    <x v="6"/>
    <x v="0"/>
    <x v="3"/>
    <x v="4"/>
    <x v="6"/>
    <s v="Tennis Racket Model 3"/>
    <n v="2"/>
    <n v="6017"/>
    <n v="0.15"/>
    <n v="5114.45"/>
    <n v="0.12"/>
    <n v="10228.9"/>
    <n v="1227.4680000000001"/>
    <x v="719"/>
    <s v="UPI"/>
    <s v="In Transit"/>
    <d v="2024-10-23T00:00:00"/>
    <m/>
    <x v="0"/>
    <x v="0"/>
    <x v="0"/>
    <x v="5"/>
    <s v="Back to School"/>
    <x v="3"/>
  </r>
  <r>
    <x v="726"/>
    <x v="725"/>
    <x v="11"/>
    <x v="2"/>
    <x v="9"/>
    <x v="1"/>
    <x v="2"/>
    <x v="13"/>
    <x v="16"/>
    <s v="Laptop Model 1"/>
    <n v="2"/>
    <n v="23397"/>
    <n v="0"/>
    <n v="23397"/>
    <n v="0.12"/>
    <n v="46794"/>
    <n v="5615.28"/>
    <x v="720"/>
    <s v="COD"/>
    <s v="Delivered"/>
    <d v="2024-12-27T00:00:00"/>
    <d v="2024-12-31T00:00:00"/>
    <x v="0"/>
    <x v="0"/>
    <x v="0"/>
    <x v="4"/>
    <s v="Festival Fever"/>
    <x v="4"/>
  </r>
  <r>
    <x v="727"/>
    <x v="726"/>
    <x v="122"/>
    <x v="2"/>
    <x v="4"/>
    <x v="2"/>
    <x v="0"/>
    <x v="22"/>
    <x v="44"/>
    <s v="Mixer Model 3"/>
    <n v="1"/>
    <n v="6978"/>
    <n v="0.1"/>
    <n v="6280.2"/>
    <n v="0.12"/>
    <n v="6280.2"/>
    <n v="753.62399999999991"/>
    <x v="721"/>
    <s v="COD"/>
    <s v="Delivered"/>
    <d v="2024-06-06T00:00:00"/>
    <d v="2024-06-10T00:00:00"/>
    <x v="0"/>
    <x v="0"/>
    <x v="0"/>
    <x v="5"/>
    <s v="Festival Fever"/>
    <x v="1"/>
  </r>
  <r>
    <x v="728"/>
    <x v="727"/>
    <x v="60"/>
    <x v="1"/>
    <x v="18"/>
    <x v="1"/>
    <x v="2"/>
    <x v="13"/>
    <x v="50"/>
    <s v="Laptop Model 2"/>
    <n v="3"/>
    <n v="45818"/>
    <n v="0"/>
    <n v="45818"/>
    <n v="0.12"/>
    <n v="137454"/>
    <n v="16494.48"/>
    <x v="722"/>
    <s v="UPI"/>
    <s v="Delivered"/>
    <d v="2024-11-27T00:00:00"/>
    <d v="2024-12-02T00:00:00"/>
    <x v="0"/>
    <x v="0"/>
    <x v="0"/>
    <x v="7"/>
    <s v="Festival Fever"/>
    <x v="2"/>
  </r>
  <r>
    <x v="729"/>
    <x v="728"/>
    <x v="54"/>
    <x v="2"/>
    <x v="9"/>
    <x v="0"/>
    <x v="1"/>
    <x v="18"/>
    <x v="26"/>
    <s v="Beverage Model 2"/>
    <n v="2"/>
    <n v="1022"/>
    <n v="0"/>
    <n v="1022"/>
    <n v="0.12"/>
    <n v="2044"/>
    <n v="245.28"/>
    <x v="219"/>
    <s v="UPI"/>
    <s v="In Transit"/>
    <d v="2025-01-09T00:00:00"/>
    <m/>
    <x v="0"/>
    <x v="0"/>
    <x v="0"/>
    <x v="0"/>
    <s v="Back to School"/>
    <x v="1"/>
  </r>
  <r>
    <x v="730"/>
    <x v="729"/>
    <x v="170"/>
    <x v="1"/>
    <x v="1"/>
    <x v="0"/>
    <x v="3"/>
    <x v="10"/>
    <x v="52"/>
    <s v="Yoga Mat Model 2"/>
    <n v="1"/>
    <n v="4784"/>
    <n v="0.15"/>
    <n v="4066.4"/>
    <n v="0.18"/>
    <n v="4066.4"/>
    <n v="731.952"/>
    <x v="723"/>
    <s v="Credit Card"/>
    <s v="Delivered"/>
    <d v="2024-01-07T00:00:00"/>
    <d v="2024-01-10T00:00:00"/>
    <x v="0"/>
    <x v="0"/>
    <x v="0"/>
    <x v="5"/>
    <s v="Diwali Blast"/>
    <x v="5"/>
  </r>
  <r>
    <x v="731"/>
    <x v="730"/>
    <x v="41"/>
    <x v="4"/>
    <x v="11"/>
    <x v="0"/>
    <x v="1"/>
    <x v="2"/>
    <x v="62"/>
    <s v="Snacks Model 3"/>
    <n v="3"/>
    <n v="896"/>
    <n v="0.1"/>
    <n v="806.4"/>
    <n v="0.18"/>
    <n v="2419.1999999999998"/>
    <n v="435.45600000000002"/>
    <x v="724"/>
    <s v="UPI"/>
    <s v="Delivered"/>
    <d v="2024-04-24T00:00:00"/>
    <d v="2024-04-26T00:00:00"/>
    <x v="0"/>
    <x v="0"/>
    <x v="0"/>
    <x v="9"/>
    <s v="Diwali Blast"/>
    <x v="6"/>
  </r>
  <r>
    <x v="732"/>
    <x v="731"/>
    <x v="102"/>
    <x v="0"/>
    <x v="13"/>
    <x v="3"/>
    <x v="2"/>
    <x v="23"/>
    <x v="47"/>
    <s v="Smartwatch Model 1"/>
    <n v="4"/>
    <n v="5995"/>
    <n v="0"/>
    <n v="5995"/>
    <n v="0.12"/>
    <n v="23980"/>
    <n v="2877.6"/>
    <x v="725"/>
    <s v="Debit Card"/>
    <s v="Delivered"/>
    <d v="2024-05-24T00:00:00"/>
    <d v="2024-05-25T00:00:00"/>
    <x v="0"/>
    <x v="0"/>
    <x v="0"/>
    <x v="3"/>
    <s v="Diwali Blast"/>
    <x v="5"/>
  </r>
  <r>
    <x v="733"/>
    <x v="732"/>
    <x v="103"/>
    <x v="1"/>
    <x v="5"/>
    <x v="0"/>
    <x v="2"/>
    <x v="13"/>
    <x v="50"/>
    <s v="Laptop Model 2"/>
    <n v="2"/>
    <n v="52239"/>
    <n v="0"/>
    <n v="52239"/>
    <n v="0.12"/>
    <n v="104478"/>
    <n v="12537.36"/>
    <x v="726"/>
    <s v="Debit Card"/>
    <s v="Returned"/>
    <d v="2024-04-29T00:00:00"/>
    <m/>
    <x v="1"/>
    <x v="31"/>
    <x v="31"/>
    <x v="4"/>
    <s v="Back to School"/>
    <x v="1"/>
  </r>
  <r>
    <x v="734"/>
    <x v="733"/>
    <x v="35"/>
    <x v="4"/>
    <x v="16"/>
    <x v="0"/>
    <x v="2"/>
    <x v="12"/>
    <x v="61"/>
    <s v="Headphones Model 3"/>
    <n v="1"/>
    <n v="34243"/>
    <n v="0"/>
    <n v="34243"/>
    <n v="0.18"/>
    <n v="34243"/>
    <n v="6163.74"/>
    <x v="727"/>
    <s v="UPI"/>
    <s v="Delivered"/>
    <d v="2025-03-22T00:00:00"/>
    <d v="2025-03-27T00:00:00"/>
    <x v="0"/>
    <x v="0"/>
    <x v="0"/>
    <x v="3"/>
    <s v="Festival Fever"/>
    <x v="4"/>
  </r>
  <r>
    <x v="735"/>
    <x v="734"/>
    <x v="80"/>
    <x v="2"/>
    <x v="2"/>
    <x v="3"/>
    <x v="0"/>
    <x v="14"/>
    <x v="17"/>
    <s v="Vacuum Model 3"/>
    <n v="1"/>
    <n v="14152"/>
    <n v="0"/>
    <n v="14152"/>
    <n v="0.12"/>
    <n v="14152"/>
    <n v="1698.24"/>
    <x v="728"/>
    <s v="COD"/>
    <s v="Shipped"/>
    <d v="2024-06-09T00:00:00"/>
    <m/>
    <x v="0"/>
    <x v="0"/>
    <x v="0"/>
    <x v="7"/>
    <s v="Monsoon Mania"/>
    <x v="6"/>
  </r>
  <r>
    <x v="736"/>
    <x v="735"/>
    <x v="72"/>
    <x v="4"/>
    <x v="11"/>
    <x v="3"/>
    <x v="4"/>
    <x v="9"/>
    <x v="11"/>
    <s v="Hoodie Model 3"/>
    <n v="3"/>
    <n v="734"/>
    <n v="0"/>
    <n v="734"/>
    <n v="0.05"/>
    <n v="2202"/>
    <n v="110.1"/>
    <x v="729"/>
    <s v="Credit Card"/>
    <s v="Delivered"/>
    <d v="2025-01-14T00:00:00"/>
    <d v="2025-01-19T00:00:00"/>
    <x v="0"/>
    <x v="0"/>
    <x v="0"/>
    <x v="7"/>
    <s v="Back to School"/>
    <x v="2"/>
  </r>
  <r>
    <x v="737"/>
    <x v="736"/>
    <x v="132"/>
    <x v="3"/>
    <x v="15"/>
    <x v="2"/>
    <x v="0"/>
    <x v="22"/>
    <x v="44"/>
    <s v="Mixer Model 3"/>
    <n v="1"/>
    <n v="3290"/>
    <n v="0.1"/>
    <n v="2961"/>
    <n v="0.12"/>
    <n v="2961"/>
    <n v="355.32"/>
    <x v="730"/>
    <s v="COD"/>
    <s v="Delivered"/>
    <d v="2024-02-26T00:00:00"/>
    <d v="2024-03-02T00:00:00"/>
    <x v="0"/>
    <x v="0"/>
    <x v="0"/>
    <x v="5"/>
    <s v="Diwali Blast"/>
    <x v="2"/>
  </r>
  <r>
    <x v="738"/>
    <x v="737"/>
    <x v="162"/>
    <x v="3"/>
    <x v="10"/>
    <x v="1"/>
    <x v="2"/>
    <x v="13"/>
    <x v="50"/>
    <s v="Laptop Model 2"/>
    <n v="1"/>
    <n v="24991"/>
    <n v="0.1"/>
    <n v="22491.9"/>
    <n v="0.12"/>
    <n v="22491.9"/>
    <n v="2699.0279999999998"/>
    <x v="731"/>
    <s v="UPI"/>
    <s v="Delivered"/>
    <d v="2025-02-20T00:00:00"/>
    <d v="2025-02-21T00:00:00"/>
    <x v="0"/>
    <x v="0"/>
    <x v="0"/>
    <x v="4"/>
    <s v="Festival Fever"/>
    <x v="3"/>
  </r>
  <r>
    <x v="739"/>
    <x v="738"/>
    <x v="41"/>
    <x v="4"/>
    <x v="11"/>
    <x v="0"/>
    <x v="3"/>
    <x v="7"/>
    <x v="33"/>
    <s v="Dumbbells Model 2"/>
    <n v="4"/>
    <n v="6961"/>
    <n v="0.15"/>
    <n v="5916.8499999999995"/>
    <n v="0.12"/>
    <n v="23667.4"/>
    <n v="2840.0880000000002"/>
    <x v="732"/>
    <s v="UPI"/>
    <s v="Delivered"/>
    <d v="2024-08-04T00:00:00"/>
    <d v="2024-08-07T00:00:00"/>
    <x v="0"/>
    <x v="0"/>
    <x v="0"/>
    <x v="8"/>
    <s v="Summer Splash"/>
    <x v="3"/>
  </r>
  <r>
    <x v="740"/>
    <x v="739"/>
    <x v="169"/>
    <x v="4"/>
    <x v="17"/>
    <x v="0"/>
    <x v="4"/>
    <x v="17"/>
    <x v="32"/>
    <s v="T-Shirt Model 3"/>
    <n v="3"/>
    <n v="1488"/>
    <n v="0.05"/>
    <n v="1413.6"/>
    <n v="0.12"/>
    <n v="4240.7999999999993"/>
    <n v="508.8959999999999"/>
    <x v="733"/>
    <s v="UPI"/>
    <s v="Delivered"/>
    <d v="2025-04-13T00:00:00"/>
    <d v="2025-04-15T00:00:00"/>
    <x v="0"/>
    <x v="0"/>
    <x v="0"/>
    <x v="1"/>
    <s v="Festival Fever"/>
    <x v="2"/>
  </r>
  <r>
    <x v="741"/>
    <x v="740"/>
    <x v="67"/>
    <x v="3"/>
    <x v="3"/>
    <x v="0"/>
    <x v="3"/>
    <x v="11"/>
    <x v="24"/>
    <s v="Cricket Bat Model 3"/>
    <n v="1"/>
    <n v="3876"/>
    <n v="0.1"/>
    <n v="3488.4"/>
    <n v="0.05"/>
    <n v="3488.4"/>
    <n v="174.42"/>
    <x v="734"/>
    <s v="Credit Card"/>
    <s v="Delivered"/>
    <d v="2024-03-16T00:00:00"/>
    <d v="2024-03-21T00:00:00"/>
    <x v="0"/>
    <x v="0"/>
    <x v="0"/>
    <x v="4"/>
    <s v="New Year Sale"/>
    <x v="2"/>
  </r>
  <r>
    <x v="742"/>
    <x v="741"/>
    <x v="139"/>
    <x v="2"/>
    <x v="9"/>
    <x v="2"/>
    <x v="0"/>
    <x v="14"/>
    <x v="31"/>
    <s v="Vacuum Model 2"/>
    <n v="2"/>
    <n v="5357"/>
    <n v="0"/>
    <n v="5357"/>
    <n v="0.12"/>
    <n v="10714"/>
    <n v="1285.68"/>
    <x v="735"/>
    <s v="UPI"/>
    <s v="Delivered"/>
    <d v="2024-11-19T00:00:00"/>
    <d v="2024-11-21T00:00:00"/>
    <x v="0"/>
    <x v="0"/>
    <x v="0"/>
    <x v="2"/>
    <s v="Festival Fever"/>
    <x v="5"/>
  </r>
  <r>
    <x v="743"/>
    <x v="742"/>
    <x v="22"/>
    <x v="0"/>
    <x v="13"/>
    <x v="1"/>
    <x v="3"/>
    <x v="7"/>
    <x v="9"/>
    <s v="Dumbbells Model 3"/>
    <n v="2"/>
    <n v="9335"/>
    <n v="0.15"/>
    <n v="7934.75"/>
    <n v="0.12"/>
    <n v="15869.5"/>
    <n v="1904.34"/>
    <x v="736"/>
    <s v="Debit Card"/>
    <s v="Delivered"/>
    <d v="2024-09-29T00:00:00"/>
    <d v="2024-10-04T00:00:00"/>
    <x v="0"/>
    <x v="0"/>
    <x v="0"/>
    <x v="8"/>
    <s v="Clearance"/>
    <x v="1"/>
  </r>
  <r>
    <x v="744"/>
    <x v="743"/>
    <x v="103"/>
    <x v="1"/>
    <x v="5"/>
    <x v="0"/>
    <x v="1"/>
    <x v="6"/>
    <x v="28"/>
    <s v="Oil Model 2"/>
    <n v="3"/>
    <n v="888"/>
    <n v="0"/>
    <n v="888"/>
    <n v="0.12"/>
    <n v="2664"/>
    <n v="319.68"/>
    <x v="737"/>
    <s v="COD"/>
    <s v="Delivered"/>
    <d v="2024-08-09T00:00:00"/>
    <d v="2024-08-10T00:00:00"/>
    <x v="0"/>
    <x v="0"/>
    <x v="0"/>
    <x v="1"/>
    <s v="Monsoon Mania"/>
    <x v="4"/>
  </r>
  <r>
    <x v="745"/>
    <x v="744"/>
    <x v="169"/>
    <x v="4"/>
    <x v="17"/>
    <x v="3"/>
    <x v="1"/>
    <x v="15"/>
    <x v="58"/>
    <s v="Rice Model 2"/>
    <n v="1"/>
    <n v="858"/>
    <n v="0"/>
    <n v="858"/>
    <n v="0.18"/>
    <n v="858"/>
    <n v="154.44"/>
    <x v="738"/>
    <s v="UPI"/>
    <s v="In Transit"/>
    <d v="2025-02-04T00:00:00"/>
    <m/>
    <x v="0"/>
    <x v="0"/>
    <x v="0"/>
    <x v="0"/>
    <s v="New Year Sale"/>
    <x v="0"/>
  </r>
  <r>
    <x v="746"/>
    <x v="745"/>
    <x v="90"/>
    <x v="2"/>
    <x v="9"/>
    <x v="1"/>
    <x v="1"/>
    <x v="20"/>
    <x v="36"/>
    <s v="Pulses Model 3"/>
    <n v="4"/>
    <n v="1101"/>
    <n v="0"/>
    <n v="1101"/>
    <n v="0.12"/>
    <n v="4404"/>
    <n v="528.48"/>
    <x v="739"/>
    <s v="UPI"/>
    <s v="Delivered"/>
    <d v="2025-04-09T00:00:00"/>
    <d v="2025-04-11T00:00:00"/>
    <x v="0"/>
    <x v="0"/>
    <x v="0"/>
    <x v="0"/>
    <s v="New Year Sale"/>
    <x v="6"/>
  </r>
  <r>
    <x v="747"/>
    <x v="746"/>
    <x v="7"/>
    <x v="2"/>
    <x v="6"/>
    <x v="0"/>
    <x v="2"/>
    <x v="23"/>
    <x v="47"/>
    <s v="Smartwatch Model 1"/>
    <n v="2"/>
    <n v="42660"/>
    <n v="0.2"/>
    <n v="34128"/>
    <n v="0.05"/>
    <n v="68256"/>
    <n v="3412.8"/>
    <x v="740"/>
    <s v="COD"/>
    <s v="Delivered"/>
    <d v="2024-10-25T00:00:00"/>
    <d v="2024-10-29T00:00:00"/>
    <x v="0"/>
    <x v="0"/>
    <x v="0"/>
    <x v="4"/>
    <s v="Back to School"/>
    <x v="1"/>
  </r>
  <r>
    <x v="748"/>
    <x v="747"/>
    <x v="94"/>
    <x v="3"/>
    <x v="15"/>
    <x v="1"/>
    <x v="4"/>
    <x v="8"/>
    <x v="72"/>
    <s v="Jacket Model 2"/>
    <n v="3"/>
    <n v="809"/>
    <n v="0.1"/>
    <n v="728.1"/>
    <n v="0.18"/>
    <n v="2184.3000000000002"/>
    <n v="393.17399999999998"/>
    <x v="741"/>
    <s v="COD"/>
    <s v="Delivered"/>
    <d v="2024-05-04T00:00:00"/>
    <d v="2024-05-07T00:00:00"/>
    <x v="0"/>
    <x v="0"/>
    <x v="0"/>
    <x v="3"/>
    <s v="Monsoon Mania"/>
    <x v="2"/>
  </r>
  <r>
    <x v="749"/>
    <x v="748"/>
    <x v="176"/>
    <x v="3"/>
    <x v="3"/>
    <x v="0"/>
    <x v="2"/>
    <x v="13"/>
    <x v="41"/>
    <s v="Laptop Model 3"/>
    <n v="1"/>
    <n v="7386"/>
    <n v="0.05"/>
    <n v="7016.7"/>
    <n v="0.05"/>
    <n v="7016.7"/>
    <n v="350.83499999999998"/>
    <x v="742"/>
    <s v="UPI"/>
    <s v="In Transit"/>
    <d v="2025-01-02T00:00:00"/>
    <m/>
    <x v="0"/>
    <x v="0"/>
    <x v="0"/>
    <x v="9"/>
    <s v="Diwali Blast"/>
    <x v="0"/>
  </r>
  <r>
    <x v="750"/>
    <x v="749"/>
    <x v="114"/>
    <x v="1"/>
    <x v="18"/>
    <x v="0"/>
    <x v="4"/>
    <x v="8"/>
    <x v="72"/>
    <s v="Jacket Model 2"/>
    <n v="2"/>
    <n v="2301"/>
    <n v="0.05"/>
    <n v="2185.9499999999998"/>
    <n v="0.18"/>
    <n v="4371.8999999999996"/>
    <n v="786.94199999999989"/>
    <x v="743"/>
    <s v="UPI"/>
    <s v="In Transit"/>
    <d v="2024-07-23T00:00:00"/>
    <m/>
    <x v="0"/>
    <x v="0"/>
    <x v="0"/>
    <x v="2"/>
    <s v="Back to School"/>
    <x v="2"/>
  </r>
  <r>
    <x v="751"/>
    <x v="750"/>
    <x v="135"/>
    <x v="3"/>
    <x v="3"/>
    <x v="1"/>
    <x v="0"/>
    <x v="1"/>
    <x v="3"/>
    <s v="Cookware Model 3"/>
    <n v="1"/>
    <n v="10493"/>
    <n v="0"/>
    <n v="10493"/>
    <n v="0.05"/>
    <n v="10493"/>
    <n v="524.65"/>
    <x v="744"/>
    <s v="Debit Card"/>
    <s v="Delivered"/>
    <d v="2024-04-02T00:00:00"/>
    <d v="2024-04-06T00:00:00"/>
    <x v="0"/>
    <x v="0"/>
    <x v="0"/>
    <x v="1"/>
    <s v="Back to School"/>
    <x v="2"/>
  </r>
  <r>
    <x v="752"/>
    <x v="751"/>
    <x v="138"/>
    <x v="1"/>
    <x v="18"/>
    <x v="1"/>
    <x v="2"/>
    <x v="23"/>
    <x v="47"/>
    <s v="Smartwatch Model 1"/>
    <n v="1"/>
    <n v="30455"/>
    <n v="0"/>
    <n v="30455"/>
    <n v="0.05"/>
    <n v="30455"/>
    <n v="1522.75"/>
    <x v="745"/>
    <s v="COD"/>
    <s v="Delivered"/>
    <d v="2025-02-03T00:00:00"/>
    <d v="2025-02-06T00:00:00"/>
    <x v="0"/>
    <x v="0"/>
    <x v="0"/>
    <x v="4"/>
    <s v="Festival Fever"/>
    <x v="3"/>
  </r>
  <r>
    <x v="753"/>
    <x v="752"/>
    <x v="132"/>
    <x v="3"/>
    <x v="15"/>
    <x v="0"/>
    <x v="0"/>
    <x v="21"/>
    <x v="37"/>
    <s v="Lamp Model 3"/>
    <n v="3"/>
    <n v="8073"/>
    <n v="0"/>
    <n v="8073"/>
    <n v="0.18"/>
    <n v="24219"/>
    <n v="4359.42"/>
    <x v="746"/>
    <s v="Credit Card"/>
    <s v="Delivered"/>
    <d v="2024-02-19T00:00:00"/>
    <d v="2024-02-24T00:00:00"/>
    <x v="0"/>
    <x v="0"/>
    <x v="0"/>
    <x v="5"/>
    <s v="Summer Splash"/>
    <x v="2"/>
  </r>
  <r>
    <x v="754"/>
    <x v="753"/>
    <x v="166"/>
    <x v="4"/>
    <x v="16"/>
    <x v="1"/>
    <x v="1"/>
    <x v="15"/>
    <x v="58"/>
    <s v="Rice Model 2"/>
    <n v="1"/>
    <n v="1140"/>
    <n v="0.15"/>
    <n v="969"/>
    <n v="0.12"/>
    <n v="969"/>
    <n v="116.28"/>
    <x v="747"/>
    <s v="UPI"/>
    <s v="Delivered"/>
    <d v="2024-06-03T00:00:00"/>
    <d v="2024-06-07T00:00:00"/>
    <x v="0"/>
    <x v="0"/>
    <x v="0"/>
    <x v="4"/>
    <s v="Diwali Blast"/>
    <x v="2"/>
  </r>
  <r>
    <x v="755"/>
    <x v="754"/>
    <x v="139"/>
    <x v="2"/>
    <x v="9"/>
    <x v="0"/>
    <x v="1"/>
    <x v="2"/>
    <x v="4"/>
    <s v="Snacks Model 1"/>
    <n v="1"/>
    <n v="668"/>
    <n v="0.2"/>
    <n v="534.4"/>
    <n v="0.12"/>
    <n v="534.4"/>
    <n v="64.128"/>
    <x v="748"/>
    <s v="UPI"/>
    <s v="Delivered"/>
    <d v="2024-07-10T00:00:00"/>
    <d v="2024-07-14T00:00:00"/>
    <x v="0"/>
    <x v="0"/>
    <x v="0"/>
    <x v="7"/>
    <s v="Summer Splash"/>
    <x v="5"/>
  </r>
  <r>
    <x v="756"/>
    <x v="755"/>
    <x v="135"/>
    <x v="3"/>
    <x v="3"/>
    <x v="1"/>
    <x v="2"/>
    <x v="12"/>
    <x v="61"/>
    <s v="Headphones Model 3"/>
    <n v="5"/>
    <n v="45799"/>
    <n v="0"/>
    <n v="45799"/>
    <n v="0.12"/>
    <n v="228995"/>
    <n v="27479.4"/>
    <x v="749"/>
    <s v="UPI"/>
    <s v="Returned"/>
    <d v="2024-04-19T00:00:00"/>
    <m/>
    <x v="1"/>
    <x v="32"/>
    <x v="32"/>
    <x v="0"/>
    <s v="Summer Splash"/>
    <x v="4"/>
  </r>
  <r>
    <x v="757"/>
    <x v="756"/>
    <x v="148"/>
    <x v="4"/>
    <x v="16"/>
    <x v="0"/>
    <x v="3"/>
    <x v="10"/>
    <x v="12"/>
    <s v="Yoga Mat Model 1"/>
    <n v="1"/>
    <n v="7312"/>
    <n v="0"/>
    <n v="7312"/>
    <n v="0.18"/>
    <n v="7312"/>
    <n v="1316.16"/>
    <x v="750"/>
    <s v="Debit Card"/>
    <s v="Shipped"/>
    <d v="2024-06-20T00:00:00"/>
    <m/>
    <x v="0"/>
    <x v="0"/>
    <x v="0"/>
    <x v="1"/>
    <s v="Back to School"/>
    <x v="1"/>
  </r>
  <r>
    <x v="758"/>
    <x v="757"/>
    <x v="63"/>
    <x v="1"/>
    <x v="1"/>
    <x v="1"/>
    <x v="3"/>
    <x v="10"/>
    <x v="30"/>
    <s v="Yoga Mat Model 3"/>
    <n v="1"/>
    <n v="8586"/>
    <n v="0"/>
    <n v="8586"/>
    <n v="0.12"/>
    <n v="8586"/>
    <n v="1030.32"/>
    <x v="751"/>
    <s v="Credit Card"/>
    <s v="Delivered"/>
    <d v="2024-01-12T00:00:00"/>
    <d v="2024-01-17T00:00:00"/>
    <x v="0"/>
    <x v="0"/>
    <x v="0"/>
    <x v="7"/>
    <s v="Clearance"/>
    <x v="1"/>
  </r>
  <r>
    <x v="759"/>
    <x v="758"/>
    <x v="102"/>
    <x v="0"/>
    <x v="13"/>
    <x v="0"/>
    <x v="0"/>
    <x v="21"/>
    <x v="63"/>
    <s v="Lamp Model 1"/>
    <n v="2"/>
    <n v="8119"/>
    <n v="0"/>
    <n v="8119"/>
    <n v="0.18"/>
    <n v="16238"/>
    <n v="2922.84"/>
    <x v="752"/>
    <s v="NetBanking"/>
    <s v="Delivered"/>
    <d v="2024-10-04T00:00:00"/>
    <d v="2024-10-05T00:00:00"/>
    <x v="0"/>
    <x v="0"/>
    <x v="0"/>
    <x v="0"/>
    <s v="Clearance"/>
    <x v="1"/>
  </r>
  <r>
    <x v="760"/>
    <x v="759"/>
    <x v="173"/>
    <x v="4"/>
    <x v="16"/>
    <x v="1"/>
    <x v="0"/>
    <x v="14"/>
    <x v="17"/>
    <s v="Vacuum Model 3"/>
    <n v="4"/>
    <n v="14853"/>
    <n v="0"/>
    <n v="14853"/>
    <n v="0.05"/>
    <n v="59412"/>
    <n v="2970.6"/>
    <x v="753"/>
    <s v="NetBanking"/>
    <s v="Returned"/>
    <d v="2024-08-07T00:00:00"/>
    <m/>
    <x v="1"/>
    <x v="33"/>
    <x v="33"/>
    <x v="8"/>
    <s v="Festival Fever"/>
    <x v="6"/>
  </r>
  <r>
    <x v="761"/>
    <x v="760"/>
    <x v="93"/>
    <x v="1"/>
    <x v="1"/>
    <x v="1"/>
    <x v="4"/>
    <x v="24"/>
    <x v="64"/>
    <s v="Jeans Model 1"/>
    <n v="3"/>
    <n v="2085"/>
    <n v="0.1"/>
    <n v="1876.5"/>
    <n v="0.12"/>
    <n v="5629.5"/>
    <n v="675.54"/>
    <x v="754"/>
    <s v="Credit Card"/>
    <s v="Delivered"/>
    <d v="2024-06-01T00:00:00"/>
    <d v="2024-06-06T00:00:00"/>
    <x v="0"/>
    <x v="0"/>
    <x v="0"/>
    <x v="7"/>
    <s v="Festival Fever"/>
    <x v="1"/>
  </r>
  <r>
    <x v="762"/>
    <x v="761"/>
    <x v="36"/>
    <x v="4"/>
    <x v="17"/>
    <x v="1"/>
    <x v="0"/>
    <x v="1"/>
    <x v="38"/>
    <s v="Cookware Model 1"/>
    <n v="2"/>
    <n v="7082"/>
    <n v="0"/>
    <n v="7082"/>
    <n v="0.12"/>
    <n v="14164"/>
    <n v="1699.68"/>
    <x v="755"/>
    <s v="Credit Card"/>
    <s v="Delivered"/>
    <d v="2025-03-22T00:00:00"/>
    <d v="2025-03-27T00:00:00"/>
    <x v="0"/>
    <x v="0"/>
    <x v="0"/>
    <x v="0"/>
    <s v="Diwali Blast"/>
    <x v="3"/>
  </r>
  <r>
    <x v="763"/>
    <x v="762"/>
    <x v="62"/>
    <x v="2"/>
    <x v="2"/>
    <x v="0"/>
    <x v="1"/>
    <x v="6"/>
    <x v="34"/>
    <s v="Oil Model 3"/>
    <n v="2"/>
    <n v="864"/>
    <n v="0.05"/>
    <n v="820.8"/>
    <n v="0.05"/>
    <n v="1641.6"/>
    <n v="82.08"/>
    <x v="756"/>
    <s v="UPI"/>
    <s v="Delivered"/>
    <d v="2024-08-27T00:00:00"/>
    <d v="2024-08-30T00:00:00"/>
    <x v="0"/>
    <x v="0"/>
    <x v="0"/>
    <x v="9"/>
    <s v="Summer Splash"/>
    <x v="2"/>
  </r>
  <r>
    <x v="764"/>
    <x v="763"/>
    <x v="150"/>
    <x v="2"/>
    <x v="6"/>
    <x v="0"/>
    <x v="3"/>
    <x v="4"/>
    <x v="71"/>
    <s v="Tennis Racket Model 2"/>
    <n v="3"/>
    <n v="7762"/>
    <n v="0"/>
    <n v="7762"/>
    <n v="0.12"/>
    <n v="23286"/>
    <n v="2794.32"/>
    <x v="757"/>
    <s v="UPI"/>
    <s v="Delivered"/>
    <d v="2025-01-22T00:00:00"/>
    <d v="2025-01-25T00:00:00"/>
    <x v="0"/>
    <x v="0"/>
    <x v="0"/>
    <x v="6"/>
    <s v="Clearance"/>
    <x v="2"/>
  </r>
  <r>
    <x v="765"/>
    <x v="764"/>
    <x v="177"/>
    <x v="4"/>
    <x v="11"/>
    <x v="0"/>
    <x v="4"/>
    <x v="24"/>
    <x v="55"/>
    <s v="Jeans Model 2"/>
    <n v="3"/>
    <n v="1665"/>
    <n v="0.05"/>
    <n v="1581.75"/>
    <n v="0.12"/>
    <n v="4745.25"/>
    <n v="569.42999999999995"/>
    <x v="758"/>
    <s v="UPI"/>
    <s v="Delivered"/>
    <d v="2024-09-10T00:00:00"/>
    <d v="2024-09-14T00:00:00"/>
    <x v="0"/>
    <x v="0"/>
    <x v="0"/>
    <x v="5"/>
    <s v="Clearance"/>
    <x v="1"/>
  </r>
  <r>
    <x v="766"/>
    <x v="765"/>
    <x v="30"/>
    <x v="1"/>
    <x v="1"/>
    <x v="1"/>
    <x v="2"/>
    <x v="23"/>
    <x v="45"/>
    <s v="Smartwatch Model 3"/>
    <n v="4"/>
    <n v="20861"/>
    <n v="0.2"/>
    <n v="16688.8"/>
    <n v="0.12"/>
    <n v="66755.199999999997"/>
    <n v="8010.6239999999998"/>
    <x v="759"/>
    <s v="NetBanking"/>
    <s v="Delivered"/>
    <d v="2024-10-25T00:00:00"/>
    <d v="2024-10-29T00:00:00"/>
    <x v="0"/>
    <x v="0"/>
    <x v="0"/>
    <x v="5"/>
    <s v="Clearance"/>
    <x v="6"/>
  </r>
  <r>
    <x v="767"/>
    <x v="766"/>
    <x v="54"/>
    <x v="2"/>
    <x v="9"/>
    <x v="2"/>
    <x v="1"/>
    <x v="15"/>
    <x v="21"/>
    <s v="Rice Model 3"/>
    <n v="3"/>
    <n v="1041"/>
    <n v="0"/>
    <n v="1041"/>
    <n v="0.18"/>
    <n v="3123"/>
    <n v="562.14"/>
    <x v="760"/>
    <s v="Credit Card"/>
    <s v="Delivered"/>
    <d v="2024-07-21T00:00:00"/>
    <d v="2024-07-22T00:00:00"/>
    <x v="0"/>
    <x v="0"/>
    <x v="0"/>
    <x v="4"/>
    <s v="Diwali Blast"/>
    <x v="3"/>
  </r>
  <r>
    <x v="768"/>
    <x v="767"/>
    <x v="44"/>
    <x v="1"/>
    <x v="5"/>
    <x v="0"/>
    <x v="0"/>
    <x v="1"/>
    <x v="38"/>
    <s v="Cookware Model 1"/>
    <n v="1"/>
    <n v="11072"/>
    <n v="0"/>
    <n v="11072"/>
    <n v="0.12"/>
    <n v="11072"/>
    <n v="1328.64"/>
    <x v="761"/>
    <s v="Credit Card"/>
    <s v="Delivered"/>
    <d v="2024-09-16T00:00:00"/>
    <d v="2024-09-21T00:00:00"/>
    <x v="0"/>
    <x v="0"/>
    <x v="0"/>
    <x v="3"/>
    <s v="Monsoon Mania"/>
    <x v="5"/>
  </r>
  <r>
    <x v="769"/>
    <x v="768"/>
    <x v="55"/>
    <x v="4"/>
    <x v="8"/>
    <x v="0"/>
    <x v="0"/>
    <x v="1"/>
    <x v="38"/>
    <s v="Cookware Model 1"/>
    <n v="1"/>
    <n v="10537"/>
    <n v="0.15"/>
    <n v="8956.4499999999989"/>
    <n v="0.05"/>
    <n v="8956.4499999999989"/>
    <n v="447.82249999999999"/>
    <x v="762"/>
    <s v="NetBanking"/>
    <s v="Delivered"/>
    <d v="2024-10-27T00:00:00"/>
    <d v="2024-10-31T00:00:00"/>
    <x v="0"/>
    <x v="0"/>
    <x v="0"/>
    <x v="3"/>
    <s v="Summer Splash"/>
    <x v="5"/>
  </r>
  <r>
    <x v="770"/>
    <x v="769"/>
    <x v="6"/>
    <x v="1"/>
    <x v="5"/>
    <x v="0"/>
    <x v="4"/>
    <x v="5"/>
    <x v="19"/>
    <s v="Dress Model 1"/>
    <n v="2"/>
    <n v="2277"/>
    <n v="0"/>
    <n v="2277"/>
    <n v="0.12"/>
    <n v="4554"/>
    <n v="546.48"/>
    <x v="763"/>
    <s v="UPI"/>
    <s v="Delivered"/>
    <d v="2024-09-03T00:00:00"/>
    <d v="2024-09-08T00:00:00"/>
    <x v="0"/>
    <x v="0"/>
    <x v="0"/>
    <x v="2"/>
    <s v="Clearance"/>
    <x v="0"/>
  </r>
  <r>
    <x v="771"/>
    <x v="770"/>
    <x v="77"/>
    <x v="4"/>
    <x v="16"/>
    <x v="2"/>
    <x v="3"/>
    <x v="4"/>
    <x v="6"/>
    <s v="Tennis Racket Model 3"/>
    <n v="1"/>
    <n v="5124"/>
    <n v="0"/>
    <n v="5124"/>
    <n v="0.05"/>
    <n v="5124"/>
    <n v="256.2"/>
    <x v="764"/>
    <s v="Credit Card"/>
    <s v="Delivered"/>
    <d v="2024-03-08T00:00:00"/>
    <d v="2024-03-10T00:00:00"/>
    <x v="0"/>
    <x v="0"/>
    <x v="0"/>
    <x v="7"/>
    <s v="New Year Sale"/>
    <x v="4"/>
  </r>
  <r>
    <x v="772"/>
    <x v="771"/>
    <x v="145"/>
    <x v="4"/>
    <x v="11"/>
    <x v="0"/>
    <x v="2"/>
    <x v="19"/>
    <x v="73"/>
    <s v="Camera Model 1"/>
    <n v="1"/>
    <n v="45657"/>
    <n v="0.05"/>
    <n v="43374.15"/>
    <n v="0.12"/>
    <n v="43374.15"/>
    <n v="5204.8980000000001"/>
    <x v="765"/>
    <s v="COD"/>
    <s v="Delivered"/>
    <d v="2025-04-07T00:00:00"/>
    <d v="2025-04-10T00:00:00"/>
    <x v="0"/>
    <x v="0"/>
    <x v="0"/>
    <x v="6"/>
    <s v="Summer Splash"/>
    <x v="1"/>
  </r>
  <r>
    <x v="773"/>
    <x v="772"/>
    <x v="7"/>
    <x v="2"/>
    <x v="6"/>
    <x v="0"/>
    <x v="0"/>
    <x v="0"/>
    <x v="2"/>
    <s v="Air Purifier Model 3"/>
    <n v="2"/>
    <n v="5466"/>
    <n v="0"/>
    <n v="5466"/>
    <n v="0.12"/>
    <n v="10932"/>
    <n v="1311.84"/>
    <x v="766"/>
    <s v="Credit Card"/>
    <s v="Delivered"/>
    <d v="2024-12-05T00:00:00"/>
    <d v="2024-12-09T00:00:00"/>
    <x v="0"/>
    <x v="0"/>
    <x v="0"/>
    <x v="0"/>
    <s v="Clearance"/>
    <x v="1"/>
  </r>
  <r>
    <x v="774"/>
    <x v="773"/>
    <x v="20"/>
    <x v="0"/>
    <x v="0"/>
    <x v="0"/>
    <x v="4"/>
    <x v="8"/>
    <x v="72"/>
    <s v="Jacket Model 2"/>
    <n v="2"/>
    <n v="707"/>
    <n v="0"/>
    <n v="707"/>
    <n v="0.12"/>
    <n v="1414"/>
    <n v="169.68"/>
    <x v="767"/>
    <s v="Debit Card"/>
    <s v="Returned"/>
    <d v="2025-03-01T00:00:00"/>
    <m/>
    <x v="1"/>
    <x v="34"/>
    <x v="34"/>
    <x v="0"/>
    <s v="Summer Splash"/>
    <x v="5"/>
  </r>
  <r>
    <x v="775"/>
    <x v="774"/>
    <x v="78"/>
    <x v="2"/>
    <x v="2"/>
    <x v="1"/>
    <x v="3"/>
    <x v="7"/>
    <x v="23"/>
    <s v="Dumbbells Model 1"/>
    <n v="4"/>
    <n v="5088"/>
    <n v="0.2"/>
    <n v="4070.4"/>
    <n v="0.18"/>
    <n v="16281.6"/>
    <n v="2930.6880000000001"/>
    <x v="768"/>
    <s v="UPI"/>
    <s v="Delivered"/>
    <d v="2024-06-13T00:00:00"/>
    <d v="2024-06-17T00:00:00"/>
    <x v="0"/>
    <x v="0"/>
    <x v="0"/>
    <x v="1"/>
    <s v="New Year Sale"/>
    <x v="6"/>
  </r>
  <r>
    <x v="776"/>
    <x v="775"/>
    <x v="67"/>
    <x v="3"/>
    <x v="3"/>
    <x v="1"/>
    <x v="4"/>
    <x v="9"/>
    <x v="13"/>
    <s v="Hoodie Model 1"/>
    <n v="1"/>
    <n v="2324"/>
    <n v="0.05"/>
    <n v="2207.8000000000002"/>
    <n v="0.12"/>
    <n v="2207.8000000000002"/>
    <n v="264.93599999999998"/>
    <x v="769"/>
    <s v="UPI"/>
    <s v="Shipped"/>
    <d v="2024-02-25T00:00:00"/>
    <m/>
    <x v="0"/>
    <x v="0"/>
    <x v="0"/>
    <x v="0"/>
    <s v="Clearance"/>
    <x v="2"/>
  </r>
  <r>
    <x v="777"/>
    <x v="776"/>
    <x v="0"/>
    <x v="0"/>
    <x v="0"/>
    <x v="2"/>
    <x v="2"/>
    <x v="23"/>
    <x v="68"/>
    <s v="Smartwatch Model 2"/>
    <n v="1"/>
    <n v="47543"/>
    <n v="0.1"/>
    <n v="42788.7"/>
    <n v="0.12"/>
    <n v="42788.7"/>
    <n v="5134.6440000000002"/>
    <x v="770"/>
    <s v="UPI"/>
    <s v="Delivered"/>
    <d v="2025-02-07T00:00:00"/>
    <d v="2025-02-11T00:00:00"/>
    <x v="0"/>
    <x v="0"/>
    <x v="0"/>
    <x v="0"/>
    <s v="Back to School"/>
    <x v="1"/>
  </r>
  <r>
    <x v="778"/>
    <x v="777"/>
    <x v="13"/>
    <x v="2"/>
    <x v="4"/>
    <x v="0"/>
    <x v="1"/>
    <x v="20"/>
    <x v="74"/>
    <s v="Pulses Model 2"/>
    <n v="1"/>
    <n v="139"/>
    <n v="0.2"/>
    <n v="111.2"/>
    <n v="0.12"/>
    <n v="111.2"/>
    <n v="13.343999999999999"/>
    <x v="771"/>
    <s v="NetBanking"/>
    <s v="Delivered"/>
    <d v="2024-07-01T00:00:00"/>
    <d v="2024-07-04T00:00:00"/>
    <x v="0"/>
    <x v="0"/>
    <x v="0"/>
    <x v="4"/>
    <s v="Back to School"/>
    <x v="1"/>
  </r>
  <r>
    <x v="779"/>
    <x v="778"/>
    <x v="107"/>
    <x v="1"/>
    <x v="12"/>
    <x v="3"/>
    <x v="2"/>
    <x v="13"/>
    <x v="41"/>
    <s v="Laptop Model 3"/>
    <n v="1"/>
    <n v="44036"/>
    <n v="0.15"/>
    <n v="37430.6"/>
    <n v="0.18"/>
    <n v="37430.6"/>
    <n v="6737.5079999999998"/>
    <x v="772"/>
    <s v="Debit Card"/>
    <s v="Returned"/>
    <d v="2024-07-24T00:00:00"/>
    <m/>
    <x v="1"/>
    <x v="35"/>
    <x v="35"/>
    <x v="5"/>
    <s v="Summer Splash"/>
    <x v="5"/>
  </r>
  <r>
    <x v="780"/>
    <x v="779"/>
    <x v="96"/>
    <x v="3"/>
    <x v="3"/>
    <x v="0"/>
    <x v="2"/>
    <x v="13"/>
    <x v="41"/>
    <s v="Laptop Model 3"/>
    <n v="3"/>
    <n v="13845"/>
    <n v="0.15"/>
    <n v="11768.25"/>
    <n v="0.18"/>
    <n v="35304.75"/>
    <n v="6354.8549999999996"/>
    <x v="773"/>
    <s v="COD"/>
    <s v="Delivered"/>
    <d v="2024-01-23T00:00:00"/>
    <d v="2024-01-27T00:00:00"/>
    <x v="0"/>
    <x v="0"/>
    <x v="0"/>
    <x v="7"/>
    <s v="Clearance"/>
    <x v="3"/>
  </r>
  <r>
    <x v="781"/>
    <x v="780"/>
    <x v="75"/>
    <x v="0"/>
    <x v="14"/>
    <x v="0"/>
    <x v="3"/>
    <x v="4"/>
    <x v="20"/>
    <s v="Tennis Racket Model 1"/>
    <n v="4"/>
    <n v="4983"/>
    <n v="0.05"/>
    <n v="4733.8499999999995"/>
    <n v="0.12"/>
    <n v="18935.400000000001"/>
    <n v="2272.248"/>
    <x v="774"/>
    <s v="UPI"/>
    <s v="Delivered"/>
    <d v="2024-07-04T00:00:00"/>
    <d v="2024-07-05T00:00:00"/>
    <x v="0"/>
    <x v="0"/>
    <x v="0"/>
    <x v="7"/>
    <s v="Clearance"/>
    <x v="2"/>
  </r>
  <r>
    <x v="782"/>
    <x v="781"/>
    <x v="129"/>
    <x v="2"/>
    <x v="4"/>
    <x v="1"/>
    <x v="0"/>
    <x v="21"/>
    <x v="37"/>
    <s v="Lamp Model 3"/>
    <n v="1"/>
    <n v="3030"/>
    <n v="0.15"/>
    <n v="2575.5"/>
    <n v="0.18"/>
    <n v="2575.5"/>
    <n v="463.59"/>
    <x v="775"/>
    <s v="Debit Card"/>
    <s v="Delivered"/>
    <d v="2025-04-07T00:00:00"/>
    <d v="2025-04-09T00:00:00"/>
    <x v="0"/>
    <x v="0"/>
    <x v="0"/>
    <x v="4"/>
    <s v="Clearance"/>
    <x v="2"/>
  </r>
  <r>
    <x v="783"/>
    <x v="782"/>
    <x v="153"/>
    <x v="0"/>
    <x v="19"/>
    <x v="0"/>
    <x v="0"/>
    <x v="0"/>
    <x v="0"/>
    <s v="Air Purifier Model 1"/>
    <n v="2"/>
    <n v="5053"/>
    <n v="0.05"/>
    <n v="4800.3499999999995"/>
    <n v="0.12"/>
    <n v="9600.6999999999989"/>
    <n v="1152.0840000000001"/>
    <x v="776"/>
    <s v="Credit Card"/>
    <s v="Delivered"/>
    <d v="2024-11-22T00:00:00"/>
    <d v="2024-11-25T00:00:00"/>
    <x v="0"/>
    <x v="0"/>
    <x v="0"/>
    <x v="2"/>
    <s v="Back to School"/>
    <x v="1"/>
  </r>
  <r>
    <x v="784"/>
    <x v="783"/>
    <x v="50"/>
    <x v="3"/>
    <x v="15"/>
    <x v="1"/>
    <x v="1"/>
    <x v="2"/>
    <x v="62"/>
    <s v="Snacks Model 3"/>
    <n v="1"/>
    <n v="542"/>
    <n v="0"/>
    <n v="542"/>
    <n v="0.12"/>
    <n v="542"/>
    <n v="65.039999999999992"/>
    <x v="777"/>
    <s v="UPI"/>
    <s v="Delivered"/>
    <d v="2024-12-31T00:00:00"/>
    <d v="2025-01-05T00:00:00"/>
    <x v="0"/>
    <x v="0"/>
    <x v="0"/>
    <x v="2"/>
    <s v="Clearance"/>
    <x v="0"/>
  </r>
  <r>
    <x v="785"/>
    <x v="784"/>
    <x v="154"/>
    <x v="3"/>
    <x v="3"/>
    <x v="0"/>
    <x v="1"/>
    <x v="18"/>
    <x v="26"/>
    <s v="Beverage Model 2"/>
    <n v="3"/>
    <n v="155"/>
    <n v="0.05"/>
    <n v="147.25"/>
    <n v="0.18"/>
    <n v="441.75"/>
    <n v="79.515000000000001"/>
    <x v="778"/>
    <s v="NetBanking"/>
    <s v="Delivered"/>
    <d v="2024-08-16T00:00:00"/>
    <d v="2024-08-20T00:00:00"/>
    <x v="0"/>
    <x v="0"/>
    <x v="0"/>
    <x v="7"/>
    <s v="Diwali Blast"/>
    <x v="2"/>
  </r>
  <r>
    <x v="786"/>
    <x v="785"/>
    <x v="173"/>
    <x v="4"/>
    <x v="16"/>
    <x v="0"/>
    <x v="0"/>
    <x v="0"/>
    <x v="1"/>
    <s v="Air Purifier Model 2"/>
    <n v="1"/>
    <n v="5368"/>
    <n v="0.2"/>
    <n v="4294.4000000000005"/>
    <n v="0.05"/>
    <n v="4294.4000000000005"/>
    <n v="214.72"/>
    <x v="779"/>
    <s v="UPI"/>
    <s v="Delivered"/>
    <d v="2024-10-03T00:00:00"/>
    <d v="2024-10-05T00:00:00"/>
    <x v="0"/>
    <x v="0"/>
    <x v="0"/>
    <x v="9"/>
    <s v="Festival Fever"/>
    <x v="4"/>
  </r>
  <r>
    <x v="787"/>
    <x v="786"/>
    <x v="55"/>
    <x v="4"/>
    <x v="8"/>
    <x v="0"/>
    <x v="4"/>
    <x v="5"/>
    <x v="7"/>
    <s v="Dress Model 3"/>
    <n v="2"/>
    <n v="1343"/>
    <n v="0"/>
    <n v="1343"/>
    <n v="0.18"/>
    <n v="2686"/>
    <n v="483.48"/>
    <x v="780"/>
    <s v="NetBanking"/>
    <s v="Delivered"/>
    <d v="2024-02-29T00:00:00"/>
    <d v="2024-03-02T00:00:00"/>
    <x v="0"/>
    <x v="0"/>
    <x v="0"/>
    <x v="0"/>
    <s v="Diwali Blast"/>
    <x v="3"/>
  </r>
  <r>
    <x v="788"/>
    <x v="787"/>
    <x v="51"/>
    <x v="0"/>
    <x v="19"/>
    <x v="0"/>
    <x v="2"/>
    <x v="3"/>
    <x v="57"/>
    <s v="Smartphone Model 1"/>
    <n v="1"/>
    <n v="49018"/>
    <n v="0"/>
    <n v="49018"/>
    <n v="0.18"/>
    <n v="49018"/>
    <n v="8823.24"/>
    <x v="781"/>
    <s v="NetBanking"/>
    <s v="Shipped"/>
    <d v="2024-12-21T00:00:00"/>
    <m/>
    <x v="0"/>
    <x v="0"/>
    <x v="0"/>
    <x v="0"/>
    <s v="Diwali Blast"/>
    <x v="4"/>
  </r>
  <r>
    <x v="789"/>
    <x v="788"/>
    <x v="83"/>
    <x v="1"/>
    <x v="18"/>
    <x v="0"/>
    <x v="3"/>
    <x v="4"/>
    <x v="6"/>
    <s v="Tennis Racket Model 3"/>
    <n v="2"/>
    <n v="9993"/>
    <n v="0"/>
    <n v="9993"/>
    <n v="0.18"/>
    <n v="19986"/>
    <n v="3597.48"/>
    <x v="782"/>
    <s v="UPI"/>
    <s v="Delivered"/>
    <d v="2024-06-14T00:00:00"/>
    <d v="2024-06-18T00:00:00"/>
    <x v="0"/>
    <x v="0"/>
    <x v="0"/>
    <x v="9"/>
    <s v="Clearance"/>
    <x v="0"/>
  </r>
  <r>
    <x v="790"/>
    <x v="789"/>
    <x v="142"/>
    <x v="3"/>
    <x v="3"/>
    <x v="0"/>
    <x v="0"/>
    <x v="1"/>
    <x v="38"/>
    <s v="Cookware Model 1"/>
    <n v="2"/>
    <n v="9017"/>
    <n v="0.2"/>
    <n v="7213.6"/>
    <n v="0.12"/>
    <n v="14427.2"/>
    <n v="1731.2639999999999"/>
    <x v="783"/>
    <s v="Credit Card"/>
    <s v="Delivered"/>
    <d v="2024-11-16T00:00:00"/>
    <d v="2024-11-17T00:00:00"/>
    <x v="0"/>
    <x v="0"/>
    <x v="0"/>
    <x v="4"/>
    <s v="Clearance"/>
    <x v="0"/>
  </r>
  <r>
    <x v="791"/>
    <x v="790"/>
    <x v="31"/>
    <x v="2"/>
    <x v="9"/>
    <x v="1"/>
    <x v="2"/>
    <x v="19"/>
    <x v="39"/>
    <s v="Camera Model 3"/>
    <n v="1"/>
    <n v="17056"/>
    <n v="0"/>
    <n v="17056"/>
    <n v="0.18"/>
    <n v="17056"/>
    <n v="3070.08"/>
    <x v="784"/>
    <s v="UPI"/>
    <s v="Delivered"/>
    <d v="2024-04-10T00:00:00"/>
    <d v="2024-04-13T00:00:00"/>
    <x v="0"/>
    <x v="0"/>
    <x v="0"/>
    <x v="5"/>
    <s v="Summer Splash"/>
    <x v="4"/>
  </r>
  <r>
    <x v="792"/>
    <x v="791"/>
    <x v="19"/>
    <x v="1"/>
    <x v="12"/>
    <x v="0"/>
    <x v="4"/>
    <x v="5"/>
    <x v="19"/>
    <s v="Dress Model 1"/>
    <n v="4"/>
    <n v="2012"/>
    <n v="0.05"/>
    <n v="1911.4"/>
    <n v="0.18"/>
    <n v="7645.5999999999995"/>
    <n v="1376.2080000000001"/>
    <x v="785"/>
    <s v="COD"/>
    <s v="Delivered"/>
    <d v="2024-03-05T00:00:00"/>
    <d v="2024-03-08T00:00:00"/>
    <x v="0"/>
    <x v="0"/>
    <x v="0"/>
    <x v="3"/>
    <s v="Festival Fever"/>
    <x v="4"/>
  </r>
  <r>
    <x v="793"/>
    <x v="792"/>
    <x v="75"/>
    <x v="0"/>
    <x v="14"/>
    <x v="3"/>
    <x v="2"/>
    <x v="13"/>
    <x v="50"/>
    <s v="Laptop Model 2"/>
    <n v="2"/>
    <n v="30970"/>
    <n v="0.15"/>
    <n v="26324.5"/>
    <n v="0.12"/>
    <n v="52649"/>
    <n v="6317.88"/>
    <x v="786"/>
    <s v="UPI"/>
    <s v="Delivered"/>
    <d v="2024-05-23T00:00:00"/>
    <d v="2024-05-28T00:00:00"/>
    <x v="0"/>
    <x v="0"/>
    <x v="0"/>
    <x v="2"/>
    <s v="Diwali Blast"/>
    <x v="4"/>
  </r>
  <r>
    <x v="794"/>
    <x v="793"/>
    <x v="115"/>
    <x v="0"/>
    <x v="13"/>
    <x v="0"/>
    <x v="2"/>
    <x v="13"/>
    <x v="16"/>
    <s v="Laptop Model 1"/>
    <n v="2"/>
    <n v="49376"/>
    <n v="0.05"/>
    <n v="46907.199999999997"/>
    <n v="0.12"/>
    <n v="93814.399999999994"/>
    <n v="11257.727999999999"/>
    <x v="787"/>
    <s v="Credit Card"/>
    <s v="Delivered"/>
    <d v="2024-01-03T00:00:00"/>
    <d v="2024-01-06T00:00:00"/>
    <x v="0"/>
    <x v="0"/>
    <x v="0"/>
    <x v="2"/>
    <s v="Clearance"/>
    <x v="3"/>
  </r>
  <r>
    <x v="795"/>
    <x v="794"/>
    <x v="39"/>
    <x v="4"/>
    <x v="11"/>
    <x v="3"/>
    <x v="4"/>
    <x v="17"/>
    <x v="25"/>
    <s v="T-Shirt Model 2"/>
    <n v="2"/>
    <n v="1159"/>
    <n v="0.2"/>
    <n v="927.2"/>
    <n v="0.12"/>
    <n v="1854.4"/>
    <n v="222.52799999999999"/>
    <x v="788"/>
    <s v="Credit Card"/>
    <s v="Delivered"/>
    <d v="2024-12-31T00:00:00"/>
    <d v="2025-01-03T00:00:00"/>
    <x v="0"/>
    <x v="0"/>
    <x v="0"/>
    <x v="9"/>
    <s v="Summer Splash"/>
    <x v="0"/>
  </r>
  <r>
    <x v="796"/>
    <x v="795"/>
    <x v="149"/>
    <x v="1"/>
    <x v="1"/>
    <x v="3"/>
    <x v="2"/>
    <x v="19"/>
    <x v="73"/>
    <s v="Camera Model 1"/>
    <n v="1"/>
    <n v="59378"/>
    <n v="0"/>
    <n v="59378"/>
    <n v="0.12"/>
    <n v="59378"/>
    <n v="7125.36"/>
    <x v="789"/>
    <s v="UPI"/>
    <s v="In Transit"/>
    <d v="2024-02-15T00:00:00"/>
    <m/>
    <x v="0"/>
    <x v="0"/>
    <x v="0"/>
    <x v="8"/>
    <s v="Monsoon Mania"/>
    <x v="0"/>
  </r>
  <r>
    <x v="797"/>
    <x v="796"/>
    <x v="5"/>
    <x v="2"/>
    <x v="4"/>
    <x v="0"/>
    <x v="0"/>
    <x v="1"/>
    <x v="3"/>
    <s v="Cookware Model 3"/>
    <n v="1"/>
    <n v="13283"/>
    <n v="0.2"/>
    <n v="10626.4"/>
    <n v="0.12"/>
    <n v="10626.4"/>
    <n v="1275.1679999999999"/>
    <x v="790"/>
    <s v="Debit Card"/>
    <s v="Delivered"/>
    <d v="2024-09-06T00:00:00"/>
    <d v="2024-09-10T00:00:00"/>
    <x v="0"/>
    <x v="0"/>
    <x v="0"/>
    <x v="5"/>
    <s v="Summer Splash"/>
    <x v="5"/>
  </r>
  <r>
    <x v="798"/>
    <x v="797"/>
    <x v="84"/>
    <x v="4"/>
    <x v="8"/>
    <x v="1"/>
    <x v="3"/>
    <x v="16"/>
    <x v="70"/>
    <s v="Football Model 3"/>
    <n v="1"/>
    <n v="3143"/>
    <n v="0"/>
    <n v="3143"/>
    <n v="0.12"/>
    <n v="3143"/>
    <n v="377.16"/>
    <x v="791"/>
    <s v="NetBanking"/>
    <s v="Delivered"/>
    <d v="2025-02-04T00:00:00"/>
    <d v="2025-02-05T00:00:00"/>
    <x v="0"/>
    <x v="0"/>
    <x v="0"/>
    <x v="0"/>
    <s v="Diwali Blast"/>
    <x v="4"/>
  </r>
  <r>
    <x v="799"/>
    <x v="798"/>
    <x v="110"/>
    <x v="3"/>
    <x v="3"/>
    <x v="0"/>
    <x v="4"/>
    <x v="17"/>
    <x v="69"/>
    <s v="T-Shirt Model 1"/>
    <n v="3"/>
    <n v="1823"/>
    <n v="0.2"/>
    <n v="1458.4"/>
    <n v="0.12"/>
    <n v="4375.2000000000007"/>
    <n v="525.02400000000011"/>
    <x v="792"/>
    <s v="Debit Card"/>
    <s v="Delivered"/>
    <d v="2024-07-18T00:00:00"/>
    <d v="2024-07-21T00:00:00"/>
    <x v="0"/>
    <x v="0"/>
    <x v="0"/>
    <x v="8"/>
    <s v="Festival Fever"/>
    <x v="6"/>
  </r>
  <r>
    <x v="800"/>
    <x v="799"/>
    <x v="147"/>
    <x v="3"/>
    <x v="3"/>
    <x v="3"/>
    <x v="2"/>
    <x v="3"/>
    <x v="5"/>
    <s v="Smartphone Model 3"/>
    <n v="3"/>
    <n v="44492"/>
    <n v="0"/>
    <n v="44492"/>
    <n v="0.05"/>
    <n v="133476"/>
    <n v="6673.8"/>
    <x v="793"/>
    <s v="Credit Card"/>
    <s v="Delivered"/>
    <d v="2024-12-18T00:00:00"/>
    <d v="2024-12-19T00:00:00"/>
    <x v="0"/>
    <x v="0"/>
    <x v="0"/>
    <x v="7"/>
    <s v="Summer Splash"/>
    <x v="2"/>
  </r>
  <r>
    <x v="801"/>
    <x v="800"/>
    <x v="58"/>
    <x v="4"/>
    <x v="11"/>
    <x v="0"/>
    <x v="3"/>
    <x v="7"/>
    <x v="9"/>
    <s v="Dumbbells Model 3"/>
    <n v="1"/>
    <n v="5836"/>
    <n v="0"/>
    <n v="5836"/>
    <n v="0.12"/>
    <n v="5836"/>
    <n v="700.31999999999994"/>
    <x v="794"/>
    <s v="UPI"/>
    <s v="Delivered"/>
    <d v="2024-12-11T00:00:00"/>
    <d v="2024-12-14T00:00:00"/>
    <x v="0"/>
    <x v="0"/>
    <x v="0"/>
    <x v="8"/>
    <s v="New Year Sale"/>
    <x v="6"/>
  </r>
  <r>
    <x v="802"/>
    <x v="801"/>
    <x v="72"/>
    <x v="4"/>
    <x v="11"/>
    <x v="1"/>
    <x v="3"/>
    <x v="4"/>
    <x v="6"/>
    <s v="Tennis Racket Model 3"/>
    <n v="2"/>
    <n v="5628"/>
    <n v="0.1"/>
    <n v="5065.2"/>
    <n v="0.12"/>
    <n v="10130.4"/>
    <n v="1215.6479999999999"/>
    <x v="795"/>
    <s v="Credit Card"/>
    <s v="Delivered"/>
    <d v="2024-03-03T00:00:00"/>
    <d v="2024-03-06T00:00:00"/>
    <x v="0"/>
    <x v="0"/>
    <x v="0"/>
    <x v="2"/>
    <s v="New Year Sale"/>
    <x v="4"/>
  </r>
  <r>
    <x v="803"/>
    <x v="802"/>
    <x v="70"/>
    <x v="3"/>
    <x v="15"/>
    <x v="0"/>
    <x v="0"/>
    <x v="1"/>
    <x v="38"/>
    <s v="Cookware Model 1"/>
    <n v="2"/>
    <n v="3644"/>
    <n v="0.1"/>
    <n v="3279.6"/>
    <n v="0.05"/>
    <n v="6559.2"/>
    <n v="327.96"/>
    <x v="796"/>
    <s v="Debit Card"/>
    <s v="In Transit"/>
    <d v="2024-05-31T00:00:00"/>
    <m/>
    <x v="0"/>
    <x v="0"/>
    <x v="0"/>
    <x v="2"/>
    <s v="New Year Sale"/>
    <x v="5"/>
  </r>
  <r>
    <x v="804"/>
    <x v="803"/>
    <x v="76"/>
    <x v="2"/>
    <x v="9"/>
    <x v="3"/>
    <x v="3"/>
    <x v="16"/>
    <x v="70"/>
    <s v="Football Model 3"/>
    <n v="2"/>
    <n v="2661"/>
    <n v="0.1"/>
    <n v="2394.9"/>
    <n v="0.05"/>
    <n v="4789.8"/>
    <n v="239.49"/>
    <x v="797"/>
    <s v="Credit Card"/>
    <s v="Delivered"/>
    <d v="2025-04-09T00:00:00"/>
    <d v="2025-04-13T00:00:00"/>
    <x v="0"/>
    <x v="0"/>
    <x v="0"/>
    <x v="4"/>
    <s v="Clearance"/>
    <x v="5"/>
  </r>
  <r>
    <x v="805"/>
    <x v="804"/>
    <x v="106"/>
    <x v="2"/>
    <x v="4"/>
    <x v="0"/>
    <x v="4"/>
    <x v="9"/>
    <x v="18"/>
    <s v="Hoodie Model 2"/>
    <n v="4"/>
    <n v="2848"/>
    <n v="0"/>
    <n v="2848"/>
    <n v="0.18"/>
    <n v="11392"/>
    <n v="2050.56"/>
    <x v="798"/>
    <s v="Credit Card"/>
    <s v="Delivered"/>
    <d v="2024-08-30T00:00:00"/>
    <d v="2024-09-03T00:00:00"/>
    <x v="0"/>
    <x v="0"/>
    <x v="0"/>
    <x v="8"/>
    <s v="Clearance"/>
    <x v="6"/>
  </r>
  <r>
    <x v="806"/>
    <x v="805"/>
    <x v="37"/>
    <x v="1"/>
    <x v="1"/>
    <x v="2"/>
    <x v="3"/>
    <x v="10"/>
    <x v="52"/>
    <s v="Yoga Mat Model 2"/>
    <n v="1"/>
    <n v="2150"/>
    <n v="0"/>
    <n v="2150"/>
    <n v="0.05"/>
    <n v="2150"/>
    <n v="107.5"/>
    <x v="799"/>
    <s v="Debit Card"/>
    <s v="Delivered"/>
    <d v="2024-09-16T00:00:00"/>
    <d v="2024-09-17T00:00:00"/>
    <x v="0"/>
    <x v="0"/>
    <x v="0"/>
    <x v="4"/>
    <s v="Summer Splash"/>
    <x v="5"/>
  </r>
  <r>
    <x v="807"/>
    <x v="806"/>
    <x v="167"/>
    <x v="2"/>
    <x v="9"/>
    <x v="0"/>
    <x v="3"/>
    <x v="4"/>
    <x v="20"/>
    <s v="Tennis Racket Model 1"/>
    <n v="2"/>
    <n v="9098"/>
    <n v="0"/>
    <n v="9098"/>
    <n v="0.12"/>
    <n v="18196"/>
    <n v="2183.52"/>
    <x v="800"/>
    <s v="COD"/>
    <s v="Delivered"/>
    <d v="2025-03-23T00:00:00"/>
    <d v="2025-03-24T00:00:00"/>
    <x v="0"/>
    <x v="0"/>
    <x v="0"/>
    <x v="9"/>
    <s v="Summer Splash"/>
    <x v="3"/>
  </r>
  <r>
    <x v="808"/>
    <x v="807"/>
    <x v="141"/>
    <x v="3"/>
    <x v="3"/>
    <x v="1"/>
    <x v="2"/>
    <x v="13"/>
    <x v="41"/>
    <s v="Laptop Model 3"/>
    <n v="3"/>
    <n v="26858"/>
    <n v="0"/>
    <n v="26858"/>
    <n v="0.12"/>
    <n v="80574"/>
    <n v="9668.8799999999992"/>
    <x v="801"/>
    <s v="Debit Card"/>
    <s v="Delivered"/>
    <d v="2024-01-26T00:00:00"/>
    <d v="2024-01-30T00:00:00"/>
    <x v="0"/>
    <x v="0"/>
    <x v="0"/>
    <x v="3"/>
    <s v="Back to School"/>
    <x v="3"/>
  </r>
  <r>
    <x v="809"/>
    <x v="808"/>
    <x v="122"/>
    <x v="2"/>
    <x v="4"/>
    <x v="1"/>
    <x v="1"/>
    <x v="15"/>
    <x v="27"/>
    <s v="Rice Model 1"/>
    <n v="2"/>
    <n v="980"/>
    <n v="0"/>
    <n v="980"/>
    <n v="0.05"/>
    <n v="1960"/>
    <n v="98"/>
    <x v="802"/>
    <s v="Credit Card"/>
    <s v="Delivered"/>
    <d v="2024-04-02T00:00:00"/>
    <d v="2024-04-06T00:00:00"/>
    <x v="0"/>
    <x v="0"/>
    <x v="0"/>
    <x v="4"/>
    <s v="New Year Sale"/>
    <x v="2"/>
  </r>
  <r>
    <x v="810"/>
    <x v="809"/>
    <x v="109"/>
    <x v="1"/>
    <x v="1"/>
    <x v="0"/>
    <x v="3"/>
    <x v="11"/>
    <x v="49"/>
    <s v="Cricket Bat Model 2"/>
    <n v="2"/>
    <n v="2971"/>
    <n v="0"/>
    <n v="2971"/>
    <n v="0.05"/>
    <n v="5942"/>
    <n v="297.10000000000002"/>
    <x v="803"/>
    <s v="Debit Card"/>
    <s v="Delivered"/>
    <d v="2024-08-16T00:00:00"/>
    <d v="2024-08-19T00:00:00"/>
    <x v="0"/>
    <x v="0"/>
    <x v="0"/>
    <x v="9"/>
    <s v="Back to School"/>
    <x v="2"/>
  </r>
  <r>
    <x v="811"/>
    <x v="810"/>
    <x v="93"/>
    <x v="1"/>
    <x v="1"/>
    <x v="0"/>
    <x v="0"/>
    <x v="14"/>
    <x v="17"/>
    <s v="Vacuum Model 3"/>
    <n v="1"/>
    <n v="14430"/>
    <n v="0"/>
    <n v="14430"/>
    <n v="0.12"/>
    <n v="14430"/>
    <n v="1731.6"/>
    <x v="804"/>
    <s v="Credit Card"/>
    <s v="Delivered"/>
    <d v="2024-03-04T00:00:00"/>
    <d v="2024-03-09T00:00:00"/>
    <x v="0"/>
    <x v="0"/>
    <x v="0"/>
    <x v="0"/>
    <s v="Summer Splash"/>
    <x v="2"/>
  </r>
  <r>
    <x v="812"/>
    <x v="811"/>
    <x v="129"/>
    <x v="2"/>
    <x v="4"/>
    <x v="0"/>
    <x v="1"/>
    <x v="6"/>
    <x v="34"/>
    <s v="Oil Model 3"/>
    <n v="2"/>
    <n v="1014"/>
    <n v="0.1"/>
    <n v="912.6"/>
    <n v="0.05"/>
    <n v="1825.2"/>
    <n v="91.26"/>
    <x v="805"/>
    <s v="UPI"/>
    <s v="Delivered"/>
    <d v="2025-04-13T00:00:00"/>
    <d v="2025-04-16T00:00:00"/>
    <x v="0"/>
    <x v="0"/>
    <x v="0"/>
    <x v="9"/>
    <s v="Monsoon Mania"/>
    <x v="3"/>
  </r>
  <r>
    <x v="813"/>
    <x v="812"/>
    <x v="72"/>
    <x v="4"/>
    <x v="11"/>
    <x v="0"/>
    <x v="2"/>
    <x v="12"/>
    <x v="61"/>
    <s v="Headphones Model 3"/>
    <n v="4"/>
    <n v="32628"/>
    <n v="0.1"/>
    <n v="29365.200000000001"/>
    <n v="0.18"/>
    <n v="117460.8"/>
    <n v="21142.944"/>
    <x v="806"/>
    <s v="UPI"/>
    <s v="Delivered"/>
    <d v="2024-08-08T00:00:00"/>
    <d v="2024-08-12T00:00:00"/>
    <x v="0"/>
    <x v="0"/>
    <x v="0"/>
    <x v="5"/>
    <s v="Back to School"/>
    <x v="1"/>
  </r>
  <r>
    <x v="814"/>
    <x v="813"/>
    <x v="110"/>
    <x v="3"/>
    <x v="3"/>
    <x v="0"/>
    <x v="3"/>
    <x v="11"/>
    <x v="14"/>
    <s v="Cricket Bat Model 1"/>
    <n v="1"/>
    <n v="1358"/>
    <n v="0.15"/>
    <n v="1154.3"/>
    <n v="0.18"/>
    <n v="1154.3"/>
    <n v="207.774"/>
    <x v="807"/>
    <s v="NetBanking"/>
    <s v="Delivered"/>
    <d v="2024-09-13T00:00:00"/>
    <d v="2024-09-16T00:00:00"/>
    <x v="0"/>
    <x v="0"/>
    <x v="0"/>
    <x v="6"/>
    <s v="New Year Sale"/>
    <x v="1"/>
  </r>
  <r>
    <x v="815"/>
    <x v="814"/>
    <x v="132"/>
    <x v="3"/>
    <x v="15"/>
    <x v="0"/>
    <x v="4"/>
    <x v="17"/>
    <x v="25"/>
    <s v="T-Shirt Model 2"/>
    <n v="4"/>
    <n v="2817"/>
    <n v="0.15"/>
    <n v="2394.4499999999998"/>
    <n v="0.18"/>
    <n v="9577.7999999999993"/>
    <n v="1724.0039999999999"/>
    <x v="808"/>
    <s v="Debit Card"/>
    <s v="Delivered"/>
    <d v="2025-04-11T00:00:00"/>
    <d v="2025-04-15T00:00:00"/>
    <x v="0"/>
    <x v="0"/>
    <x v="0"/>
    <x v="0"/>
    <s v="Back to School"/>
    <x v="0"/>
  </r>
  <r>
    <x v="816"/>
    <x v="815"/>
    <x v="51"/>
    <x v="0"/>
    <x v="19"/>
    <x v="3"/>
    <x v="2"/>
    <x v="3"/>
    <x v="5"/>
    <s v="Smartphone Model 3"/>
    <n v="1"/>
    <n v="15254"/>
    <n v="0.1"/>
    <n v="13728.6"/>
    <n v="0.12"/>
    <n v="13728.6"/>
    <n v="1647.432"/>
    <x v="809"/>
    <s v="COD"/>
    <s v="Delivered"/>
    <d v="2025-01-03T00:00:00"/>
    <d v="2025-01-06T00:00:00"/>
    <x v="0"/>
    <x v="0"/>
    <x v="0"/>
    <x v="0"/>
    <s v="Diwali Blast"/>
    <x v="5"/>
  </r>
  <r>
    <x v="817"/>
    <x v="816"/>
    <x v="111"/>
    <x v="0"/>
    <x v="13"/>
    <x v="0"/>
    <x v="3"/>
    <x v="7"/>
    <x v="23"/>
    <s v="Dumbbells Model 1"/>
    <n v="2"/>
    <n v="9326"/>
    <n v="0.05"/>
    <n v="8859.6999999999989"/>
    <n v="0.12"/>
    <n v="17719.400000000001"/>
    <n v="2126.328"/>
    <x v="810"/>
    <s v="COD"/>
    <s v="Delivered"/>
    <d v="2024-06-29T00:00:00"/>
    <d v="2024-07-03T00:00:00"/>
    <x v="0"/>
    <x v="0"/>
    <x v="0"/>
    <x v="4"/>
    <s v="Summer Splash"/>
    <x v="6"/>
  </r>
  <r>
    <x v="818"/>
    <x v="817"/>
    <x v="103"/>
    <x v="1"/>
    <x v="5"/>
    <x v="1"/>
    <x v="2"/>
    <x v="3"/>
    <x v="57"/>
    <s v="Smartphone Model 1"/>
    <n v="4"/>
    <n v="30271"/>
    <n v="0.2"/>
    <n v="24216.799999999999"/>
    <n v="0.12"/>
    <n v="96867.200000000012"/>
    <n v="11624.064"/>
    <x v="811"/>
    <s v="UPI"/>
    <s v="Delivered"/>
    <d v="2024-03-03T00:00:00"/>
    <d v="2024-03-05T00:00:00"/>
    <x v="0"/>
    <x v="0"/>
    <x v="0"/>
    <x v="5"/>
    <s v="Diwali Blast"/>
    <x v="3"/>
  </r>
  <r>
    <x v="819"/>
    <x v="818"/>
    <x v="55"/>
    <x v="4"/>
    <x v="8"/>
    <x v="1"/>
    <x v="0"/>
    <x v="21"/>
    <x v="63"/>
    <s v="Lamp Model 1"/>
    <n v="1"/>
    <n v="6692"/>
    <n v="0.1"/>
    <n v="6022.8"/>
    <n v="0.05"/>
    <n v="6022.8"/>
    <n v="301.14"/>
    <x v="812"/>
    <s v="Credit Card"/>
    <s v="Shipped"/>
    <d v="2024-09-26T00:00:00"/>
    <m/>
    <x v="0"/>
    <x v="0"/>
    <x v="0"/>
    <x v="9"/>
    <s v="Summer Splash"/>
    <x v="2"/>
  </r>
  <r>
    <x v="820"/>
    <x v="819"/>
    <x v="152"/>
    <x v="2"/>
    <x v="9"/>
    <x v="0"/>
    <x v="1"/>
    <x v="20"/>
    <x v="74"/>
    <s v="Pulses Model 2"/>
    <n v="1"/>
    <n v="300"/>
    <n v="0.1"/>
    <n v="270"/>
    <n v="0.18"/>
    <n v="270"/>
    <n v="48.6"/>
    <x v="813"/>
    <s v="COD"/>
    <s v="In Transit"/>
    <d v="2024-05-28T00:00:00"/>
    <m/>
    <x v="0"/>
    <x v="0"/>
    <x v="0"/>
    <x v="3"/>
    <s v="Festival Fever"/>
    <x v="6"/>
  </r>
  <r>
    <x v="821"/>
    <x v="820"/>
    <x v="46"/>
    <x v="4"/>
    <x v="11"/>
    <x v="0"/>
    <x v="3"/>
    <x v="16"/>
    <x v="22"/>
    <s v="Football Model 1"/>
    <n v="1"/>
    <n v="5582"/>
    <n v="0.15"/>
    <n v="4744.7"/>
    <n v="0.12"/>
    <n v="4744.7"/>
    <n v="569.36399999999992"/>
    <x v="814"/>
    <s v="Credit Card"/>
    <s v="Shipped"/>
    <d v="2024-07-19T00:00:00"/>
    <m/>
    <x v="0"/>
    <x v="0"/>
    <x v="0"/>
    <x v="3"/>
    <s v="Festival Fever"/>
    <x v="1"/>
  </r>
  <r>
    <x v="822"/>
    <x v="821"/>
    <x v="84"/>
    <x v="4"/>
    <x v="8"/>
    <x v="2"/>
    <x v="2"/>
    <x v="12"/>
    <x v="15"/>
    <s v="Headphones Model 2"/>
    <n v="1"/>
    <n v="17030"/>
    <n v="0.05"/>
    <n v="16178.5"/>
    <n v="0.18"/>
    <n v="16178.5"/>
    <n v="2912.13"/>
    <x v="815"/>
    <s v="Credit Card"/>
    <s v="Delivered"/>
    <d v="2024-01-15T00:00:00"/>
    <d v="2024-01-17T00:00:00"/>
    <x v="0"/>
    <x v="0"/>
    <x v="0"/>
    <x v="1"/>
    <s v="New Year Sale"/>
    <x v="3"/>
  </r>
  <r>
    <x v="823"/>
    <x v="822"/>
    <x v="9"/>
    <x v="4"/>
    <x v="8"/>
    <x v="1"/>
    <x v="3"/>
    <x v="4"/>
    <x v="6"/>
    <s v="Tennis Racket Model 3"/>
    <n v="1"/>
    <n v="7304"/>
    <n v="0"/>
    <n v="7304"/>
    <n v="0.18"/>
    <n v="7304"/>
    <n v="1314.72"/>
    <x v="816"/>
    <s v="COD"/>
    <s v="Delivered"/>
    <d v="2024-04-04T00:00:00"/>
    <d v="2024-04-08T00:00:00"/>
    <x v="0"/>
    <x v="0"/>
    <x v="0"/>
    <x v="3"/>
    <s v="Festival Fever"/>
    <x v="3"/>
  </r>
  <r>
    <x v="824"/>
    <x v="823"/>
    <x v="47"/>
    <x v="2"/>
    <x v="6"/>
    <x v="0"/>
    <x v="2"/>
    <x v="13"/>
    <x v="16"/>
    <s v="Laptop Model 1"/>
    <n v="2"/>
    <n v="49550"/>
    <n v="0.05"/>
    <n v="47072.5"/>
    <n v="0.18"/>
    <n v="94145"/>
    <n v="16946.099999999999"/>
    <x v="817"/>
    <s v="Debit Card"/>
    <s v="Delivered"/>
    <d v="2024-10-19T00:00:00"/>
    <d v="2024-10-23T00:00:00"/>
    <x v="0"/>
    <x v="0"/>
    <x v="0"/>
    <x v="5"/>
    <s v="Festival Fever"/>
    <x v="5"/>
  </r>
  <r>
    <x v="825"/>
    <x v="824"/>
    <x v="120"/>
    <x v="1"/>
    <x v="18"/>
    <x v="0"/>
    <x v="1"/>
    <x v="20"/>
    <x v="36"/>
    <s v="Pulses Model 3"/>
    <n v="1"/>
    <n v="1133"/>
    <n v="0"/>
    <n v="1133"/>
    <n v="0.18"/>
    <n v="1133"/>
    <n v="203.94"/>
    <x v="818"/>
    <s v="COD"/>
    <s v="Delivered"/>
    <d v="2024-09-23T00:00:00"/>
    <d v="2024-09-25T00:00:00"/>
    <x v="0"/>
    <x v="0"/>
    <x v="0"/>
    <x v="6"/>
    <s v="Back to School"/>
    <x v="0"/>
  </r>
  <r>
    <x v="826"/>
    <x v="825"/>
    <x v="102"/>
    <x v="0"/>
    <x v="13"/>
    <x v="1"/>
    <x v="0"/>
    <x v="1"/>
    <x v="67"/>
    <s v="Cookware Model 2"/>
    <n v="2"/>
    <n v="14318"/>
    <n v="0.1"/>
    <n v="12886.2"/>
    <n v="0.05"/>
    <n v="25772.400000000001"/>
    <n v="1288.6199999999999"/>
    <x v="819"/>
    <s v="UPI"/>
    <s v="Delivered"/>
    <d v="2024-10-28T00:00:00"/>
    <d v="2024-10-31T00:00:00"/>
    <x v="0"/>
    <x v="0"/>
    <x v="0"/>
    <x v="5"/>
    <s v="Clearance"/>
    <x v="4"/>
  </r>
  <r>
    <x v="827"/>
    <x v="826"/>
    <x v="39"/>
    <x v="4"/>
    <x v="11"/>
    <x v="1"/>
    <x v="0"/>
    <x v="1"/>
    <x v="3"/>
    <s v="Cookware Model 3"/>
    <n v="1"/>
    <n v="4034"/>
    <n v="0.1"/>
    <n v="3630.6"/>
    <n v="0.12"/>
    <n v="3630.6"/>
    <n v="435.67200000000003"/>
    <x v="820"/>
    <s v="Debit Card"/>
    <s v="Delivered"/>
    <d v="2024-06-08T00:00:00"/>
    <d v="2024-06-10T00:00:00"/>
    <x v="0"/>
    <x v="0"/>
    <x v="0"/>
    <x v="6"/>
    <s v="Festival Fever"/>
    <x v="4"/>
  </r>
  <r>
    <x v="828"/>
    <x v="827"/>
    <x v="55"/>
    <x v="4"/>
    <x v="8"/>
    <x v="0"/>
    <x v="2"/>
    <x v="12"/>
    <x v="15"/>
    <s v="Headphones Model 2"/>
    <n v="1"/>
    <n v="49681"/>
    <n v="0.05"/>
    <n v="47196.95"/>
    <n v="0.12"/>
    <n v="47196.95"/>
    <n v="5663.6339999999991"/>
    <x v="821"/>
    <s v="COD"/>
    <s v="Returned"/>
    <d v="2025-01-15T00:00:00"/>
    <m/>
    <x v="1"/>
    <x v="36"/>
    <x v="36"/>
    <x v="6"/>
    <s v="Back to School"/>
    <x v="0"/>
  </r>
  <r>
    <x v="829"/>
    <x v="828"/>
    <x v="10"/>
    <x v="2"/>
    <x v="2"/>
    <x v="0"/>
    <x v="2"/>
    <x v="12"/>
    <x v="61"/>
    <s v="Headphones Model 3"/>
    <n v="1"/>
    <n v="24331"/>
    <n v="0.05"/>
    <n v="23114.45"/>
    <n v="0.12"/>
    <n v="23114.45"/>
    <n v="2773.7339999999999"/>
    <x v="822"/>
    <s v="UPI"/>
    <s v="Delivered"/>
    <d v="2025-02-25T00:00:00"/>
    <d v="2025-02-26T00:00:00"/>
    <x v="0"/>
    <x v="0"/>
    <x v="0"/>
    <x v="8"/>
    <s v="Diwali Blast"/>
    <x v="6"/>
  </r>
  <r>
    <x v="830"/>
    <x v="829"/>
    <x v="85"/>
    <x v="2"/>
    <x v="9"/>
    <x v="0"/>
    <x v="3"/>
    <x v="11"/>
    <x v="49"/>
    <s v="Cricket Bat Model 2"/>
    <n v="3"/>
    <n v="5803"/>
    <n v="0"/>
    <n v="5803"/>
    <n v="0.12"/>
    <n v="17409"/>
    <n v="2089.08"/>
    <x v="823"/>
    <s v="Credit Card"/>
    <s v="Delivered"/>
    <d v="2024-06-01T00:00:00"/>
    <d v="2024-06-06T00:00:00"/>
    <x v="0"/>
    <x v="0"/>
    <x v="0"/>
    <x v="8"/>
    <s v="Diwali Blast"/>
    <x v="3"/>
  </r>
  <r>
    <x v="831"/>
    <x v="830"/>
    <x v="0"/>
    <x v="0"/>
    <x v="0"/>
    <x v="1"/>
    <x v="3"/>
    <x v="16"/>
    <x v="48"/>
    <s v="Football Model 2"/>
    <n v="1"/>
    <n v="5380"/>
    <n v="0.15"/>
    <n v="4573"/>
    <n v="0.12"/>
    <n v="4573"/>
    <n v="548.76"/>
    <x v="824"/>
    <s v="Credit Card"/>
    <s v="Delivered"/>
    <d v="2024-10-28T00:00:00"/>
    <d v="2024-10-29T00:00:00"/>
    <x v="0"/>
    <x v="0"/>
    <x v="0"/>
    <x v="5"/>
    <s v="Summer Splash"/>
    <x v="3"/>
  </r>
  <r>
    <x v="832"/>
    <x v="831"/>
    <x v="34"/>
    <x v="4"/>
    <x v="8"/>
    <x v="2"/>
    <x v="1"/>
    <x v="20"/>
    <x v="74"/>
    <s v="Pulses Model 2"/>
    <n v="2"/>
    <n v="1095"/>
    <n v="0"/>
    <n v="1095"/>
    <n v="0.05"/>
    <n v="2190"/>
    <n v="109.5"/>
    <x v="825"/>
    <s v="UPI"/>
    <s v="Delivered"/>
    <d v="2024-03-12T00:00:00"/>
    <d v="2024-03-14T00:00:00"/>
    <x v="0"/>
    <x v="0"/>
    <x v="0"/>
    <x v="0"/>
    <s v="Summer Splash"/>
    <x v="6"/>
  </r>
  <r>
    <x v="833"/>
    <x v="832"/>
    <x v="158"/>
    <x v="1"/>
    <x v="1"/>
    <x v="1"/>
    <x v="2"/>
    <x v="13"/>
    <x v="50"/>
    <s v="Laptop Model 2"/>
    <n v="1"/>
    <n v="44091"/>
    <n v="0"/>
    <n v="44091"/>
    <n v="0.12"/>
    <n v="44091"/>
    <n v="5290.92"/>
    <x v="826"/>
    <s v="Debit Card"/>
    <s v="Delivered"/>
    <d v="2024-05-07T00:00:00"/>
    <d v="2024-05-11T00:00:00"/>
    <x v="0"/>
    <x v="0"/>
    <x v="0"/>
    <x v="9"/>
    <s v="Back to School"/>
    <x v="4"/>
  </r>
  <r>
    <x v="834"/>
    <x v="833"/>
    <x v="147"/>
    <x v="3"/>
    <x v="3"/>
    <x v="0"/>
    <x v="1"/>
    <x v="6"/>
    <x v="8"/>
    <s v="Oil Model 1"/>
    <n v="2"/>
    <n v="220"/>
    <n v="0"/>
    <n v="220"/>
    <n v="0.18"/>
    <n v="440"/>
    <n v="79.2"/>
    <x v="827"/>
    <s v="UPI"/>
    <s v="Delivered"/>
    <d v="2025-03-27T00:00:00"/>
    <d v="2025-03-31T00:00:00"/>
    <x v="0"/>
    <x v="0"/>
    <x v="0"/>
    <x v="1"/>
    <s v="Back to School"/>
    <x v="1"/>
  </r>
  <r>
    <x v="835"/>
    <x v="834"/>
    <x v="125"/>
    <x v="2"/>
    <x v="4"/>
    <x v="0"/>
    <x v="4"/>
    <x v="17"/>
    <x v="69"/>
    <s v="T-Shirt Model 1"/>
    <n v="1"/>
    <n v="2781"/>
    <n v="0.05"/>
    <n v="2641.95"/>
    <n v="0.05"/>
    <n v="2641.95"/>
    <n v="132.0975"/>
    <x v="828"/>
    <s v="UPI"/>
    <s v="Delivered"/>
    <d v="2025-01-28T00:00:00"/>
    <d v="2025-01-30T00:00:00"/>
    <x v="0"/>
    <x v="0"/>
    <x v="0"/>
    <x v="8"/>
    <s v="Monsoon Mania"/>
    <x v="4"/>
  </r>
  <r>
    <x v="836"/>
    <x v="835"/>
    <x v="108"/>
    <x v="0"/>
    <x v="14"/>
    <x v="0"/>
    <x v="0"/>
    <x v="22"/>
    <x v="44"/>
    <s v="Mixer Model 3"/>
    <n v="1"/>
    <n v="3047"/>
    <n v="0.05"/>
    <n v="2894.65"/>
    <n v="0.12"/>
    <n v="2894.65"/>
    <n v="347.358"/>
    <x v="829"/>
    <s v="Credit Card"/>
    <s v="Delivered"/>
    <d v="2024-03-12T00:00:00"/>
    <d v="2024-03-17T00:00:00"/>
    <x v="0"/>
    <x v="0"/>
    <x v="0"/>
    <x v="3"/>
    <s v="Diwali Blast"/>
    <x v="1"/>
  </r>
  <r>
    <x v="837"/>
    <x v="836"/>
    <x v="129"/>
    <x v="2"/>
    <x v="4"/>
    <x v="2"/>
    <x v="4"/>
    <x v="24"/>
    <x v="55"/>
    <s v="Jeans Model 2"/>
    <n v="1"/>
    <n v="1135"/>
    <n v="0.1"/>
    <n v="1021.5"/>
    <n v="0.12"/>
    <n v="1021.5"/>
    <n v="122.58"/>
    <x v="830"/>
    <s v="UPI"/>
    <s v="Delivered"/>
    <d v="2024-07-23T00:00:00"/>
    <d v="2024-07-27T00:00:00"/>
    <x v="0"/>
    <x v="0"/>
    <x v="0"/>
    <x v="3"/>
    <s v="Summer Splash"/>
    <x v="0"/>
  </r>
  <r>
    <x v="838"/>
    <x v="837"/>
    <x v="113"/>
    <x v="1"/>
    <x v="18"/>
    <x v="0"/>
    <x v="2"/>
    <x v="13"/>
    <x v="50"/>
    <s v="Laptop Model 2"/>
    <n v="2"/>
    <n v="27795"/>
    <n v="0.1"/>
    <n v="25015.5"/>
    <n v="0.18"/>
    <n v="50031"/>
    <n v="9005.58"/>
    <x v="831"/>
    <s v="UPI"/>
    <s v="Delivered"/>
    <d v="2024-03-13T00:00:00"/>
    <d v="2024-03-17T00:00:00"/>
    <x v="0"/>
    <x v="0"/>
    <x v="0"/>
    <x v="7"/>
    <s v="Summer Splash"/>
    <x v="1"/>
  </r>
  <r>
    <x v="839"/>
    <x v="838"/>
    <x v="69"/>
    <x v="3"/>
    <x v="10"/>
    <x v="1"/>
    <x v="3"/>
    <x v="4"/>
    <x v="71"/>
    <s v="Tennis Racket Model 2"/>
    <n v="2"/>
    <n v="4820"/>
    <n v="0.15"/>
    <n v="4097"/>
    <n v="0.05"/>
    <n v="8194"/>
    <n v="409.7"/>
    <x v="832"/>
    <s v="UPI"/>
    <s v="Returned"/>
    <d v="2025-03-29T00:00:00"/>
    <m/>
    <x v="1"/>
    <x v="37"/>
    <x v="37"/>
    <x v="5"/>
    <s v="Summer Splash"/>
    <x v="1"/>
  </r>
  <r>
    <x v="840"/>
    <x v="839"/>
    <x v="85"/>
    <x v="2"/>
    <x v="9"/>
    <x v="1"/>
    <x v="1"/>
    <x v="18"/>
    <x v="26"/>
    <s v="Beverage Model 2"/>
    <n v="3"/>
    <n v="988"/>
    <n v="0"/>
    <n v="988"/>
    <n v="0.05"/>
    <n v="2964"/>
    <n v="148.19999999999999"/>
    <x v="833"/>
    <s v="Credit Card"/>
    <s v="In Transit"/>
    <d v="2025-04-23T00:00:00"/>
    <m/>
    <x v="0"/>
    <x v="0"/>
    <x v="0"/>
    <x v="7"/>
    <s v="New Year Sale"/>
    <x v="0"/>
  </r>
  <r>
    <x v="841"/>
    <x v="840"/>
    <x v="140"/>
    <x v="1"/>
    <x v="18"/>
    <x v="0"/>
    <x v="1"/>
    <x v="18"/>
    <x v="42"/>
    <s v="Beverage Model 3"/>
    <n v="1"/>
    <n v="259"/>
    <n v="0.2"/>
    <n v="207.2"/>
    <n v="0.12"/>
    <n v="207.2"/>
    <n v="24.864000000000001"/>
    <x v="834"/>
    <s v="NetBanking"/>
    <s v="Delivered"/>
    <d v="2025-01-11T00:00:00"/>
    <d v="2025-01-13T00:00:00"/>
    <x v="0"/>
    <x v="0"/>
    <x v="0"/>
    <x v="7"/>
    <s v="Back to School"/>
    <x v="3"/>
  </r>
  <r>
    <x v="842"/>
    <x v="841"/>
    <x v="126"/>
    <x v="3"/>
    <x v="15"/>
    <x v="2"/>
    <x v="3"/>
    <x v="11"/>
    <x v="49"/>
    <s v="Cricket Bat Model 2"/>
    <n v="1"/>
    <n v="5045"/>
    <n v="0.05"/>
    <n v="4792.75"/>
    <n v="0.12"/>
    <n v="4792.75"/>
    <n v="575.13"/>
    <x v="835"/>
    <s v="Credit Card"/>
    <s v="Delivered"/>
    <d v="2025-03-18T00:00:00"/>
    <d v="2025-03-20T00:00:00"/>
    <x v="0"/>
    <x v="0"/>
    <x v="0"/>
    <x v="8"/>
    <s v="Diwali Blast"/>
    <x v="3"/>
  </r>
  <r>
    <x v="843"/>
    <x v="842"/>
    <x v="148"/>
    <x v="4"/>
    <x v="16"/>
    <x v="3"/>
    <x v="1"/>
    <x v="20"/>
    <x v="74"/>
    <s v="Pulses Model 2"/>
    <n v="4"/>
    <n v="1159"/>
    <n v="0"/>
    <n v="1159"/>
    <n v="0.05"/>
    <n v="4636"/>
    <n v="231.8"/>
    <x v="836"/>
    <s v="Debit Card"/>
    <s v="Delivered"/>
    <d v="2024-12-09T00:00:00"/>
    <d v="2024-12-13T00:00:00"/>
    <x v="0"/>
    <x v="0"/>
    <x v="0"/>
    <x v="5"/>
    <s v="Monsoon Mania"/>
    <x v="0"/>
  </r>
  <r>
    <x v="844"/>
    <x v="843"/>
    <x v="62"/>
    <x v="2"/>
    <x v="2"/>
    <x v="3"/>
    <x v="0"/>
    <x v="0"/>
    <x v="2"/>
    <s v="Air Purifier Model 3"/>
    <n v="2"/>
    <n v="10020"/>
    <n v="0"/>
    <n v="10020"/>
    <n v="0.12"/>
    <n v="20040"/>
    <n v="2404.8000000000002"/>
    <x v="837"/>
    <s v="COD"/>
    <s v="Delivered"/>
    <d v="2024-03-22T00:00:00"/>
    <d v="2024-03-24T00:00:00"/>
    <x v="0"/>
    <x v="0"/>
    <x v="0"/>
    <x v="3"/>
    <s v="Back to School"/>
    <x v="4"/>
  </r>
  <r>
    <x v="845"/>
    <x v="844"/>
    <x v="30"/>
    <x v="1"/>
    <x v="1"/>
    <x v="0"/>
    <x v="0"/>
    <x v="1"/>
    <x v="3"/>
    <s v="Cookware Model 3"/>
    <n v="3"/>
    <n v="1210"/>
    <n v="0.05"/>
    <n v="1149.5"/>
    <n v="0.05"/>
    <n v="3448.5"/>
    <n v="172.42500000000001"/>
    <x v="838"/>
    <s v="Debit Card"/>
    <s v="In Transit"/>
    <d v="2024-02-20T00:00:00"/>
    <m/>
    <x v="0"/>
    <x v="0"/>
    <x v="0"/>
    <x v="1"/>
    <s v="Summer Splash"/>
    <x v="4"/>
  </r>
  <r>
    <x v="846"/>
    <x v="845"/>
    <x v="96"/>
    <x v="3"/>
    <x v="3"/>
    <x v="1"/>
    <x v="1"/>
    <x v="20"/>
    <x v="74"/>
    <s v="Pulses Model 2"/>
    <n v="3"/>
    <n v="309"/>
    <n v="0.15"/>
    <n v="262.64999999999998"/>
    <n v="0.18"/>
    <n v="787.94999999999993"/>
    <n v="141.83099999999999"/>
    <x v="839"/>
    <s v="UPI"/>
    <s v="Delivered"/>
    <d v="2024-01-16T00:00:00"/>
    <d v="2024-01-20T00:00:00"/>
    <x v="0"/>
    <x v="0"/>
    <x v="0"/>
    <x v="4"/>
    <s v="Diwali Blast"/>
    <x v="3"/>
  </r>
  <r>
    <x v="847"/>
    <x v="846"/>
    <x v="29"/>
    <x v="0"/>
    <x v="0"/>
    <x v="0"/>
    <x v="2"/>
    <x v="19"/>
    <x v="39"/>
    <s v="Camera Model 3"/>
    <n v="2"/>
    <n v="48792"/>
    <n v="0"/>
    <n v="48792"/>
    <n v="0.18"/>
    <n v="97584"/>
    <n v="17565.12"/>
    <x v="840"/>
    <s v="UPI"/>
    <s v="Delivered"/>
    <d v="2024-05-04T00:00:00"/>
    <d v="2024-05-07T00:00:00"/>
    <x v="0"/>
    <x v="0"/>
    <x v="0"/>
    <x v="4"/>
    <s v="Summer Splash"/>
    <x v="1"/>
  </r>
  <r>
    <x v="848"/>
    <x v="847"/>
    <x v="12"/>
    <x v="2"/>
    <x v="4"/>
    <x v="3"/>
    <x v="3"/>
    <x v="11"/>
    <x v="24"/>
    <s v="Cricket Bat Model 3"/>
    <n v="3"/>
    <n v="2167"/>
    <n v="0.1"/>
    <n v="1950.3"/>
    <n v="0.12"/>
    <n v="5850.9"/>
    <n v="702.10799999999995"/>
    <x v="841"/>
    <s v="UPI"/>
    <s v="Returned"/>
    <d v="2024-12-12T00:00:00"/>
    <m/>
    <x v="1"/>
    <x v="38"/>
    <x v="38"/>
    <x v="0"/>
    <s v="Summer Splash"/>
    <x v="6"/>
  </r>
  <r>
    <x v="849"/>
    <x v="848"/>
    <x v="6"/>
    <x v="1"/>
    <x v="5"/>
    <x v="2"/>
    <x v="1"/>
    <x v="20"/>
    <x v="36"/>
    <s v="Pulses Model 3"/>
    <n v="4"/>
    <n v="580"/>
    <n v="0"/>
    <n v="580"/>
    <n v="0.05"/>
    <n v="2320"/>
    <n v="116"/>
    <x v="842"/>
    <s v="Credit Card"/>
    <s v="Delivered"/>
    <d v="2025-02-01T00:00:00"/>
    <d v="2025-02-02T00:00:00"/>
    <x v="0"/>
    <x v="0"/>
    <x v="0"/>
    <x v="0"/>
    <s v="Festival Fever"/>
    <x v="1"/>
  </r>
  <r>
    <x v="850"/>
    <x v="849"/>
    <x v="55"/>
    <x v="4"/>
    <x v="8"/>
    <x v="0"/>
    <x v="4"/>
    <x v="24"/>
    <x v="55"/>
    <s v="Jeans Model 2"/>
    <n v="2"/>
    <n v="1161"/>
    <n v="0.1"/>
    <n v="1044.9000000000001"/>
    <n v="0.18"/>
    <n v="2089.8000000000002"/>
    <n v="376.16399999999999"/>
    <x v="843"/>
    <s v="Credit Card"/>
    <s v="Delivered"/>
    <d v="2024-07-27T00:00:00"/>
    <d v="2024-07-31T00:00:00"/>
    <x v="0"/>
    <x v="0"/>
    <x v="0"/>
    <x v="1"/>
    <s v="New Year Sale"/>
    <x v="5"/>
  </r>
  <r>
    <x v="851"/>
    <x v="850"/>
    <x v="62"/>
    <x v="2"/>
    <x v="2"/>
    <x v="1"/>
    <x v="3"/>
    <x v="10"/>
    <x v="52"/>
    <s v="Yoga Mat Model 2"/>
    <n v="1"/>
    <n v="4241"/>
    <n v="0.05"/>
    <n v="4028.95"/>
    <n v="0.05"/>
    <n v="4028.95"/>
    <n v="201.44749999999999"/>
    <x v="844"/>
    <s v="COD"/>
    <s v="Delivered"/>
    <d v="2024-11-24T00:00:00"/>
    <d v="2024-11-25T00:00:00"/>
    <x v="0"/>
    <x v="0"/>
    <x v="0"/>
    <x v="3"/>
    <s v="Clearance"/>
    <x v="0"/>
  </r>
  <r>
    <x v="852"/>
    <x v="851"/>
    <x v="131"/>
    <x v="1"/>
    <x v="18"/>
    <x v="1"/>
    <x v="4"/>
    <x v="8"/>
    <x v="10"/>
    <s v="Jacket Model 3"/>
    <n v="5"/>
    <n v="1689"/>
    <n v="0.05"/>
    <n v="1604.55"/>
    <n v="0.05"/>
    <n v="8022.75"/>
    <n v="401.13749999999999"/>
    <x v="845"/>
    <s v="Credit Card"/>
    <s v="Delivered"/>
    <d v="2024-11-06T00:00:00"/>
    <d v="2024-11-10T00:00:00"/>
    <x v="0"/>
    <x v="0"/>
    <x v="0"/>
    <x v="9"/>
    <s v="Festival Fever"/>
    <x v="2"/>
  </r>
  <r>
    <x v="853"/>
    <x v="852"/>
    <x v="105"/>
    <x v="0"/>
    <x v="0"/>
    <x v="3"/>
    <x v="3"/>
    <x v="16"/>
    <x v="70"/>
    <s v="Football Model 3"/>
    <n v="2"/>
    <n v="9872"/>
    <n v="0"/>
    <n v="9872"/>
    <n v="0.18"/>
    <n v="19744"/>
    <n v="3553.92"/>
    <x v="846"/>
    <s v="UPI"/>
    <s v="Delivered"/>
    <d v="2024-04-08T00:00:00"/>
    <d v="2024-04-12T00:00:00"/>
    <x v="0"/>
    <x v="0"/>
    <x v="0"/>
    <x v="5"/>
    <s v="Monsoon Mania"/>
    <x v="0"/>
  </r>
  <r>
    <x v="854"/>
    <x v="853"/>
    <x v="3"/>
    <x v="3"/>
    <x v="3"/>
    <x v="0"/>
    <x v="4"/>
    <x v="24"/>
    <x v="55"/>
    <s v="Jeans Model 2"/>
    <n v="1"/>
    <n v="2342"/>
    <n v="0"/>
    <n v="2342"/>
    <n v="0.18"/>
    <n v="2342"/>
    <n v="421.56"/>
    <x v="847"/>
    <s v="Credit Card"/>
    <s v="Returned"/>
    <d v="2024-06-30T00:00:00"/>
    <m/>
    <x v="1"/>
    <x v="39"/>
    <x v="39"/>
    <x v="6"/>
    <s v="Clearance"/>
    <x v="5"/>
  </r>
  <r>
    <x v="855"/>
    <x v="854"/>
    <x v="140"/>
    <x v="1"/>
    <x v="18"/>
    <x v="0"/>
    <x v="4"/>
    <x v="24"/>
    <x v="66"/>
    <s v="Jeans Model 3"/>
    <n v="1"/>
    <n v="2930"/>
    <n v="0.05"/>
    <n v="2783.5"/>
    <n v="0.12"/>
    <n v="2783.5"/>
    <n v="334.02"/>
    <x v="848"/>
    <s v="Credit Card"/>
    <s v="Delivered"/>
    <d v="2024-10-29T00:00:00"/>
    <d v="2024-10-30T00:00:00"/>
    <x v="0"/>
    <x v="0"/>
    <x v="0"/>
    <x v="7"/>
    <s v="Clearance"/>
    <x v="5"/>
  </r>
  <r>
    <x v="856"/>
    <x v="855"/>
    <x v="22"/>
    <x v="0"/>
    <x v="13"/>
    <x v="2"/>
    <x v="0"/>
    <x v="22"/>
    <x v="54"/>
    <s v="Mixer Model 1"/>
    <n v="2"/>
    <n v="14321"/>
    <n v="0"/>
    <n v="14321"/>
    <n v="0.12"/>
    <n v="28642"/>
    <n v="3437.04"/>
    <x v="849"/>
    <s v="UPI"/>
    <s v="Cancelled"/>
    <m/>
    <m/>
    <x v="0"/>
    <x v="0"/>
    <x v="0"/>
    <x v="5"/>
    <s v="Diwali Blast"/>
    <x v="1"/>
  </r>
  <r>
    <x v="857"/>
    <x v="856"/>
    <x v="137"/>
    <x v="4"/>
    <x v="11"/>
    <x v="0"/>
    <x v="0"/>
    <x v="1"/>
    <x v="67"/>
    <s v="Cookware Model 2"/>
    <n v="2"/>
    <n v="4359"/>
    <n v="0.05"/>
    <n v="4141.05"/>
    <n v="0.12"/>
    <n v="8282.1"/>
    <n v="993.85199999999998"/>
    <x v="850"/>
    <s v="UPI"/>
    <s v="Delivered"/>
    <d v="2025-02-15T00:00:00"/>
    <d v="2025-02-17T00:00:00"/>
    <x v="0"/>
    <x v="0"/>
    <x v="0"/>
    <x v="4"/>
    <s v="Clearance"/>
    <x v="3"/>
  </r>
  <r>
    <x v="858"/>
    <x v="857"/>
    <x v="178"/>
    <x v="4"/>
    <x v="17"/>
    <x v="0"/>
    <x v="3"/>
    <x v="10"/>
    <x v="30"/>
    <s v="Yoga Mat Model 3"/>
    <n v="3"/>
    <n v="9982"/>
    <n v="0"/>
    <n v="9982"/>
    <n v="0.12"/>
    <n v="29946"/>
    <n v="3593.52"/>
    <x v="851"/>
    <s v="Debit Card"/>
    <s v="Delivered"/>
    <d v="2024-04-12T00:00:00"/>
    <d v="2024-04-17T00:00:00"/>
    <x v="0"/>
    <x v="0"/>
    <x v="0"/>
    <x v="6"/>
    <s v="Festival Fever"/>
    <x v="0"/>
  </r>
  <r>
    <x v="859"/>
    <x v="858"/>
    <x v="133"/>
    <x v="2"/>
    <x v="9"/>
    <x v="0"/>
    <x v="2"/>
    <x v="12"/>
    <x v="61"/>
    <s v="Headphones Model 3"/>
    <n v="2"/>
    <n v="30697"/>
    <n v="0.2"/>
    <n v="24557.599999999999"/>
    <n v="0.12"/>
    <n v="49115.199999999997"/>
    <n v="5893.8240000000014"/>
    <x v="852"/>
    <s v="COD"/>
    <s v="Shipped"/>
    <d v="2024-02-09T00:00:00"/>
    <m/>
    <x v="0"/>
    <x v="0"/>
    <x v="0"/>
    <x v="3"/>
    <s v="Festival Fever"/>
    <x v="0"/>
  </r>
  <r>
    <x v="860"/>
    <x v="859"/>
    <x v="149"/>
    <x v="1"/>
    <x v="1"/>
    <x v="2"/>
    <x v="0"/>
    <x v="22"/>
    <x v="54"/>
    <s v="Mixer Model 1"/>
    <n v="2"/>
    <n v="9886"/>
    <n v="0"/>
    <n v="9886"/>
    <n v="0.05"/>
    <n v="19772"/>
    <n v="988.6"/>
    <x v="853"/>
    <s v="NetBanking"/>
    <s v="Delivered"/>
    <d v="2024-10-26T00:00:00"/>
    <d v="2024-10-31T00:00:00"/>
    <x v="0"/>
    <x v="0"/>
    <x v="0"/>
    <x v="5"/>
    <s v="Summer Splash"/>
    <x v="6"/>
  </r>
  <r>
    <x v="861"/>
    <x v="860"/>
    <x v="92"/>
    <x v="2"/>
    <x v="2"/>
    <x v="1"/>
    <x v="3"/>
    <x v="7"/>
    <x v="23"/>
    <s v="Dumbbells Model 1"/>
    <n v="1"/>
    <n v="5005"/>
    <n v="0"/>
    <n v="5005"/>
    <n v="0.12"/>
    <n v="5005"/>
    <n v="600.6"/>
    <x v="854"/>
    <s v="Credit Card"/>
    <s v="Delivered"/>
    <d v="2024-02-20T00:00:00"/>
    <d v="2024-02-22T00:00:00"/>
    <x v="0"/>
    <x v="0"/>
    <x v="0"/>
    <x v="6"/>
    <s v="Clearance"/>
    <x v="5"/>
  </r>
  <r>
    <x v="862"/>
    <x v="861"/>
    <x v="116"/>
    <x v="3"/>
    <x v="7"/>
    <x v="1"/>
    <x v="3"/>
    <x v="10"/>
    <x v="12"/>
    <s v="Yoga Mat Model 1"/>
    <n v="4"/>
    <n v="7098"/>
    <n v="0.05"/>
    <n v="6743.0999999999995"/>
    <n v="0.12"/>
    <n v="26972.400000000001"/>
    <n v="3236.6880000000001"/>
    <x v="855"/>
    <s v="Debit Card"/>
    <s v="Delivered"/>
    <d v="2025-03-31T00:00:00"/>
    <d v="2025-04-05T00:00:00"/>
    <x v="0"/>
    <x v="0"/>
    <x v="0"/>
    <x v="6"/>
    <s v="Diwali Blast"/>
    <x v="3"/>
  </r>
  <r>
    <x v="863"/>
    <x v="862"/>
    <x v="142"/>
    <x v="3"/>
    <x v="3"/>
    <x v="0"/>
    <x v="1"/>
    <x v="15"/>
    <x v="58"/>
    <s v="Rice Model 2"/>
    <n v="3"/>
    <n v="613"/>
    <n v="0.05"/>
    <n v="582.35"/>
    <n v="0.05"/>
    <n v="1747.05"/>
    <n v="87.35250000000002"/>
    <x v="856"/>
    <s v="NetBanking"/>
    <s v="Delivered"/>
    <d v="2025-01-11T00:00:00"/>
    <d v="2025-01-14T00:00:00"/>
    <x v="0"/>
    <x v="0"/>
    <x v="0"/>
    <x v="2"/>
    <s v="New Year Sale"/>
    <x v="6"/>
  </r>
  <r>
    <x v="864"/>
    <x v="863"/>
    <x v="4"/>
    <x v="2"/>
    <x v="4"/>
    <x v="1"/>
    <x v="0"/>
    <x v="14"/>
    <x v="60"/>
    <s v="Vacuum Model 1"/>
    <n v="2"/>
    <n v="8811"/>
    <n v="0.05"/>
    <n v="8370.4499999999989"/>
    <n v="0.18"/>
    <n v="16740.900000000001"/>
    <n v="3013.3620000000001"/>
    <x v="857"/>
    <s v="COD"/>
    <s v="Cancelled"/>
    <m/>
    <m/>
    <x v="0"/>
    <x v="0"/>
    <x v="0"/>
    <x v="5"/>
    <s v="Clearance"/>
    <x v="5"/>
  </r>
  <r>
    <x v="865"/>
    <x v="864"/>
    <x v="56"/>
    <x v="2"/>
    <x v="6"/>
    <x v="0"/>
    <x v="1"/>
    <x v="20"/>
    <x v="36"/>
    <s v="Pulses Model 3"/>
    <n v="1"/>
    <n v="461"/>
    <n v="0.2"/>
    <n v="368.8"/>
    <n v="0.18"/>
    <n v="368.8"/>
    <n v="66.384"/>
    <x v="858"/>
    <s v="Credit Card"/>
    <s v="Delivered"/>
    <d v="2025-03-13T00:00:00"/>
    <d v="2025-03-15T00:00:00"/>
    <x v="0"/>
    <x v="0"/>
    <x v="0"/>
    <x v="8"/>
    <s v="Diwali Blast"/>
    <x v="6"/>
  </r>
  <r>
    <x v="866"/>
    <x v="865"/>
    <x v="145"/>
    <x v="4"/>
    <x v="11"/>
    <x v="0"/>
    <x v="3"/>
    <x v="7"/>
    <x v="23"/>
    <s v="Dumbbells Model 1"/>
    <n v="3"/>
    <n v="657"/>
    <n v="0.1"/>
    <n v="591.30000000000007"/>
    <n v="0.12"/>
    <n v="1773.9"/>
    <n v="212.86799999999999"/>
    <x v="859"/>
    <s v="UPI"/>
    <s v="Delivered"/>
    <d v="2024-11-30T00:00:00"/>
    <d v="2024-12-01T00:00:00"/>
    <x v="0"/>
    <x v="0"/>
    <x v="0"/>
    <x v="1"/>
    <s v="Clearance"/>
    <x v="1"/>
  </r>
  <r>
    <x v="867"/>
    <x v="866"/>
    <x v="121"/>
    <x v="2"/>
    <x v="6"/>
    <x v="2"/>
    <x v="0"/>
    <x v="21"/>
    <x v="51"/>
    <s v="Lamp Model 2"/>
    <n v="3"/>
    <n v="3275"/>
    <n v="0.15"/>
    <n v="2783.75"/>
    <n v="0.12"/>
    <n v="8351.25"/>
    <n v="1002.15"/>
    <x v="860"/>
    <s v="UPI"/>
    <s v="Delivered"/>
    <d v="2024-01-26T00:00:00"/>
    <d v="2024-01-30T00:00:00"/>
    <x v="0"/>
    <x v="0"/>
    <x v="0"/>
    <x v="8"/>
    <s v="Summer Splash"/>
    <x v="1"/>
  </r>
  <r>
    <x v="868"/>
    <x v="867"/>
    <x v="160"/>
    <x v="1"/>
    <x v="5"/>
    <x v="0"/>
    <x v="2"/>
    <x v="13"/>
    <x v="41"/>
    <s v="Laptop Model 3"/>
    <n v="3"/>
    <n v="40989"/>
    <n v="0.1"/>
    <n v="36890.1"/>
    <n v="0.05"/>
    <n v="110670.3"/>
    <n v="5533.5149999999994"/>
    <x v="861"/>
    <s v="UPI"/>
    <s v="Delivered"/>
    <d v="2024-02-10T00:00:00"/>
    <d v="2024-02-12T00:00:00"/>
    <x v="0"/>
    <x v="0"/>
    <x v="0"/>
    <x v="2"/>
    <s v="Diwali Blast"/>
    <x v="0"/>
  </r>
  <r>
    <x v="869"/>
    <x v="868"/>
    <x v="2"/>
    <x v="2"/>
    <x v="2"/>
    <x v="0"/>
    <x v="4"/>
    <x v="17"/>
    <x v="25"/>
    <s v="T-Shirt Model 2"/>
    <n v="1"/>
    <n v="1885"/>
    <n v="0.1"/>
    <n v="1696.5"/>
    <n v="0.05"/>
    <n v="1696.5"/>
    <n v="84.825000000000003"/>
    <x v="862"/>
    <s v="UPI"/>
    <s v="Cancelled"/>
    <m/>
    <m/>
    <x v="0"/>
    <x v="0"/>
    <x v="0"/>
    <x v="5"/>
    <s v="Summer Splash"/>
    <x v="2"/>
  </r>
  <r>
    <x v="870"/>
    <x v="869"/>
    <x v="94"/>
    <x v="3"/>
    <x v="15"/>
    <x v="1"/>
    <x v="0"/>
    <x v="14"/>
    <x v="17"/>
    <s v="Vacuum Model 3"/>
    <n v="2"/>
    <n v="4118"/>
    <n v="0.15"/>
    <n v="3500.3"/>
    <n v="0.12"/>
    <n v="7000.5999999999995"/>
    <n v="840.07199999999989"/>
    <x v="863"/>
    <s v="Credit Card"/>
    <s v="Returned"/>
    <d v="2025-03-11T00:00:00"/>
    <m/>
    <x v="1"/>
    <x v="40"/>
    <x v="40"/>
    <x v="0"/>
    <s v="Diwali Blast"/>
    <x v="5"/>
  </r>
  <r>
    <x v="871"/>
    <x v="870"/>
    <x v="33"/>
    <x v="3"/>
    <x v="15"/>
    <x v="0"/>
    <x v="2"/>
    <x v="12"/>
    <x v="61"/>
    <s v="Headphones Model 3"/>
    <n v="1"/>
    <n v="52392"/>
    <n v="0.05"/>
    <n v="49772.399999999987"/>
    <n v="0.12"/>
    <n v="49772.399999999987"/>
    <n v="5972.6879999999992"/>
    <x v="864"/>
    <s v="Credit Card"/>
    <s v="Delivered"/>
    <d v="2025-03-26T00:00:00"/>
    <d v="2025-03-29T00:00:00"/>
    <x v="0"/>
    <x v="0"/>
    <x v="0"/>
    <x v="0"/>
    <s v="Diwali Blast"/>
    <x v="3"/>
  </r>
  <r>
    <x v="872"/>
    <x v="871"/>
    <x v="96"/>
    <x v="3"/>
    <x v="3"/>
    <x v="0"/>
    <x v="3"/>
    <x v="7"/>
    <x v="33"/>
    <s v="Dumbbells Model 2"/>
    <n v="3"/>
    <n v="7085"/>
    <n v="0.05"/>
    <n v="6730.75"/>
    <n v="0.18"/>
    <n v="20192.25"/>
    <n v="3634.605"/>
    <x v="865"/>
    <s v="Credit Card"/>
    <s v="Delivered"/>
    <d v="2024-06-26T00:00:00"/>
    <d v="2024-06-28T00:00:00"/>
    <x v="0"/>
    <x v="0"/>
    <x v="0"/>
    <x v="4"/>
    <s v="New Year Sale"/>
    <x v="2"/>
  </r>
  <r>
    <x v="873"/>
    <x v="872"/>
    <x v="161"/>
    <x v="3"/>
    <x v="10"/>
    <x v="0"/>
    <x v="2"/>
    <x v="12"/>
    <x v="46"/>
    <s v="Headphones Model 1"/>
    <n v="1"/>
    <n v="32688"/>
    <n v="0"/>
    <n v="32688"/>
    <n v="0.12"/>
    <n v="32688"/>
    <n v="3922.56"/>
    <x v="866"/>
    <s v="NetBanking"/>
    <s v="Delivered"/>
    <d v="2024-06-26T00:00:00"/>
    <d v="2024-07-01T00:00:00"/>
    <x v="0"/>
    <x v="0"/>
    <x v="0"/>
    <x v="8"/>
    <s v="New Year Sale"/>
    <x v="1"/>
  </r>
  <r>
    <x v="874"/>
    <x v="873"/>
    <x v="74"/>
    <x v="1"/>
    <x v="18"/>
    <x v="0"/>
    <x v="1"/>
    <x v="2"/>
    <x v="4"/>
    <s v="Snacks Model 1"/>
    <n v="3"/>
    <n v="597"/>
    <n v="0.15"/>
    <n v="507.45"/>
    <n v="0.12"/>
    <n v="1522.35"/>
    <n v="182.68199999999999"/>
    <x v="867"/>
    <s v="UPI"/>
    <s v="Cancelled"/>
    <m/>
    <m/>
    <x v="0"/>
    <x v="0"/>
    <x v="0"/>
    <x v="3"/>
    <s v="Festival Fever"/>
    <x v="1"/>
  </r>
  <r>
    <x v="875"/>
    <x v="874"/>
    <x v="22"/>
    <x v="0"/>
    <x v="13"/>
    <x v="1"/>
    <x v="2"/>
    <x v="3"/>
    <x v="57"/>
    <s v="Smartphone Model 1"/>
    <n v="2"/>
    <n v="45890"/>
    <n v="0"/>
    <n v="45890"/>
    <n v="0.18"/>
    <n v="91780"/>
    <n v="16520.400000000001"/>
    <x v="868"/>
    <s v="UPI"/>
    <s v="Delivered"/>
    <d v="2024-02-26T00:00:00"/>
    <d v="2024-02-27T00:00:00"/>
    <x v="0"/>
    <x v="0"/>
    <x v="0"/>
    <x v="6"/>
    <s v="Festival Fever"/>
    <x v="0"/>
  </r>
  <r>
    <x v="876"/>
    <x v="875"/>
    <x v="158"/>
    <x v="1"/>
    <x v="1"/>
    <x v="0"/>
    <x v="3"/>
    <x v="10"/>
    <x v="30"/>
    <s v="Yoga Mat Model 3"/>
    <n v="1"/>
    <n v="2562"/>
    <n v="0.15"/>
    <n v="2177.6999999999998"/>
    <n v="0.05"/>
    <n v="2177.6999999999998"/>
    <n v="108.88500000000001"/>
    <x v="869"/>
    <s v="UPI"/>
    <s v="Delivered"/>
    <d v="2025-03-13T00:00:00"/>
    <d v="2025-03-17T00:00:00"/>
    <x v="0"/>
    <x v="0"/>
    <x v="0"/>
    <x v="6"/>
    <s v="New Year Sale"/>
    <x v="3"/>
  </r>
  <r>
    <x v="877"/>
    <x v="876"/>
    <x v="39"/>
    <x v="4"/>
    <x v="11"/>
    <x v="0"/>
    <x v="2"/>
    <x v="13"/>
    <x v="41"/>
    <s v="Laptop Model 3"/>
    <n v="2"/>
    <n v="58689"/>
    <n v="0"/>
    <n v="58689"/>
    <n v="0.12"/>
    <n v="117378"/>
    <n v="14085.36"/>
    <x v="870"/>
    <s v="Credit Card"/>
    <s v="Delivered"/>
    <d v="2025-02-07T00:00:00"/>
    <d v="2025-02-10T00:00:00"/>
    <x v="0"/>
    <x v="0"/>
    <x v="0"/>
    <x v="3"/>
    <s v="Festival Fever"/>
    <x v="5"/>
  </r>
  <r>
    <x v="878"/>
    <x v="877"/>
    <x v="33"/>
    <x v="3"/>
    <x v="15"/>
    <x v="0"/>
    <x v="2"/>
    <x v="19"/>
    <x v="73"/>
    <s v="Camera Model 1"/>
    <n v="2"/>
    <n v="43913"/>
    <n v="0.05"/>
    <n v="41717.35"/>
    <n v="0.12"/>
    <n v="83434.7"/>
    <n v="10012.164000000001"/>
    <x v="871"/>
    <s v="Credit Card"/>
    <s v="Delivered"/>
    <d v="2024-02-24T00:00:00"/>
    <d v="2024-02-27T00:00:00"/>
    <x v="0"/>
    <x v="0"/>
    <x v="0"/>
    <x v="9"/>
    <s v="Clearance"/>
    <x v="3"/>
  </r>
  <r>
    <x v="879"/>
    <x v="878"/>
    <x v="71"/>
    <x v="1"/>
    <x v="1"/>
    <x v="0"/>
    <x v="0"/>
    <x v="1"/>
    <x v="67"/>
    <s v="Cookware Model 2"/>
    <n v="1"/>
    <n v="10478"/>
    <n v="0.15"/>
    <n v="8906.2999999999993"/>
    <n v="0.12"/>
    <n v="8906.2999999999993"/>
    <n v="1068.7560000000001"/>
    <x v="872"/>
    <s v="Debit Card"/>
    <s v="Delivered"/>
    <d v="2024-06-07T00:00:00"/>
    <d v="2024-06-12T00:00:00"/>
    <x v="0"/>
    <x v="0"/>
    <x v="0"/>
    <x v="8"/>
    <s v="Monsoon Mania"/>
    <x v="6"/>
  </r>
  <r>
    <x v="880"/>
    <x v="879"/>
    <x v="43"/>
    <x v="4"/>
    <x v="11"/>
    <x v="2"/>
    <x v="3"/>
    <x v="7"/>
    <x v="23"/>
    <s v="Dumbbells Model 1"/>
    <n v="1"/>
    <n v="5497"/>
    <n v="0"/>
    <n v="5497"/>
    <n v="0.12"/>
    <n v="5497"/>
    <n v="659.64"/>
    <x v="873"/>
    <s v="Debit Card"/>
    <s v="Delivered"/>
    <d v="2025-02-07T00:00:00"/>
    <d v="2025-02-10T00:00:00"/>
    <x v="0"/>
    <x v="0"/>
    <x v="0"/>
    <x v="8"/>
    <s v="Summer Splash"/>
    <x v="2"/>
  </r>
  <r>
    <x v="881"/>
    <x v="880"/>
    <x v="75"/>
    <x v="0"/>
    <x v="14"/>
    <x v="2"/>
    <x v="2"/>
    <x v="3"/>
    <x v="5"/>
    <s v="Smartphone Model 3"/>
    <n v="3"/>
    <n v="30291"/>
    <n v="0.1"/>
    <n v="27261.9"/>
    <n v="0.12"/>
    <n v="81785.700000000012"/>
    <n v="9814.2840000000015"/>
    <x v="874"/>
    <s v="COD"/>
    <s v="Delivered"/>
    <d v="2024-08-06T00:00:00"/>
    <d v="2024-08-10T00:00:00"/>
    <x v="0"/>
    <x v="0"/>
    <x v="0"/>
    <x v="9"/>
    <s v="Monsoon Mania"/>
    <x v="6"/>
  </r>
  <r>
    <x v="882"/>
    <x v="881"/>
    <x v="47"/>
    <x v="2"/>
    <x v="6"/>
    <x v="0"/>
    <x v="4"/>
    <x v="17"/>
    <x v="32"/>
    <s v="T-Shirt Model 3"/>
    <n v="2"/>
    <n v="2691"/>
    <n v="0"/>
    <n v="2691"/>
    <n v="0.05"/>
    <n v="5382"/>
    <n v="269.10000000000002"/>
    <x v="875"/>
    <s v="NetBanking"/>
    <s v="Delivered"/>
    <d v="2024-02-20T00:00:00"/>
    <d v="2024-02-25T00:00:00"/>
    <x v="0"/>
    <x v="0"/>
    <x v="0"/>
    <x v="0"/>
    <s v="Clearance"/>
    <x v="6"/>
  </r>
  <r>
    <x v="883"/>
    <x v="882"/>
    <x v="71"/>
    <x v="1"/>
    <x v="1"/>
    <x v="3"/>
    <x v="2"/>
    <x v="19"/>
    <x v="73"/>
    <s v="Camera Model 1"/>
    <n v="1"/>
    <n v="57062"/>
    <n v="0"/>
    <n v="57062"/>
    <n v="0.18"/>
    <n v="57062"/>
    <n v="10271.16"/>
    <x v="876"/>
    <s v="Credit Card"/>
    <s v="Delivered"/>
    <d v="2024-11-04T00:00:00"/>
    <d v="2024-11-07T00:00:00"/>
    <x v="0"/>
    <x v="0"/>
    <x v="0"/>
    <x v="2"/>
    <s v="Clearance"/>
    <x v="1"/>
  </r>
  <r>
    <x v="884"/>
    <x v="159"/>
    <x v="16"/>
    <x v="4"/>
    <x v="11"/>
    <x v="0"/>
    <x v="2"/>
    <x v="13"/>
    <x v="41"/>
    <s v="Laptop Model 3"/>
    <n v="1"/>
    <n v="10117"/>
    <n v="0.1"/>
    <n v="9105.3000000000011"/>
    <n v="0.18"/>
    <n v="9105.3000000000011"/>
    <n v="1638.954"/>
    <x v="877"/>
    <s v="Credit Card"/>
    <s v="Delivered"/>
    <d v="2024-10-23T00:00:00"/>
    <d v="2024-10-28T00:00:00"/>
    <x v="0"/>
    <x v="0"/>
    <x v="0"/>
    <x v="6"/>
    <s v="Back to School"/>
    <x v="2"/>
  </r>
  <r>
    <x v="885"/>
    <x v="883"/>
    <x v="155"/>
    <x v="2"/>
    <x v="9"/>
    <x v="0"/>
    <x v="3"/>
    <x v="16"/>
    <x v="70"/>
    <s v="Football Model 3"/>
    <n v="1"/>
    <n v="5867"/>
    <n v="0"/>
    <n v="5867"/>
    <n v="0.12"/>
    <n v="5867"/>
    <n v="704.04"/>
    <x v="878"/>
    <s v="Credit Card"/>
    <s v="Delivered"/>
    <d v="2025-02-21T00:00:00"/>
    <d v="2025-02-23T00:00:00"/>
    <x v="0"/>
    <x v="0"/>
    <x v="0"/>
    <x v="8"/>
    <s v="Back to School"/>
    <x v="2"/>
  </r>
  <r>
    <x v="886"/>
    <x v="884"/>
    <x v="25"/>
    <x v="2"/>
    <x v="6"/>
    <x v="1"/>
    <x v="2"/>
    <x v="12"/>
    <x v="61"/>
    <s v="Headphones Model 3"/>
    <n v="1"/>
    <n v="51470"/>
    <n v="0.1"/>
    <n v="46323"/>
    <n v="0.05"/>
    <n v="46323"/>
    <n v="2316.15"/>
    <x v="879"/>
    <s v="Credit Card"/>
    <s v="Delivered"/>
    <d v="2024-11-13T00:00:00"/>
    <d v="2024-11-18T00:00:00"/>
    <x v="0"/>
    <x v="0"/>
    <x v="0"/>
    <x v="5"/>
    <s v="Diwali Blast"/>
    <x v="6"/>
  </r>
  <r>
    <x v="887"/>
    <x v="885"/>
    <x v="53"/>
    <x v="0"/>
    <x v="0"/>
    <x v="0"/>
    <x v="4"/>
    <x v="5"/>
    <x v="7"/>
    <s v="Dress Model 3"/>
    <n v="1"/>
    <n v="558"/>
    <n v="0.15"/>
    <n v="474.3"/>
    <n v="0.12"/>
    <n v="474.3"/>
    <n v="56.915999999999997"/>
    <x v="880"/>
    <s v="UPI"/>
    <s v="Delivered"/>
    <d v="2025-03-24T00:00:00"/>
    <d v="2025-03-28T00:00:00"/>
    <x v="0"/>
    <x v="0"/>
    <x v="0"/>
    <x v="3"/>
    <s v="Festival Fever"/>
    <x v="3"/>
  </r>
  <r>
    <x v="888"/>
    <x v="886"/>
    <x v="33"/>
    <x v="3"/>
    <x v="15"/>
    <x v="0"/>
    <x v="2"/>
    <x v="23"/>
    <x v="68"/>
    <s v="Smartwatch Model 2"/>
    <n v="1"/>
    <n v="55565"/>
    <n v="0"/>
    <n v="55565"/>
    <n v="0.12"/>
    <n v="55565"/>
    <n v="6667.8"/>
    <x v="881"/>
    <s v="UPI"/>
    <s v="Delivered"/>
    <d v="2025-03-19T00:00:00"/>
    <d v="2025-03-20T00:00:00"/>
    <x v="0"/>
    <x v="0"/>
    <x v="0"/>
    <x v="8"/>
    <s v="New Year Sale"/>
    <x v="1"/>
  </r>
  <r>
    <x v="889"/>
    <x v="887"/>
    <x v="85"/>
    <x v="2"/>
    <x v="9"/>
    <x v="0"/>
    <x v="3"/>
    <x v="11"/>
    <x v="14"/>
    <s v="Cricket Bat Model 1"/>
    <n v="3"/>
    <n v="5689"/>
    <n v="0"/>
    <n v="5689"/>
    <n v="0.12"/>
    <n v="17067"/>
    <n v="2048.04"/>
    <x v="882"/>
    <s v="Credit Card"/>
    <s v="In Transit"/>
    <d v="2025-01-06T00:00:00"/>
    <m/>
    <x v="0"/>
    <x v="0"/>
    <x v="0"/>
    <x v="1"/>
    <s v="Clearance"/>
    <x v="6"/>
  </r>
  <r>
    <x v="890"/>
    <x v="888"/>
    <x v="130"/>
    <x v="1"/>
    <x v="12"/>
    <x v="0"/>
    <x v="0"/>
    <x v="14"/>
    <x v="31"/>
    <s v="Vacuum Model 2"/>
    <n v="2"/>
    <n v="7887"/>
    <n v="0.05"/>
    <n v="7492.65"/>
    <n v="0.18"/>
    <n v="14985.3"/>
    <n v="2697.3539999999998"/>
    <x v="883"/>
    <s v="UPI"/>
    <s v="Delivered"/>
    <d v="2025-04-01T00:00:00"/>
    <d v="2025-04-02T00:00:00"/>
    <x v="0"/>
    <x v="0"/>
    <x v="0"/>
    <x v="1"/>
    <s v="Festival Fever"/>
    <x v="5"/>
  </r>
  <r>
    <x v="891"/>
    <x v="889"/>
    <x v="44"/>
    <x v="1"/>
    <x v="5"/>
    <x v="0"/>
    <x v="3"/>
    <x v="4"/>
    <x v="20"/>
    <s v="Tennis Racket Model 1"/>
    <n v="1"/>
    <n v="6224"/>
    <n v="0.05"/>
    <n v="5912.7999999999993"/>
    <n v="0.12"/>
    <n v="5912.7999999999993"/>
    <n v="709.53599999999983"/>
    <x v="884"/>
    <s v="NetBanking"/>
    <s v="Delivered"/>
    <d v="2024-07-19T00:00:00"/>
    <d v="2024-07-23T00:00:00"/>
    <x v="0"/>
    <x v="0"/>
    <x v="0"/>
    <x v="7"/>
    <s v="Diwali Blast"/>
    <x v="4"/>
  </r>
  <r>
    <x v="892"/>
    <x v="890"/>
    <x v="59"/>
    <x v="4"/>
    <x v="8"/>
    <x v="3"/>
    <x v="2"/>
    <x v="23"/>
    <x v="68"/>
    <s v="Smartwatch Model 2"/>
    <n v="1"/>
    <n v="14169"/>
    <n v="0"/>
    <n v="14169"/>
    <n v="0.18"/>
    <n v="14169"/>
    <n v="2550.42"/>
    <x v="885"/>
    <s v="COD"/>
    <s v="Returned"/>
    <d v="2024-06-02T00:00:00"/>
    <m/>
    <x v="1"/>
    <x v="41"/>
    <x v="41"/>
    <x v="3"/>
    <s v="Clearance"/>
    <x v="3"/>
  </r>
  <r>
    <x v="893"/>
    <x v="891"/>
    <x v="155"/>
    <x v="2"/>
    <x v="9"/>
    <x v="2"/>
    <x v="3"/>
    <x v="4"/>
    <x v="6"/>
    <s v="Tennis Racket Model 3"/>
    <n v="2"/>
    <n v="5743"/>
    <n v="0"/>
    <n v="5743"/>
    <n v="0.05"/>
    <n v="11486"/>
    <n v="574.30000000000007"/>
    <x v="886"/>
    <s v="Credit Card"/>
    <s v="Delivered"/>
    <d v="2024-02-08T00:00:00"/>
    <d v="2024-02-11T00:00:00"/>
    <x v="0"/>
    <x v="0"/>
    <x v="0"/>
    <x v="9"/>
    <s v="Back to School"/>
    <x v="4"/>
  </r>
  <r>
    <x v="894"/>
    <x v="892"/>
    <x v="85"/>
    <x v="2"/>
    <x v="9"/>
    <x v="0"/>
    <x v="1"/>
    <x v="18"/>
    <x v="29"/>
    <s v="Beverage Model 1"/>
    <n v="3"/>
    <n v="821"/>
    <n v="0.1"/>
    <n v="738.9"/>
    <n v="0.18"/>
    <n v="2216.6999999999998"/>
    <n v="399.00599999999997"/>
    <x v="887"/>
    <s v="COD"/>
    <s v="Delivered"/>
    <d v="2024-01-25T00:00:00"/>
    <d v="2024-01-26T00:00:00"/>
    <x v="0"/>
    <x v="0"/>
    <x v="0"/>
    <x v="7"/>
    <s v="Diwali Blast"/>
    <x v="5"/>
  </r>
  <r>
    <x v="895"/>
    <x v="893"/>
    <x v="135"/>
    <x v="3"/>
    <x v="3"/>
    <x v="1"/>
    <x v="1"/>
    <x v="18"/>
    <x v="26"/>
    <s v="Beverage Model 2"/>
    <n v="1"/>
    <n v="555"/>
    <n v="0"/>
    <n v="555"/>
    <n v="0.12"/>
    <n v="555"/>
    <n v="66.599999999999994"/>
    <x v="888"/>
    <s v="Credit Card"/>
    <s v="Delivered"/>
    <d v="2025-04-02T00:00:00"/>
    <d v="2025-04-07T00:00:00"/>
    <x v="0"/>
    <x v="0"/>
    <x v="0"/>
    <x v="2"/>
    <s v="Clearance"/>
    <x v="4"/>
  </r>
  <r>
    <x v="896"/>
    <x v="894"/>
    <x v="6"/>
    <x v="1"/>
    <x v="5"/>
    <x v="0"/>
    <x v="2"/>
    <x v="23"/>
    <x v="68"/>
    <s v="Smartwatch Model 2"/>
    <n v="2"/>
    <n v="28036"/>
    <n v="0.2"/>
    <n v="22428.799999999999"/>
    <n v="0.12"/>
    <n v="44857.600000000013"/>
    <n v="5382.9120000000003"/>
    <x v="889"/>
    <s v="Credit Card"/>
    <s v="Delivered"/>
    <d v="2025-01-16T00:00:00"/>
    <d v="2025-01-19T00:00:00"/>
    <x v="0"/>
    <x v="0"/>
    <x v="0"/>
    <x v="3"/>
    <s v="Back to School"/>
    <x v="2"/>
  </r>
  <r>
    <x v="897"/>
    <x v="895"/>
    <x v="103"/>
    <x v="1"/>
    <x v="5"/>
    <x v="1"/>
    <x v="4"/>
    <x v="17"/>
    <x v="32"/>
    <s v="T-Shirt Model 3"/>
    <n v="3"/>
    <n v="590"/>
    <n v="0.05"/>
    <n v="560.5"/>
    <n v="0.12"/>
    <n v="1681.5"/>
    <n v="201.78"/>
    <x v="890"/>
    <s v="COD"/>
    <s v="Delivered"/>
    <d v="2024-08-22T00:00:00"/>
    <d v="2024-08-23T00:00:00"/>
    <x v="0"/>
    <x v="0"/>
    <x v="0"/>
    <x v="6"/>
    <s v="Summer Splash"/>
    <x v="6"/>
  </r>
  <r>
    <x v="898"/>
    <x v="896"/>
    <x v="37"/>
    <x v="1"/>
    <x v="1"/>
    <x v="2"/>
    <x v="0"/>
    <x v="22"/>
    <x v="44"/>
    <s v="Mixer Model 3"/>
    <n v="2"/>
    <n v="1922"/>
    <n v="0"/>
    <n v="1922"/>
    <n v="0.18"/>
    <n v="3844"/>
    <n v="691.92"/>
    <x v="891"/>
    <s v="Credit Card"/>
    <s v="Shipped"/>
    <d v="2024-10-18T00:00:00"/>
    <m/>
    <x v="0"/>
    <x v="0"/>
    <x v="0"/>
    <x v="1"/>
    <s v="New Year Sale"/>
    <x v="6"/>
  </r>
  <r>
    <x v="899"/>
    <x v="897"/>
    <x v="17"/>
    <x v="1"/>
    <x v="1"/>
    <x v="1"/>
    <x v="3"/>
    <x v="16"/>
    <x v="48"/>
    <s v="Football Model 2"/>
    <n v="1"/>
    <n v="8168"/>
    <n v="0.05"/>
    <n v="7759.5999999999995"/>
    <n v="0.18"/>
    <n v="7759.5999999999995"/>
    <n v="1396.7280000000001"/>
    <x v="892"/>
    <s v="COD"/>
    <s v="Cancelled"/>
    <m/>
    <m/>
    <x v="0"/>
    <x v="0"/>
    <x v="0"/>
    <x v="0"/>
    <s v="Back to School"/>
    <x v="3"/>
  </r>
  <r>
    <x v="900"/>
    <x v="898"/>
    <x v="173"/>
    <x v="4"/>
    <x v="16"/>
    <x v="0"/>
    <x v="4"/>
    <x v="24"/>
    <x v="64"/>
    <s v="Jeans Model 1"/>
    <n v="1"/>
    <n v="2945"/>
    <n v="0.15"/>
    <n v="2503.25"/>
    <n v="0.12"/>
    <n v="2503.25"/>
    <n v="300.39"/>
    <x v="893"/>
    <s v="NetBanking"/>
    <s v="Shipped"/>
    <d v="2024-08-16T00:00:00"/>
    <m/>
    <x v="0"/>
    <x v="0"/>
    <x v="0"/>
    <x v="5"/>
    <s v="Monsoon Mania"/>
    <x v="1"/>
  </r>
  <r>
    <x v="901"/>
    <x v="899"/>
    <x v="8"/>
    <x v="3"/>
    <x v="7"/>
    <x v="0"/>
    <x v="0"/>
    <x v="1"/>
    <x v="3"/>
    <s v="Cookware Model 3"/>
    <n v="2"/>
    <n v="9726"/>
    <n v="0"/>
    <n v="9726"/>
    <n v="0.12"/>
    <n v="19452"/>
    <n v="2334.2399999999998"/>
    <x v="894"/>
    <s v="Credit Card"/>
    <s v="Delivered"/>
    <d v="2024-12-16T00:00:00"/>
    <d v="2024-12-20T00:00:00"/>
    <x v="0"/>
    <x v="0"/>
    <x v="0"/>
    <x v="9"/>
    <s v="Festival Fever"/>
    <x v="5"/>
  </r>
  <r>
    <x v="902"/>
    <x v="900"/>
    <x v="74"/>
    <x v="1"/>
    <x v="18"/>
    <x v="0"/>
    <x v="1"/>
    <x v="18"/>
    <x v="29"/>
    <s v="Beverage Model 1"/>
    <n v="1"/>
    <n v="867"/>
    <n v="0"/>
    <n v="867"/>
    <n v="0.12"/>
    <n v="867"/>
    <n v="104.04"/>
    <x v="895"/>
    <s v="NetBanking"/>
    <s v="Delivered"/>
    <d v="2024-01-24T00:00:00"/>
    <d v="2024-01-28T00:00:00"/>
    <x v="0"/>
    <x v="0"/>
    <x v="0"/>
    <x v="4"/>
    <s v="Monsoon Mania"/>
    <x v="4"/>
  </r>
  <r>
    <x v="903"/>
    <x v="901"/>
    <x v="111"/>
    <x v="0"/>
    <x v="13"/>
    <x v="3"/>
    <x v="3"/>
    <x v="10"/>
    <x v="30"/>
    <s v="Yoga Mat Model 3"/>
    <n v="5"/>
    <n v="9658"/>
    <n v="0.2"/>
    <n v="7726.4000000000005"/>
    <n v="0.05"/>
    <n v="38632"/>
    <n v="1931.6"/>
    <x v="896"/>
    <s v="UPI"/>
    <s v="Delivered"/>
    <d v="2024-04-28T00:00:00"/>
    <d v="2024-05-02T00:00:00"/>
    <x v="0"/>
    <x v="0"/>
    <x v="0"/>
    <x v="4"/>
    <s v="Summer Splash"/>
    <x v="3"/>
  </r>
  <r>
    <x v="904"/>
    <x v="902"/>
    <x v="33"/>
    <x v="3"/>
    <x v="15"/>
    <x v="0"/>
    <x v="3"/>
    <x v="10"/>
    <x v="52"/>
    <s v="Yoga Mat Model 2"/>
    <n v="3"/>
    <n v="7213"/>
    <n v="0"/>
    <n v="7213"/>
    <n v="0.18"/>
    <n v="21639"/>
    <n v="3895.02"/>
    <x v="897"/>
    <s v="Credit Card"/>
    <s v="Delivered"/>
    <d v="2025-01-11T00:00:00"/>
    <d v="2025-01-14T00:00:00"/>
    <x v="0"/>
    <x v="0"/>
    <x v="0"/>
    <x v="1"/>
    <s v="Back to School"/>
    <x v="4"/>
  </r>
  <r>
    <x v="905"/>
    <x v="903"/>
    <x v="63"/>
    <x v="1"/>
    <x v="1"/>
    <x v="1"/>
    <x v="4"/>
    <x v="8"/>
    <x v="72"/>
    <s v="Jacket Model 2"/>
    <n v="3"/>
    <n v="1910"/>
    <n v="0.15"/>
    <n v="1623.5"/>
    <n v="0.18"/>
    <n v="4870.5"/>
    <n v="876.68999999999994"/>
    <x v="898"/>
    <s v="Credit Card"/>
    <s v="Delivered"/>
    <d v="2024-12-25T00:00:00"/>
    <d v="2024-12-28T00:00:00"/>
    <x v="0"/>
    <x v="0"/>
    <x v="0"/>
    <x v="2"/>
    <s v="Festival Fever"/>
    <x v="1"/>
  </r>
  <r>
    <x v="906"/>
    <x v="904"/>
    <x v="22"/>
    <x v="0"/>
    <x v="13"/>
    <x v="3"/>
    <x v="4"/>
    <x v="9"/>
    <x v="13"/>
    <s v="Hoodie Model 1"/>
    <n v="2"/>
    <n v="1513"/>
    <n v="0.05"/>
    <n v="1437.35"/>
    <n v="0.12"/>
    <n v="2874.7"/>
    <n v="344.96399999999988"/>
    <x v="899"/>
    <s v="UPI"/>
    <s v="Delivered"/>
    <d v="2024-03-16T00:00:00"/>
    <d v="2024-03-20T00:00:00"/>
    <x v="0"/>
    <x v="0"/>
    <x v="0"/>
    <x v="9"/>
    <s v="Diwali Blast"/>
    <x v="2"/>
  </r>
  <r>
    <x v="907"/>
    <x v="905"/>
    <x v="166"/>
    <x v="4"/>
    <x v="16"/>
    <x v="1"/>
    <x v="3"/>
    <x v="10"/>
    <x v="52"/>
    <s v="Yoga Mat Model 2"/>
    <n v="2"/>
    <n v="8250"/>
    <n v="0"/>
    <n v="8250"/>
    <n v="0.18"/>
    <n v="16500"/>
    <n v="2970"/>
    <x v="900"/>
    <s v="NetBanking"/>
    <s v="Delivered"/>
    <d v="2024-12-19T00:00:00"/>
    <d v="2024-12-23T00:00:00"/>
    <x v="0"/>
    <x v="0"/>
    <x v="0"/>
    <x v="4"/>
    <s v="Diwali Blast"/>
    <x v="0"/>
  </r>
  <r>
    <x v="908"/>
    <x v="906"/>
    <x v="51"/>
    <x v="0"/>
    <x v="19"/>
    <x v="2"/>
    <x v="2"/>
    <x v="23"/>
    <x v="68"/>
    <s v="Smartwatch Model 2"/>
    <n v="3"/>
    <n v="8178"/>
    <n v="0"/>
    <n v="8178"/>
    <n v="0.12"/>
    <n v="24534"/>
    <n v="2944.08"/>
    <x v="901"/>
    <s v="Credit Card"/>
    <s v="Shipped"/>
    <d v="2024-10-26T00:00:00"/>
    <m/>
    <x v="0"/>
    <x v="0"/>
    <x v="0"/>
    <x v="5"/>
    <s v="Back to School"/>
    <x v="4"/>
  </r>
  <r>
    <x v="909"/>
    <x v="907"/>
    <x v="176"/>
    <x v="3"/>
    <x v="3"/>
    <x v="0"/>
    <x v="0"/>
    <x v="14"/>
    <x v="60"/>
    <s v="Vacuum Model 1"/>
    <n v="1"/>
    <n v="14314"/>
    <n v="0"/>
    <n v="14314"/>
    <n v="0.18"/>
    <n v="14314"/>
    <n v="2576.52"/>
    <x v="902"/>
    <s v="Credit Card"/>
    <s v="Shipped"/>
    <d v="2024-11-28T00:00:00"/>
    <m/>
    <x v="0"/>
    <x v="0"/>
    <x v="0"/>
    <x v="2"/>
    <s v="Clearance"/>
    <x v="2"/>
  </r>
  <r>
    <x v="910"/>
    <x v="908"/>
    <x v="133"/>
    <x v="2"/>
    <x v="9"/>
    <x v="3"/>
    <x v="2"/>
    <x v="19"/>
    <x v="39"/>
    <s v="Camera Model 3"/>
    <n v="2"/>
    <n v="58829"/>
    <n v="0"/>
    <n v="58829"/>
    <n v="0.12"/>
    <n v="117658"/>
    <n v="14118.96"/>
    <x v="903"/>
    <s v="UPI"/>
    <s v="Delivered"/>
    <d v="2024-12-01T00:00:00"/>
    <d v="2024-12-04T00:00:00"/>
    <x v="0"/>
    <x v="0"/>
    <x v="0"/>
    <x v="1"/>
    <s v="Back to School"/>
    <x v="0"/>
  </r>
  <r>
    <x v="911"/>
    <x v="909"/>
    <x v="87"/>
    <x v="3"/>
    <x v="7"/>
    <x v="0"/>
    <x v="3"/>
    <x v="7"/>
    <x v="9"/>
    <s v="Dumbbells Model 3"/>
    <n v="4"/>
    <n v="900"/>
    <n v="0.1"/>
    <n v="810"/>
    <n v="0.18"/>
    <n v="3240"/>
    <n v="583.19999999999993"/>
    <x v="904"/>
    <s v="UPI"/>
    <s v="Shipped"/>
    <d v="2024-08-27T00:00:00"/>
    <m/>
    <x v="0"/>
    <x v="0"/>
    <x v="0"/>
    <x v="8"/>
    <s v="Clearance"/>
    <x v="1"/>
  </r>
  <r>
    <x v="912"/>
    <x v="532"/>
    <x v="14"/>
    <x v="3"/>
    <x v="10"/>
    <x v="1"/>
    <x v="1"/>
    <x v="2"/>
    <x v="4"/>
    <s v="Snacks Model 1"/>
    <n v="4"/>
    <n v="672"/>
    <n v="0.05"/>
    <n v="638.4"/>
    <n v="0.12"/>
    <n v="2553.6"/>
    <n v="306.43200000000002"/>
    <x v="905"/>
    <s v="UPI"/>
    <s v="Returned"/>
    <d v="2025-02-28T00:00:00"/>
    <m/>
    <x v="1"/>
    <x v="42"/>
    <x v="42"/>
    <x v="0"/>
    <s v="Festival Fever"/>
    <x v="1"/>
  </r>
  <r>
    <x v="913"/>
    <x v="910"/>
    <x v="55"/>
    <x v="4"/>
    <x v="8"/>
    <x v="0"/>
    <x v="0"/>
    <x v="21"/>
    <x v="63"/>
    <s v="Lamp Model 1"/>
    <n v="3"/>
    <n v="2994"/>
    <n v="0"/>
    <n v="2994"/>
    <n v="0.12"/>
    <n v="8982"/>
    <n v="1077.8399999999999"/>
    <x v="906"/>
    <s v="Credit Card"/>
    <s v="Delivered"/>
    <d v="2024-01-18T00:00:00"/>
    <d v="2024-01-20T00:00:00"/>
    <x v="0"/>
    <x v="0"/>
    <x v="0"/>
    <x v="0"/>
    <s v="Monsoon Mania"/>
    <x v="0"/>
  </r>
  <r>
    <x v="914"/>
    <x v="911"/>
    <x v="161"/>
    <x v="3"/>
    <x v="10"/>
    <x v="1"/>
    <x v="4"/>
    <x v="8"/>
    <x v="72"/>
    <s v="Jacket Model 2"/>
    <n v="1"/>
    <n v="1499"/>
    <n v="0"/>
    <n v="1499"/>
    <n v="0.18"/>
    <n v="1499"/>
    <n v="269.82"/>
    <x v="907"/>
    <s v="Debit Card"/>
    <s v="Delivered"/>
    <d v="2024-05-25T00:00:00"/>
    <d v="2024-05-27T00:00:00"/>
    <x v="0"/>
    <x v="0"/>
    <x v="0"/>
    <x v="6"/>
    <s v="Clearance"/>
    <x v="3"/>
  </r>
  <r>
    <x v="915"/>
    <x v="912"/>
    <x v="164"/>
    <x v="3"/>
    <x v="7"/>
    <x v="1"/>
    <x v="4"/>
    <x v="17"/>
    <x v="32"/>
    <s v="T-Shirt Model 3"/>
    <n v="2"/>
    <n v="2125"/>
    <n v="0.1"/>
    <n v="1912.5"/>
    <n v="0.18"/>
    <n v="3825"/>
    <n v="688.5"/>
    <x v="908"/>
    <s v="Debit Card"/>
    <s v="Delivered"/>
    <d v="2025-04-15T00:00:00"/>
    <d v="2025-04-19T00:00:00"/>
    <x v="0"/>
    <x v="0"/>
    <x v="0"/>
    <x v="4"/>
    <s v="Monsoon Mania"/>
    <x v="4"/>
  </r>
  <r>
    <x v="916"/>
    <x v="913"/>
    <x v="92"/>
    <x v="2"/>
    <x v="2"/>
    <x v="3"/>
    <x v="2"/>
    <x v="23"/>
    <x v="47"/>
    <s v="Smartwatch Model 1"/>
    <n v="1"/>
    <n v="20010"/>
    <n v="0"/>
    <n v="20010"/>
    <n v="0.18"/>
    <n v="20010"/>
    <n v="3601.8"/>
    <x v="909"/>
    <s v="COD"/>
    <s v="Delivered"/>
    <d v="2024-10-18T00:00:00"/>
    <d v="2024-10-20T00:00:00"/>
    <x v="0"/>
    <x v="0"/>
    <x v="0"/>
    <x v="7"/>
    <s v="Clearance"/>
    <x v="3"/>
  </r>
  <r>
    <x v="917"/>
    <x v="914"/>
    <x v="114"/>
    <x v="1"/>
    <x v="18"/>
    <x v="1"/>
    <x v="0"/>
    <x v="1"/>
    <x v="67"/>
    <s v="Cookware Model 2"/>
    <n v="1"/>
    <n v="10088"/>
    <n v="0.15"/>
    <n v="8574.7999999999993"/>
    <n v="0.18"/>
    <n v="8574.7999999999993"/>
    <n v="1543.4639999999999"/>
    <x v="910"/>
    <s v="COD"/>
    <s v="Delivered"/>
    <d v="2024-08-31T00:00:00"/>
    <d v="2024-09-05T00:00:00"/>
    <x v="0"/>
    <x v="0"/>
    <x v="0"/>
    <x v="4"/>
    <s v="Back to School"/>
    <x v="4"/>
  </r>
  <r>
    <x v="918"/>
    <x v="915"/>
    <x v="26"/>
    <x v="1"/>
    <x v="12"/>
    <x v="3"/>
    <x v="4"/>
    <x v="17"/>
    <x v="32"/>
    <s v="T-Shirt Model 3"/>
    <n v="2"/>
    <n v="1357"/>
    <n v="0"/>
    <n v="1357"/>
    <n v="0.12"/>
    <n v="2714"/>
    <n v="325.68"/>
    <x v="911"/>
    <s v="UPI"/>
    <s v="Delivered"/>
    <d v="2025-01-03T00:00:00"/>
    <d v="2025-01-07T00:00:00"/>
    <x v="0"/>
    <x v="0"/>
    <x v="0"/>
    <x v="1"/>
    <s v="Monsoon Mania"/>
    <x v="5"/>
  </r>
  <r>
    <x v="919"/>
    <x v="916"/>
    <x v="172"/>
    <x v="2"/>
    <x v="2"/>
    <x v="1"/>
    <x v="2"/>
    <x v="12"/>
    <x v="46"/>
    <s v="Headphones Model 1"/>
    <n v="3"/>
    <n v="25999"/>
    <n v="0"/>
    <n v="25999"/>
    <n v="0.18"/>
    <n v="77997"/>
    <n v="14039.46"/>
    <x v="912"/>
    <s v="Credit Card"/>
    <s v="Delivered"/>
    <d v="2024-01-02T00:00:00"/>
    <d v="2024-01-03T00:00:00"/>
    <x v="0"/>
    <x v="0"/>
    <x v="0"/>
    <x v="1"/>
    <s v="Festival Fever"/>
    <x v="5"/>
  </r>
  <r>
    <x v="920"/>
    <x v="917"/>
    <x v="107"/>
    <x v="1"/>
    <x v="12"/>
    <x v="0"/>
    <x v="2"/>
    <x v="19"/>
    <x v="73"/>
    <s v="Camera Model 1"/>
    <n v="1"/>
    <n v="20426"/>
    <n v="0"/>
    <n v="20426"/>
    <n v="0.12"/>
    <n v="20426"/>
    <n v="2451.12"/>
    <x v="913"/>
    <s v="UPI"/>
    <s v="Delivered"/>
    <d v="2024-03-19T00:00:00"/>
    <d v="2024-03-21T00:00:00"/>
    <x v="0"/>
    <x v="0"/>
    <x v="0"/>
    <x v="1"/>
    <s v="Back to School"/>
    <x v="4"/>
  </r>
  <r>
    <x v="921"/>
    <x v="918"/>
    <x v="53"/>
    <x v="0"/>
    <x v="0"/>
    <x v="1"/>
    <x v="3"/>
    <x v="11"/>
    <x v="14"/>
    <s v="Cricket Bat Model 1"/>
    <n v="1"/>
    <n v="4560"/>
    <n v="0"/>
    <n v="4560"/>
    <n v="0.12"/>
    <n v="4560"/>
    <n v="547.19999999999993"/>
    <x v="914"/>
    <s v="UPI"/>
    <s v="Delivered"/>
    <d v="2024-08-27T00:00:00"/>
    <d v="2024-08-28T00:00:00"/>
    <x v="0"/>
    <x v="0"/>
    <x v="0"/>
    <x v="7"/>
    <s v="Festival Fever"/>
    <x v="0"/>
  </r>
  <r>
    <x v="922"/>
    <x v="919"/>
    <x v="118"/>
    <x v="3"/>
    <x v="7"/>
    <x v="1"/>
    <x v="3"/>
    <x v="7"/>
    <x v="33"/>
    <s v="Dumbbells Model 2"/>
    <n v="1"/>
    <n v="9535"/>
    <n v="0"/>
    <n v="9535"/>
    <n v="0.18"/>
    <n v="9535"/>
    <n v="1716.3"/>
    <x v="915"/>
    <s v="UPI"/>
    <s v="Delivered"/>
    <d v="2024-05-05T00:00:00"/>
    <d v="2024-05-08T00:00:00"/>
    <x v="0"/>
    <x v="0"/>
    <x v="0"/>
    <x v="4"/>
    <s v="Clearance"/>
    <x v="1"/>
  </r>
  <r>
    <x v="923"/>
    <x v="920"/>
    <x v="25"/>
    <x v="2"/>
    <x v="6"/>
    <x v="0"/>
    <x v="4"/>
    <x v="5"/>
    <x v="53"/>
    <s v="Dress Model 2"/>
    <n v="2"/>
    <n v="737"/>
    <n v="0.1"/>
    <n v="663.30000000000007"/>
    <n v="0.12"/>
    <n v="1326.6"/>
    <n v="159.19200000000001"/>
    <x v="916"/>
    <s v="UPI"/>
    <s v="In Transit"/>
    <d v="2024-11-12T00:00:00"/>
    <m/>
    <x v="0"/>
    <x v="0"/>
    <x v="0"/>
    <x v="4"/>
    <s v="Back to School"/>
    <x v="5"/>
  </r>
  <r>
    <x v="924"/>
    <x v="921"/>
    <x v="168"/>
    <x v="3"/>
    <x v="7"/>
    <x v="0"/>
    <x v="2"/>
    <x v="3"/>
    <x v="57"/>
    <s v="Smartphone Model 1"/>
    <n v="3"/>
    <n v="42147"/>
    <n v="0"/>
    <n v="42147"/>
    <n v="0.12"/>
    <n v="126441"/>
    <n v="15172.92"/>
    <x v="917"/>
    <s v="NetBanking"/>
    <s v="Cancelled"/>
    <m/>
    <m/>
    <x v="0"/>
    <x v="0"/>
    <x v="0"/>
    <x v="7"/>
    <s v="Back to School"/>
    <x v="1"/>
  </r>
  <r>
    <x v="925"/>
    <x v="922"/>
    <x v="141"/>
    <x v="3"/>
    <x v="3"/>
    <x v="1"/>
    <x v="3"/>
    <x v="7"/>
    <x v="9"/>
    <s v="Dumbbells Model 3"/>
    <n v="4"/>
    <n v="2905"/>
    <n v="0.15"/>
    <n v="2469.25"/>
    <n v="0.12"/>
    <n v="9877"/>
    <n v="1185.24"/>
    <x v="918"/>
    <s v="COD"/>
    <s v="Delivered"/>
    <d v="2024-08-22T00:00:00"/>
    <d v="2024-08-24T00:00:00"/>
    <x v="0"/>
    <x v="0"/>
    <x v="0"/>
    <x v="5"/>
    <s v="Clearance"/>
    <x v="1"/>
  </r>
  <r>
    <x v="926"/>
    <x v="923"/>
    <x v="146"/>
    <x v="3"/>
    <x v="3"/>
    <x v="0"/>
    <x v="2"/>
    <x v="23"/>
    <x v="47"/>
    <s v="Smartwatch Model 1"/>
    <n v="3"/>
    <n v="9527"/>
    <n v="0"/>
    <n v="9527"/>
    <n v="0.12"/>
    <n v="28581"/>
    <n v="3429.72"/>
    <x v="919"/>
    <s v="Debit Card"/>
    <s v="Delivered"/>
    <d v="2025-03-27T00:00:00"/>
    <d v="2025-03-28T00:00:00"/>
    <x v="0"/>
    <x v="0"/>
    <x v="0"/>
    <x v="9"/>
    <s v="Back to School"/>
    <x v="4"/>
  </r>
  <r>
    <x v="927"/>
    <x v="924"/>
    <x v="18"/>
    <x v="0"/>
    <x v="0"/>
    <x v="0"/>
    <x v="2"/>
    <x v="19"/>
    <x v="39"/>
    <s v="Camera Model 3"/>
    <n v="2"/>
    <n v="20514"/>
    <n v="0"/>
    <n v="20514"/>
    <n v="0.18"/>
    <n v="41028"/>
    <n v="7385.04"/>
    <x v="920"/>
    <s v="NetBanking"/>
    <s v="Delivered"/>
    <d v="2024-07-15T00:00:00"/>
    <d v="2024-07-20T00:00:00"/>
    <x v="0"/>
    <x v="0"/>
    <x v="0"/>
    <x v="4"/>
    <s v="Summer Splash"/>
    <x v="2"/>
  </r>
  <r>
    <x v="928"/>
    <x v="925"/>
    <x v="133"/>
    <x v="2"/>
    <x v="9"/>
    <x v="0"/>
    <x v="3"/>
    <x v="16"/>
    <x v="48"/>
    <s v="Football Model 2"/>
    <n v="2"/>
    <n v="3036"/>
    <n v="0.2"/>
    <n v="2428.8000000000002"/>
    <n v="0.18"/>
    <n v="4857.6000000000004"/>
    <n v="874.36800000000005"/>
    <x v="921"/>
    <s v="UPI"/>
    <s v="Delivered"/>
    <d v="2024-06-20T00:00:00"/>
    <d v="2024-06-21T00:00:00"/>
    <x v="0"/>
    <x v="0"/>
    <x v="0"/>
    <x v="9"/>
    <s v="Summer Splash"/>
    <x v="3"/>
  </r>
  <r>
    <x v="929"/>
    <x v="926"/>
    <x v="25"/>
    <x v="2"/>
    <x v="6"/>
    <x v="0"/>
    <x v="1"/>
    <x v="18"/>
    <x v="29"/>
    <s v="Beverage Model 1"/>
    <n v="2"/>
    <n v="180"/>
    <n v="0.15"/>
    <n v="153"/>
    <n v="0.18"/>
    <n v="306"/>
    <n v="55.08"/>
    <x v="922"/>
    <s v="Debit Card"/>
    <s v="Delivered"/>
    <d v="2024-04-08T00:00:00"/>
    <d v="2024-04-09T00:00:00"/>
    <x v="0"/>
    <x v="0"/>
    <x v="0"/>
    <x v="0"/>
    <s v="Diwali Blast"/>
    <x v="1"/>
  </r>
  <r>
    <x v="930"/>
    <x v="927"/>
    <x v="23"/>
    <x v="0"/>
    <x v="13"/>
    <x v="0"/>
    <x v="4"/>
    <x v="5"/>
    <x v="19"/>
    <s v="Dress Model 1"/>
    <n v="2"/>
    <n v="1619"/>
    <n v="0"/>
    <n v="1619"/>
    <n v="0.12"/>
    <n v="3238"/>
    <n v="388.56"/>
    <x v="923"/>
    <s v="COD"/>
    <s v="Delivered"/>
    <d v="2024-11-08T00:00:00"/>
    <d v="2024-11-12T00:00:00"/>
    <x v="0"/>
    <x v="0"/>
    <x v="0"/>
    <x v="5"/>
    <s v="Festival Fever"/>
    <x v="3"/>
  </r>
  <r>
    <x v="931"/>
    <x v="928"/>
    <x v="142"/>
    <x v="3"/>
    <x v="3"/>
    <x v="0"/>
    <x v="4"/>
    <x v="5"/>
    <x v="53"/>
    <s v="Dress Model 2"/>
    <n v="1"/>
    <n v="1506"/>
    <n v="0.15"/>
    <n v="1280.0999999999999"/>
    <n v="0.12"/>
    <n v="1280.0999999999999"/>
    <n v="153.61199999999999"/>
    <x v="924"/>
    <s v="Debit Card"/>
    <s v="Delivered"/>
    <d v="2024-11-05T00:00:00"/>
    <d v="2024-11-08T00:00:00"/>
    <x v="0"/>
    <x v="0"/>
    <x v="0"/>
    <x v="4"/>
    <s v="New Year Sale"/>
    <x v="5"/>
  </r>
  <r>
    <x v="932"/>
    <x v="929"/>
    <x v="104"/>
    <x v="0"/>
    <x v="13"/>
    <x v="0"/>
    <x v="3"/>
    <x v="7"/>
    <x v="33"/>
    <s v="Dumbbells Model 2"/>
    <n v="2"/>
    <n v="2275"/>
    <n v="0"/>
    <n v="2275"/>
    <n v="0.12"/>
    <n v="4550"/>
    <n v="546"/>
    <x v="925"/>
    <s v="UPI"/>
    <s v="Delivered"/>
    <d v="2024-04-27T00:00:00"/>
    <d v="2024-04-28T00:00:00"/>
    <x v="0"/>
    <x v="0"/>
    <x v="0"/>
    <x v="5"/>
    <s v="Back to School"/>
    <x v="4"/>
  </r>
  <r>
    <x v="933"/>
    <x v="930"/>
    <x v="58"/>
    <x v="4"/>
    <x v="11"/>
    <x v="0"/>
    <x v="3"/>
    <x v="7"/>
    <x v="23"/>
    <s v="Dumbbells Model 1"/>
    <n v="3"/>
    <n v="1850"/>
    <n v="0"/>
    <n v="1850"/>
    <n v="0.05"/>
    <n v="5550"/>
    <n v="277.5"/>
    <x v="926"/>
    <s v="Credit Card"/>
    <s v="Cancelled"/>
    <m/>
    <m/>
    <x v="0"/>
    <x v="0"/>
    <x v="0"/>
    <x v="0"/>
    <s v="Summer Splash"/>
    <x v="1"/>
  </r>
  <r>
    <x v="934"/>
    <x v="931"/>
    <x v="154"/>
    <x v="3"/>
    <x v="3"/>
    <x v="2"/>
    <x v="0"/>
    <x v="0"/>
    <x v="1"/>
    <s v="Air Purifier Model 2"/>
    <n v="1"/>
    <n v="9012"/>
    <n v="0"/>
    <n v="9012"/>
    <n v="0.12"/>
    <n v="9012"/>
    <n v="1081.44"/>
    <x v="927"/>
    <s v="Credit Card"/>
    <s v="Delivered"/>
    <d v="2024-04-01T00:00:00"/>
    <d v="2024-04-06T00:00:00"/>
    <x v="0"/>
    <x v="0"/>
    <x v="0"/>
    <x v="9"/>
    <s v="Festival Fever"/>
    <x v="0"/>
  </r>
  <r>
    <x v="935"/>
    <x v="932"/>
    <x v="70"/>
    <x v="3"/>
    <x v="15"/>
    <x v="3"/>
    <x v="2"/>
    <x v="3"/>
    <x v="5"/>
    <s v="Smartphone Model 3"/>
    <n v="3"/>
    <n v="54469"/>
    <n v="0.05"/>
    <n v="51745.55"/>
    <n v="0.12"/>
    <n v="155236.65"/>
    <n v="18628.398000000001"/>
    <x v="928"/>
    <s v="NetBanking"/>
    <s v="Delivered"/>
    <d v="2024-03-14T00:00:00"/>
    <d v="2024-03-15T00:00:00"/>
    <x v="0"/>
    <x v="0"/>
    <x v="0"/>
    <x v="0"/>
    <s v="Summer Splash"/>
    <x v="4"/>
  </r>
  <r>
    <x v="936"/>
    <x v="933"/>
    <x v="61"/>
    <x v="0"/>
    <x v="13"/>
    <x v="1"/>
    <x v="3"/>
    <x v="10"/>
    <x v="12"/>
    <s v="Yoga Mat Model 1"/>
    <n v="2"/>
    <n v="6136"/>
    <n v="0"/>
    <n v="6136"/>
    <n v="0.18"/>
    <n v="12272"/>
    <n v="2208.96"/>
    <x v="929"/>
    <s v="Credit Card"/>
    <s v="Delivered"/>
    <d v="2025-03-15T00:00:00"/>
    <d v="2025-03-18T00:00:00"/>
    <x v="0"/>
    <x v="0"/>
    <x v="0"/>
    <x v="2"/>
    <s v="Summer Splash"/>
    <x v="3"/>
  </r>
  <r>
    <x v="937"/>
    <x v="934"/>
    <x v="77"/>
    <x v="4"/>
    <x v="16"/>
    <x v="3"/>
    <x v="2"/>
    <x v="3"/>
    <x v="5"/>
    <s v="Smartphone Model 3"/>
    <n v="2"/>
    <n v="55110"/>
    <n v="0.15"/>
    <n v="46843.5"/>
    <n v="0.12"/>
    <n v="93687"/>
    <n v="11242.44"/>
    <x v="930"/>
    <s v="Debit Card"/>
    <s v="Delivered"/>
    <d v="2024-08-27T00:00:00"/>
    <d v="2024-08-30T00:00:00"/>
    <x v="0"/>
    <x v="0"/>
    <x v="0"/>
    <x v="1"/>
    <s v="New Year Sale"/>
    <x v="1"/>
  </r>
  <r>
    <x v="938"/>
    <x v="935"/>
    <x v="136"/>
    <x v="3"/>
    <x v="3"/>
    <x v="2"/>
    <x v="3"/>
    <x v="4"/>
    <x v="20"/>
    <s v="Tennis Racket Model 1"/>
    <n v="1"/>
    <n v="8508"/>
    <n v="0.15"/>
    <n v="7231.8"/>
    <n v="0.12"/>
    <n v="7231.8"/>
    <n v="867.81600000000003"/>
    <x v="931"/>
    <s v="Credit Card"/>
    <s v="Delivered"/>
    <d v="2024-03-24T00:00:00"/>
    <d v="2024-03-28T00:00:00"/>
    <x v="0"/>
    <x v="0"/>
    <x v="0"/>
    <x v="1"/>
    <s v="Summer Splash"/>
    <x v="4"/>
  </r>
  <r>
    <x v="939"/>
    <x v="936"/>
    <x v="38"/>
    <x v="0"/>
    <x v="14"/>
    <x v="1"/>
    <x v="3"/>
    <x v="10"/>
    <x v="30"/>
    <s v="Yoga Mat Model 3"/>
    <n v="2"/>
    <n v="7461"/>
    <n v="0"/>
    <n v="7461"/>
    <n v="0.18"/>
    <n v="14922"/>
    <n v="2685.96"/>
    <x v="932"/>
    <s v="NetBanking"/>
    <s v="Delivered"/>
    <d v="2025-03-07T00:00:00"/>
    <d v="2025-03-10T00:00:00"/>
    <x v="0"/>
    <x v="0"/>
    <x v="0"/>
    <x v="8"/>
    <s v="Clearance"/>
    <x v="6"/>
  </r>
  <r>
    <x v="940"/>
    <x v="937"/>
    <x v="84"/>
    <x v="4"/>
    <x v="8"/>
    <x v="0"/>
    <x v="2"/>
    <x v="19"/>
    <x v="73"/>
    <s v="Camera Model 1"/>
    <n v="1"/>
    <n v="19784"/>
    <n v="0.15"/>
    <n v="16816.400000000001"/>
    <n v="0.05"/>
    <n v="16816.400000000001"/>
    <n v="840.81999999999994"/>
    <x v="933"/>
    <s v="UPI"/>
    <s v="Delivered"/>
    <d v="2025-01-24T00:00:00"/>
    <d v="2025-01-29T00:00:00"/>
    <x v="0"/>
    <x v="0"/>
    <x v="0"/>
    <x v="5"/>
    <s v="Festival Fever"/>
    <x v="1"/>
  </r>
  <r>
    <x v="941"/>
    <x v="938"/>
    <x v="168"/>
    <x v="3"/>
    <x v="7"/>
    <x v="0"/>
    <x v="2"/>
    <x v="12"/>
    <x v="46"/>
    <s v="Headphones Model 1"/>
    <n v="1"/>
    <n v="30991"/>
    <n v="0.05"/>
    <n v="29441.45"/>
    <n v="0.18"/>
    <n v="29441.45"/>
    <n v="5299.4609999999993"/>
    <x v="934"/>
    <s v="Debit Card"/>
    <s v="Delivered"/>
    <d v="2024-11-15T00:00:00"/>
    <d v="2024-11-19T00:00:00"/>
    <x v="0"/>
    <x v="0"/>
    <x v="0"/>
    <x v="7"/>
    <s v="Monsoon Mania"/>
    <x v="5"/>
  </r>
  <r>
    <x v="942"/>
    <x v="939"/>
    <x v="75"/>
    <x v="0"/>
    <x v="14"/>
    <x v="0"/>
    <x v="4"/>
    <x v="9"/>
    <x v="18"/>
    <s v="Hoodie Model 2"/>
    <n v="2"/>
    <n v="1687"/>
    <n v="0"/>
    <n v="1687"/>
    <n v="0.12"/>
    <n v="3374"/>
    <n v="404.88"/>
    <x v="935"/>
    <s v="COD"/>
    <s v="Cancelled"/>
    <m/>
    <m/>
    <x v="0"/>
    <x v="0"/>
    <x v="0"/>
    <x v="1"/>
    <s v="Clearance"/>
    <x v="2"/>
  </r>
  <r>
    <x v="943"/>
    <x v="940"/>
    <x v="28"/>
    <x v="0"/>
    <x v="14"/>
    <x v="1"/>
    <x v="0"/>
    <x v="0"/>
    <x v="2"/>
    <s v="Air Purifier Model 3"/>
    <n v="3"/>
    <n v="9086"/>
    <n v="0"/>
    <n v="9086"/>
    <n v="0.12"/>
    <n v="27258"/>
    <n v="3270.96"/>
    <x v="936"/>
    <s v="Debit Card"/>
    <s v="Delivered"/>
    <d v="2024-04-12T00:00:00"/>
    <d v="2024-04-15T00:00:00"/>
    <x v="0"/>
    <x v="0"/>
    <x v="0"/>
    <x v="6"/>
    <s v="Back to School"/>
    <x v="2"/>
  </r>
  <r>
    <x v="944"/>
    <x v="941"/>
    <x v="96"/>
    <x v="3"/>
    <x v="3"/>
    <x v="1"/>
    <x v="0"/>
    <x v="1"/>
    <x v="3"/>
    <s v="Cookware Model 3"/>
    <n v="3"/>
    <n v="8474"/>
    <n v="0.05"/>
    <n v="8050.2999999999993"/>
    <n v="0.12"/>
    <n v="24150.9"/>
    <n v="2898.1080000000002"/>
    <x v="937"/>
    <s v="UPI"/>
    <s v="Delivered"/>
    <d v="2024-03-12T00:00:00"/>
    <d v="2024-03-15T00:00:00"/>
    <x v="0"/>
    <x v="0"/>
    <x v="0"/>
    <x v="5"/>
    <s v="Summer Splash"/>
    <x v="4"/>
  </r>
  <r>
    <x v="945"/>
    <x v="942"/>
    <x v="118"/>
    <x v="3"/>
    <x v="7"/>
    <x v="0"/>
    <x v="0"/>
    <x v="0"/>
    <x v="1"/>
    <s v="Air Purifier Model 2"/>
    <n v="2"/>
    <n v="11325"/>
    <n v="0.1"/>
    <n v="10192.5"/>
    <n v="0.05"/>
    <n v="20385"/>
    <n v="1019.25"/>
    <x v="938"/>
    <s v="UPI"/>
    <s v="Cancelled"/>
    <m/>
    <m/>
    <x v="0"/>
    <x v="0"/>
    <x v="0"/>
    <x v="5"/>
    <s v="Festival Fever"/>
    <x v="3"/>
  </r>
  <r>
    <x v="946"/>
    <x v="943"/>
    <x v="56"/>
    <x v="2"/>
    <x v="6"/>
    <x v="1"/>
    <x v="0"/>
    <x v="1"/>
    <x v="3"/>
    <s v="Cookware Model 3"/>
    <n v="3"/>
    <n v="14246"/>
    <n v="0"/>
    <n v="14246"/>
    <n v="0.12"/>
    <n v="42738"/>
    <n v="5128.5599999999986"/>
    <x v="939"/>
    <s v="Debit Card"/>
    <s v="Delivered"/>
    <d v="2024-12-09T00:00:00"/>
    <d v="2024-12-12T00:00:00"/>
    <x v="0"/>
    <x v="0"/>
    <x v="0"/>
    <x v="4"/>
    <s v="Clearance"/>
    <x v="0"/>
  </r>
  <r>
    <x v="947"/>
    <x v="944"/>
    <x v="78"/>
    <x v="2"/>
    <x v="2"/>
    <x v="0"/>
    <x v="3"/>
    <x v="7"/>
    <x v="33"/>
    <s v="Dumbbells Model 2"/>
    <n v="3"/>
    <n v="9809"/>
    <n v="0.2"/>
    <n v="7847.2000000000007"/>
    <n v="0.12"/>
    <n v="23541.599999999999"/>
    <n v="2824.9920000000002"/>
    <x v="940"/>
    <s v="COD"/>
    <s v="Delivered"/>
    <d v="2024-06-12T00:00:00"/>
    <d v="2024-06-14T00:00:00"/>
    <x v="0"/>
    <x v="0"/>
    <x v="0"/>
    <x v="0"/>
    <s v="Diwali Blast"/>
    <x v="2"/>
  </r>
  <r>
    <x v="948"/>
    <x v="945"/>
    <x v="125"/>
    <x v="2"/>
    <x v="4"/>
    <x v="2"/>
    <x v="0"/>
    <x v="14"/>
    <x v="60"/>
    <s v="Vacuum Model 1"/>
    <n v="2"/>
    <n v="9176"/>
    <n v="0.1"/>
    <n v="8258.4"/>
    <n v="0.18"/>
    <n v="16516.8"/>
    <n v="2973.0239999999999"/>
    <x v="941"/>
    <s v="NetBanking"/>
    <s v="Delivered"/>
    <d v="2025-01-04T00:00:00"/>
    <d v="2025-01-06T00:00:00"/>
    <x v="0"/>
    <x v="0"/>
    <x v="0"/>
    <x v="1"/>
    <s v="Monsoon Mania"/>
    <x v="6"/>
  </r>
  <r>
    <x v="949"/>
    <x v="946"/>
    <x v="43"/>
    <x v="4"/>
    <x v="11"/>
    <x v="0"/>
    <x v="1"/>
    <x v="15"/>
    <x v="27"/>
    <s v="Rice Model 1"/>
    <n v="2"/>
    <n v="965"/>
    <n v="0"/>
    <n v="965"/>
    <n v="0.18"/>
    <n v="1930"/>
    <n v="347.4"/>
    <x v="942"/>
    <s v="Credit Card"/>
    <s v="Shipped"/>
    <d v="2024-02-20T00:00:00"/>
    <m/>
    <x v="0"/>
    <x v="0"/>
    <x v="0"/>
    <x v="5"/>
    <s v="Summer Splash"/>
    <x v="6"/>
  </r>
  <r>
    <x v="950"/>
    <x v="947"/>
    <x v="179"/>
    <x v="5"/>
    <x v="20"/>
    <x v="4"/>
    <x v="5"/>
    <x v="25"/>
    <x v="75"/>
    <m/>
    <m/>
    <m/>
    <m/>
    <m/>
    <m/>
    <m/>
    <m/>
    <x v="943"/>
    <m/>
    <m/>
    <m/>
    <m/>
    <x v="2"/>
    <x v="0"/>
    <x v="0"/>
    <x v="10"/>
    <m/>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3334932.4355000006"/>
  </r>
  <r>
    <x v="1"/>
    <n v="3138698.8220000006"/>
  </r>
  <r>
    <x v="2"/>
    <n v="3749669.1214999994"/>
  </r>
  <r>
    <x v="3"/>
    <n v="4658267.7335000029"/>
  </r>
  <r>
    <x v="4"/>
    <n v="5185348.6729999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C1C89F-D0F1-44BA-AFD1-B65F49B3FDC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20" firstHeaderRow="1" firstDataRow="1" firstDataCol="0"/>
  <pivotFields count="2">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9B7896-747F-415A-A434-DE0AD6BBAE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4:A25" firstHeaderRow="1" firstDataRow="1" firstDataCol="0"/>
  <pivotFields count="37">
    <pivotField showAll="0"/>
    <pivotField showAll="0">
      <items count="949">
        <item x="916"/>
        <item x="793"/>
        <item x="667"/>
        <item x="684"/>
        <item x="620"/>
        <item x="691"/>
        <item x="103"/>
        <item x="342"/>
        <item x="148"/>
        <item x="395"/>
        <item x="729"/>
        <item x="600"/>
        <item x="597"/>
        <item x="137"/>
        <item x="599"/>
        <item x="107"/>
        <item x="162"/>
        <item x="699"/>
        <item x="286"/>
        <item x="568"/>
        <item x="511"/>
        <item x="757"/>
        <item x="551"/>
        <item x="625"/>
        <item x="354"/>
        <item x="343"/>
        <item x="387"/>
        <item x="269"/>
        <item x="353"/>
        <item x="141"/>
        <item x="845"/>
        <item x="821"/>
        <item x="302"/>
        <item x="82"/>
        <item x="910"/>
        <item x="222"/>
        <item x="239"/>
        <item x="534"/>
        <item x="412"/>
        <item x="418"/>
        <item x="779"/>
        <item x="900"/>
        <item x="113"/>
        <item x="807"/>
        <item x="318"/>
        <item x="892"/>
        <item x="321"/>
        <item x="374"/>
        <item x="59"/>
        <item x="866"/>
        <item x="81"/>
        <item x="3"/>
        <item x="481"/>
        <item x="368"/>
        <item x="77"/>
        <item x="51"/>
        <item x="160"/>
        <item x="315"/>
        <item x="529"/>
        <item x="722"/>
        <item x="183"/>
        <item x="640"/>
        <item x="930"/>
        <item x="397"/>
        <item x="57"/>
        <item x="216"/>
        <item x="891"/>
        <item x="858"/>
        <item x="196"/>
        <item x="683"/>
        <item x="714"/>
        <item x="867"/>
        <item x="523"/>
        <item x="347"/>
        <item x="262"/>
        <item x="301"/>
        <item x="323"/>
        <item x="150"/>
        <item x="134"/>
        <item x="327"/>
        <item x="417"/>
        <item x="491"/>
        <item x="377"/>
        <item x="721"/>
        <item x="364"/>
        <item x="98"/>
        <item x="795"/>
        <item x="149"/>
        <item x="525"/>
        <item x="122"/>
        <item x="614"/>
        <item x="274"/>
        <item x="404"/>
        <item x="151"/>
        <item x="921"/>
        <item x="752"/>
        <item x="844"/>
        <item x="881"/>
        <item x="188"/>
        <item x="319"/>
        <item x="860"/>
        <item x="258"/>
        <item x="946"/>
        <item x="570"/>
        <item x="326"/>
        <item x="581"/>
        <item x="685"/>
        <item x="506"/>
        <item x="775"/>
        <item x="329"/>
        <item x="144"/>
        <item x="736"/>
        <item x="874"/>
        <item x="877"/>
        <item x="552"/>
        <item x="276"/>
        <item x="28"/>
        <item x="786"/>
        <item x="446"/>
        <item x="30"/>
        <item x="275"/>
        <item x="91"/>
        <item x="817"/>
        <item x="454"/>
        <item x="292"/>
        <item x="74"/>
        <item x="791"/>
        <item x="801"/>
        <item x="810"/>
        <item x="285"/>
        <item x="69"/>
        <item x="770"/>
        <item x="5"/>
        <item x="193"/>
        <item x="897"/>
        <item x="299"/>
        <item x="348"/>
        <item x="837"/>
        <item x="941"/>
        <item x="55"/>
        <item x="835"/>
        <item x="831"/>
        <item x="619"/>
        <item x="531"/>
        <item x="932"/>
        <item x="24"/>
        <item x="227"/>
        <item x="904"/>
        <item x="740"/>
        <item x="457"/>
        <item x="11"/>
        <item x="427"/>
        <item x="408"/>
        <item x="346"/>
        <item x="917"/>
        <item x="574"/>
        <item x="546"/>
        <item x="393"/>
        <item x="164"/>
        <item x="316"/>
        <item x="9"/>
        <item x="843"/>
        <item x="935"/>
        <item x="544"/>
        <item x="538"/>
        <item x="396"/>
        <item x="705"/>
        <item x="610"/>
        <item x="328"/>
        <item x="40"/>
        <item x="585"/>
        <item x="245"/>
        <item x="931"/>
        <item x="87"/>
        <item x="456"/>
        <item x="537"/>
        <item x="369"/>
        <item x="808"/>
        <item x="822"/>
        <item x="218"/>
        <item x="750"/>
        <item x="611"/>
        <item x="278"/>
        <item x="53"/>
        <item x="687"/>
        <item x="582"/>
        <item x="488"/>
        <item x="926"/>
        <item x="182"/>
        <item x="71"/>
        <item x="852"/>
        <item x="136"/>
        <item x="942"/>
        <item x="263"/>
        <item x="251"/>
        <item x="504"/>
        <item x="83"/>
        <item x="230"/>
        <item x="211"/>
        <item x="220"/>
        <item x="790"/>
        <item x="703"/>
        <item x="857"/>
        <item x="940"/>
        <item x="204"/>
        <item x="509"/>
        <item x="476"/>
        <item x="330"/>
        <item x="642"/>
        <item x="61"/>
        <item x="388"/>
        <item x="755"/>
        <item x="303"/>
        <item x="349"/>
        <item x="440"/>
        <item x="694"/>
        <item x="730"/>
        <item x="111"/>
        <item x="176"/>
        <item x="644"/>
        <item x="247"/>
        <item x="215"/>
        <item x="901"/>
        <item x="253"/>
        <item x="441"/>
        <item x="929"/>
        <item x="566"/>
        <item x="637"/>
        <item x="732"/>
        <item x="679"/>
        <item x="154"/>
        <item x="257"/>
        <item x="623"/>
        <item x="535"/>
        <item x="747"/>
        <item x="713"/>
        <item x="919"/>
        <item x="846"/>
        <item x="583"/>
        <item x="717"/>
        <item x="653"/>
        <item x="192"/>
        <item x="832"/>
        <item x="402"/>
        <item x="41"/>
        <item x="288"/>
        <item x="414"/>
        <item x="156"/>
        <item x="385"/>
        <item x="340"/>
        <item x="21"/>
        <item x="249"/>
        <item x="451"/>
        <item x="213"/>
        <item x="42"/>
        <item x="281"/>
        <item x="939"/>
        <item x="579"/>
        <item x="219"/>
        <item x="140"/>
        <item x="394"/>
        <item x="271"/>
        <item x="124"/>
        <item x="367"/>
        <item x="792"/>
        <item x="234"/>
        <item x="357"/>
        <item x="731"/>
        <item x="658"/>
        <item x="106"/>
        <item x="530"/>
        <item x="447"/>
        <item x="911"/>
        <item x="197"/>
        <item x="363"/>
        <item x="527"/>
        <item x="101"/>
        <item x="543"/>
        <item x="224"/>
        <item x="695"/>
        <item x="819"/>
        <item x="168"/>
        <item x="233"/>
        <item x="381"/>
        <item x="541"/>
        <item x="829"/>
        <item x="96"/>
        <item x="802"/>
        <item x="890"/>
        <item x="760"/>
        <item x="420"/>
        <item x="350"/>
        <item x="753"/>
        <item x="166"/>
        <item x="62"/>
        <item x="110"/>
        <item x="109"/>
        <item x="449"/>
        <item x="659"/>
        <item x="690"/>
        <item x="76"/>
        <item x="726"/>
        <item x="878"/>
        <item x="734"/>
        <item x="826"/>
        <item x="337"/>
        <item x="676"/>
        <item x="7"/>
        <item x="1"/>
        <item x="324"/>
        <item x="636"/>
        <item x="723"/>
        <item x="944"/>
        <item x="493"/>
        <item x="774"/>
        <item x="360"/>
        <item x="655"/>
        <item x="296"/>
        <item x="502"/>
        <item x="231"/>
        <item x="609"/>
        <item x="788"/>
        <item x="226"/>
        <item x="178"/>
        <item x="80"/>
        <item x="587"/>
        <item x="334"/>
        <item x="403"/>
        <item x="756"/>
        <item x="105"/>
        <item x="66"/>
        <item x="925"/>
        <item x="458"/>
        <item x="696"/>
        <item x="306"/>
        <item x="118"/>
        <item x="32"/>
        <item x="384"/>
        <item x="175"/>
        <item x="871"/>
        <item x="480"/>
        <item x="351"/>
        <item x="872"/>
        <item x="816"/>
        <item x="617"/>
        <item x="382"/>
        <item x="777"/>
        <item x="177"/>
        <item x="853"/>
        <item x="473"/>
        <item x="386"/>
        <item x="252"/>
        <item x="410"/>
        <item x="208"/>
        <item x="261"/>
        <item x="92"/>
        <item x="294"/>
        <item x="780"/>
        <item x="305"/>
        <item x="121"/>
        <item x="562"/>
        <item x="489"/>
        <item x="266"/>
        <item x="513"/>
        <item x="510"/>
        <item x="754"/>
        <item x="237"/>
        <item x="647"/>
        <item x="515"/>
        <item x="672"/>
        <item x="628"/>
        <item x="681"/>
        <item x="924"/>
        <item x="376"/>
        <item x="516"/>
        <item x="475"/>
        <item x="338"/>
        <item x="798"/>
        <item x="565"/>
        <item x="282"/>
        <item x="820"/>
        <item x="228"/>
        <item x="889"/>
        <item x="201"/>
        <item x="766"/>
        <item x="706"/>
        <item x="553"/>
        <item x="836"/>
        <item x="873"/>
        <item x="778"/>
        <item x="749"/>
        <item x="70"/>
        <item x="521"/>
        <item x="194"/>
        <item x="712"/>
        <item x="849"/>
        <item x="58"/>
        <item x="172"/>
        <item x="613"/>
        <item x="33"/>
        <item x="161"/>
        <item x="622"/>
        <item x="406"/>
        <item x="542"/>
        <item x="518"/>
        <item x="260"/>
        <item x="114"/>
        <item x="701"/>
        <item x="173"/>
        <item x="78"/>
        <item x="589"/>
        <item x="366"/>
        <item x="668"/>
        <item x="442"/>
        <item x="738"/>
        <item x="437"/>
        <item x="594"/>
        <item x="603"/>
        <item x="590"/>
        <item x="336"/>
        <item x="759"/>
        <item x="880"/>
        <item x="290"/>
        <item x="812"/>
        <item x="743"/>
        <item x="52"/>
        <item x="20"/>
        <item x="593"/>
        <item x="693"/>
        <item x="207"/>
        <item x="591"/>
        <item x="250"/>
        <item x="190"/>
        <item x="868"/>
        <item x="362"/>
        <item x="470"/>
        <item x="602"/>
        <item x="809"/>
        <item x="455"/>
        <item x="464"/>
        <item x="784"/>
        <item x="898"/>
        <item x="18"/>
        <item x="468"/>
        <item x="399"/>
        <item x="592"/>
        <item x="922"/>
        <item x="606"/>
        <item x="895"/>
        <item x="67"/>
        <item x="666"/>
        <item x="639"/>
        <item x="209"/>
        <item x="539"/>
        <item x="664"/>
        <item x="673"/>
        <item x="10"/>
        <item x="284"/>
        <item x="210"/>
        <item x="909"/>
        <item x="934"/>
        <item x="762"/>
        <item x="918"/>
        <item x="804"/>
        <item x="308"/>
        <item x="339"/>
        <item x="660"/>
        <item x="914"/>
        <item x="400"/>
        <item x="241"/>
        <item x="769"/>
        <item x="358"/>
        <item x="436"/>
        <item x="649"/>
        <item x="378"/>
        <item x="524"/>
        <item x="142"/>
        <item x="796"/>
        <item x="391"/>
        <item x="482"/>
        <item x="477"/>
        <item x="710"/>
        <item x="280"/>
        <item x="533"/>
        <item x="100"/>
        <item x="60"/>
        <item x="23"/>
        <item x="764"/>
        <item x="186"/>
        <item x="331"/>
        <item x="621"/>
        <item x="813"/>
        <item x="171"/>
        <item x="662"/>
        <item x="686"/>
        <item x="450"/>
        <item x="767"/>
        <item x="153"/>
        <item x="805"/>
        <item x="462"/>
        <item x="435"/>
        <item x="268"/>
        <item x="824"/>
        <item x="499"/>
        <item x="155"/>
        <item x="277"/>
        <item x="633"/>
        <item x="307"/>
        <item x="818"/>
        <item x="495"/>
        <item x="652"/>
        <item x="179"/>
        <item x="424"/>
        <item x="365"/>
        <item x="47"/>
        <item x="466"/>
        <item x="742"/>
        <item x="707"/>
        <item x="573"/>
        <item x="670"/>
        <item x="325"/>
        <item x="438"/>
        <item x="158"/>
        <item x="459"/>
        <item x="170"/>
        <item x="545"/>
        <item x="709"/>
        <item x="341"/>
        <item x="716"/>
        <item x="304"/>
        <item x="313"/>
        <item x="584"/>
        <item x="785"/>
        <item x="503"/>
        <item x="116"/>
        <item x="758"/>
        <item x="607"/>
        <item x="273"/>
        <item x="132"/>
        <item x="540"/>
        <item x="283"/>
        <item x="474"/>
        <item x="279"/>
        <item x="64"/>
        <item x="608"/>
        <item x="65"/>
        <item x="651"/>
        <item x="31"/>
        <item x="389"/>
        <item x="29"/>
        <item x="99"/>
        <item x="494"/>
        <item x="191"/>
        <item x="507"/>
        <item x="112"/>
        <item x="669"/>
        <item x="379"/>
        <item x="143"/>
        <item x="913"/>
        <item x="335"/>
        <item x="618"/>
        <item x="896"/>
        <item x="295"/>
        <item x="823"/>
        <item x="34"/>
        <item x="700"/>
        <item x="698"/>
        <item x="715"/>
        <item x="291"/>
        <item x="724"/>
        <item x="159"/>
        <item x="485"/>
        <item x="678"/>
        <item x="514"/>
        <item x="645"/>
        <item x="595"/>
        <item x="746"/>
        <item x="671"/>
        <item x="129"/>
        <item x="501"/>
        <item x="139"/>
        <item x="556"/>
        <item x="906"/>
        <item x="859"/>
        <item x="287"/>
        <item x="26"/>
        <item x="765"/>
        <item x="768"/>
        <item x="689"/>
        <item x="854"/>
        <item x="825"/>
        <item x="37"/>
        <item x="39"/>
        <item x="830"/>
        <item x="855"/>
        <item x="415"/>
        <item x="615"/>
        <item x="0"/>
        <item x="576"/>
        <item x="235"/>
        <item x="88"/>
        <item x="195"/>
        <item x="882"/>
        <item x="928"/>
        <item x="646"/>
        <item x="560"/>
        <item x="90"/>
        <item x="851"/>
        <item x="8"/>
        <item x="16"/>
        <item x="677"/>
        <item x="927"/>
        <item x="433"/>
        <item x="648"/>
        <item x="517"/>
        <item x="508"/>
        <item x="920"/>
        <item x="884"/>
        <item x="25"/>
        <item x="352"/>
        <item x="938"/>
        <item x="445"/>
        <item x="133"/>
        <item x="789"/>
        <item x="256"/>
        <item x="2"/>
        <item x="577"/>
        <item x="43"/>
        <item x="741"/>
        <item x="657"/>
        <item x="63"/>
        <item x="392"/>
        <item x="102"/>
        <item x="492"/>
        <item x="229"/>
        <item x="567"/>
        <item x="15"/>
        <item x="185"/>
        <item x="373"/>
        <item x="85"/>
        <item x="782"/>
        <item x="519"/>
        <item x="850"/>
        <item x="558"/>
        <item x="221"/>
        <item x="907"/>
        <item x="727"/>
        <item x="697"/>
        <item x="416"/>
        <item x="486"/>
        <item x="661"/>
        <item x="663"/>
        <item x="528"/>
        <item x="682"/>
        <item x="865"/>
        <item x="557"/>
        <item x="298"/>
        <item x="243"/>
        <item x="4"/>
        <item x="72"/>
        <item x="719"/>
        <item x="908"/>
        <item x="563"/>
        <item x="520"/>
        <item x="555"/>
        <item x="629"/>
        <item x="267"/>
        <item x="127"/>
        <item x="371"/>
        <item x="688"/>
        <item x="244"/>
        <item x="89"/>
        <item x="422"/>
        <item x="772"/>
        <item x="45"/>
        <item x="297"/>
        <item x="842"/>
        <item x="119"/>
        <item x="265"/>
        <item x="632"/>
        <item x="943"/>
        <item x="505"/>
        <item x="203"/>
        <item x="14"/>
        <item x="320"/>
        <item x="94"/>
        <item x="547"/>
        <item x="847"/>
        <item x="800"/>
        <item x="35"/>
        <item x="169"/>
        <item x="272"/>
        <item x="232"/>
        <item x="899"/>
        <item x="128"/>
        <item x="569"/>
        <item x="692"/>
        <item x="702"/>
        <item x="157"/>
        <item x="799"/>
        <item x="650"/>
        <item x="344"/>
        <item x="453"/>
        <item x="309"/>
        <item x="68"/>
        <item x="787"/>
        <item x="905"/>
        <item x="643"/>
        <item x="863"/>
        <item x="631"/>
        <item x="471"/>
        <item x="571"/>
        <item x="95"/>
        <item x="398"/>
        <item x="725"/>
        <item x="903"/>
        <item x="370"/>
        <item x="123"/>
        <item x="317"/>
        <item x="634"/>
        <item x="794"/>
        <item x="783"/>
        <item x="604"/>
        <item x="624"/>
        <item x="612"/>
        <item x="748"/>
        <item x="238"/>
        <item x="93"/>
        <item x="236"/>
        <item x="56"/>
        <item x="49"/>
        <item x="915"/>
        <item x="815"/>
        <item x="198"/>
        <item x="254"/>
        <item x="189"/>
        <item x="945"/>
        <item x="13"/>
        <item x="117"/>
        <item x="887"/>
        <item x="390"/>
        <item x="223"/>
        <item x="472"/>
        <item x="728"/>
        <item x="311"/>
        <item x="512"/>
        <item x="401"/>
        <item x="902"/>
        <item x="862"/>
        <item x="840"/>
        <item x="586"/>
        <item x="312"/>
        <item x="146"/>
        <item x="596"/>
        <item x="735"/>
        <item x="36"/>
        <item x="97"/>
        <item x="598"/>
        <item x="460"/>
        <item x="214"/>
        <item x="894"/>
        <item x="240"/>
        <item x="827"/>
        <item x="212"/>
        <item x="421"/>
        <item x="46"/>
        <item x="448"/>
        <item x="411"/>
        <item x="310"/>
        <item x="497"/>
        <item x="115"/>
        <item x="526"/>
        <item x="561"/>
        <item x="550"/>
        <item x="483"/>
        <item x="763"/>
        <item x="626"/>
        <item x="361"/>
        <item x="199"/>
        <item x="720"/>
        <item x="937"/>
        <item x="50"/>
        <item x="630"/>
        <item x="461"/>
        <item x="479"/>
        <item x="356"/>
        <item x="834"/>
        <item x="708"/>
        <item x="407"/>
        <item x="848"/>
        <item x="751"/>
        <item x="130"/>
        <item x="744"/>
        <item x="135"/>
        <item x="797"/>
        <item x="549"/>
        <item x="879"/>
        <item x="876"/>
        <item x="776"/>
        <item x="500"/>
        <item x="656"/>
        <item x="167"/>
        <item x="202"/>
        <item x="616"/>
        <item x="452"/>
        <item x="430"/>
        <item x="27"/>
        <item x="120"/>
        <item x="206"/>
        <item x="145"/>
        <item x="131"/>
        <item x="498"/>
        <item x="147"/>
        <item x="73"/>
        <item x="856"/>
        <item x="375"/>
        <item x="432"/>
        <item x="575"/>
        <item x="322"/>
        <item x="522"/>
        <item x="737"/>
        <item x="428"/>
        <item x="108"/>
        <item x="355"/>
        <item x="883"/>
        <item x="828"/>
        <item x="601"/>
        <item x="138"/>
        <item x="84"/>
        <item x="554"/>
        <item x="532"/>
        <item x="496"/>
        <item x="773"/>
        <item x="638"/>
        <item x="200"/>
        <item x="6"/>
        <item x="423"/>
        <item x="125"/>
        <item x="126"/>
        <item x="289"/>
        <item x="627"/>
        <item x="242"/>
        <item x="936"/>
        <item x="104"/>
        <item x="17"/>
        <item x="559"/>
        <item x="19"/>
        <item x="588"/>
        <item x="372"/>
        <item x="79"/>
        <item x="869"/>
        <item x="174"/>
        <item x="248"/>
        <item x="572"/>
        <item x="875"/>
        <item x="246"/>
        <item x="864"/>
        <item x="580"/>
        <item x="225"/>
        <item x="933"/>
        <item x="886"/>
        <item x="22"/>
        <item x="86"/>
        <item x="380"/>
        <item x="841"/>
        <item x="484"/>
        <item x="314"/>
        <item x="733"/>
        <item x="761"/>
        <item x="413"/>
        <item x="806"/>
        <item x="419"/>
        <item x="885"/>
        <item x="641"/>
        <item x="718"/>
        <item x="205"/>
        <item x="187"/>
        <item x="359"/>
        <item x="180"/>
        <item x="870"/>
        <item x="536"/>
        <item x="405"/>
        <item x="833"/>
        <item x="487"/>
        <item x="383"/>
        <item x="923"/>
        <item x="165"/>
        <item x="300"/>
        <item x="426"/>
        <item x="838"/>
        <item x="605"/>
        <item x="333"/>
        <item x="888"/>
        <item x="255"/>
        <item x="564"/>
        <item x="861"/>
        <item x="893"/>
        <item x="469"/>
        <item x="12"/>
        <item x="217"/>
        <item x="654"/>
        <item x="409"/>
        <item x="431"/>
        <item x="635"/>
        <item x="578"/>
        <item x="48"/>
        <item x="490"/>
        <item x="264"/>
        <item x="771"/>
        <item x="270"/>
        <item x="163"/>
        <item x="781"/>
        <item x="54"/>
        <item x="745"/>
        <item x="803"/>
        <item x="38"/>
        <item x="814"/>
        <item x="463"/>
        <item x="811"/>
        <item x="184"/>
        <item x="912"/>
        <item x="429"/>
        <item x="711"/>
        <item x="739"/>
        <item x="75"/>
        <item x="680"/>
        <item x="467"/>
        <item x="548"/>
        <item x="181"/>
        <item x="443"/>
        <item x="675"/>
        <item x="152"/>
        <item x="465"/>
        <item x="332"/>
        <item x="478"/>
        <item x="839"/>
        <item x="434"/>
        <item x="345"/>
        <item x="293"/>
        <item x="44"/>
        <item x="439"/>
        <item x="665"/>
        <item x="444"/>
        <item x="259"/>
        <item x="425"/>
        <item x="674"/>
        <item x="704"/>
        <item x="947"/>
        <item t="default"/>
      </items>
    </pivotField>
    <pivotField showAll="0"/>
    <pivotField showAll="0">
      <items count="7">
        <item x="2"/>
        <item x="0"/>
        <item x="1"/>
        <item x="4"/>
        <item x="3"/>
        <item x="5"/>
        <item t="default"/>
      </items>
    </pivotField>
    <pivotField showAll="0"/>
    <pivotField showAll="0"/>
    <pivotField showAll="0">
      <items count="7">
        <item x="4"/>
        <item x="2"/>
        <item x="1"/>
        <item x="0"/>
        <item x="3"/>
        <item x="5"/>
        <item t="default"/>
      </items>
    </pivotField>
    <pivotField showAll="0"/>
    <pivotField showAll="0"/>
    <pivotField showAll="0"/>
    <pivotField showAll="0"/>
    <pivotField showAll="0"/>
    <pivotField showAll="0"/>
    <pivotField showAll="0"/>
    <pivotField showAll="0"/>
    <pivotField showAll="0"/>
    <pivotField showAll="0"/>
    <pivotField dataField="1" showAll="0">
      <items count="945">
        <item x="422"/>
        <item x="771"/>
        <item x="349"/>
        <item x="162"/>
        <item x="629"/>
        <item x="135"/>
        <item x="478"/>
        <item x="171"/>
        <item x="121"/>
        <item x="834"/>
        <item x="169"/>
        <item x="480"/>
        <item x="364"/>
        <item x="440"/>
        <item x="611"/>
        <item x="188"/>
        <item x="477"/>
        <item x="42"/>
        <item x="813"/>
        <item x="499"/>
        <item x="160"/>
        <item x="643"/>
        <item x="922"/>
        <item x="67"/>
        <item x="693"/>
        <item x="302"/>
        <item x="504"/>
        <item x="68"/>
        <item x="497"/>
        <item x="858"/>
        <item x="327"/>
        <item x="701"/>
        <item x="337"/>
        <item x="63"/>
        <item x="372"/>
        <item x="640"/>
        <item x="408"/>
        <item x="657"/>
        <item x="827"/>
        <item x="546"/>
        <item x="778"/>
        <item x="671"/>
        <item x="880"/>
        <item x="393"/>
        <item x="435"/>
        <item x="49"/>
        <item x="494"/>
        <item x="748"/>
        <item x="571"/>
        <item x="607"/>
        <item x="777"/>
        <item x="677"/>
        <item x="204"/>
        <item x="41"/>
        <item x="401"/>
        <item x="888"/>
        <item x="660"/>
        <item x="269"/>
        <item x="250"/>
        <item x="505"/>
        <item x="381"/>
        <item x="517"/>
        <item x="346"/>
        <item x="190"/>
        <item x="360"/>
        <item x="459"/>
        <item x="531"/>
        <item x="634"/>
        <item x="134"/>
        <item x="704"/>
        <item x="362"/>
        <item x="173"/>
        <item x="40"/>
        <item x="45"/>
        <item x="47"/>
        <item x="132"/>
        <item x="486"/>
        <item x="163"/>
        <item x="123"/>
        <item x="258"/>
        <item x="66"/>
        <item x="313"/>
        <item x="479"/>
        <item x="290"/>
        <item x="493"/>
        <item x="355"/>
        <item x="416"/>
        <item x="32"/>
        <item x="839"/>
        <item x="131"/>
        <item x="308"/>
        <item x="100"/>
        <item x="265"/>
        <item x="895"/>
        <item x="618"/>
        <item x="31"/>
        <item x="471"/>
        <item x="511"/>
        <item x="87"/>
        <item x="528"/>
        <item x="332"/>
        <item x="413"/>
        <item x="738"/>
        <item x="318"/>
        <item x="548"/>
        <item x="453"/>
        <item x="717"/>
        <item x="636"/>
        <item x="276"/>
        <item x="74"/>
        <item x="747"/>
        <item x="228"/>
        <item x="196"/>
        <item x="60"/>
        <item x="496"/>
        <item x="483"/>
        <item x="394"/>
        <item x="37"/>
        <item x="830"/>
        <item x="145"/>
        <item x="263"/>
        <item x="536"/>
        <item x="126"/>
        <item x="615"/>
        <item x="374"/>
        <item x="458"/>
        <item x="11"/>
        <item x="398"/>
        <item x="537"/>
        <item x="78"/>
        <item x="534"/>
        <item x="654"/>
        <item x="670"/>
        <item x="583"/>
        <item x="213"/>
        <item x="30"/>
        <item x="383"/>
        <item x="325"/>
        <item x="297"/>
        <item x="445"/>
        <item x="503"/>
        <item x="681"/>
        <item x="818"/>
        <item x="12"/>
        <item x="807"/>
        <item x="668"/>
        <item x="542"/>
        <item x="286"/>
        <item x="594"/>
        <item x="395"/>
        <item x="502"/>
        <item x="679"/>
        <item x="220"/>
        <item x="924"/>
        <item x="351"/>
        <item x="218"/>
        <item x="4"/>
        <item x="632"/>
        <item x="296"/>
        <item x="916"/>
        <item x="94"/>
        <item x="641"/>
        <item x="433"/>
        <item x="439"/>
        <item x="767"/>
        <item x="56"/>
        <item x="161"/>
        <item x="612"/>
        <item x="552"/>
        <item x="684"/>
        <item x="359"/>
        <item x="146"/>
        <item x="156"/>
        <item x="527"/>
        <item x="673"/>
        <item x="867"/>
        <item x="515"/>
        <item x="756"/>
        <item x="9"/>
        <item x="176"/>
        <item x="637"/>
        <item x="518"/>
        <item x="907"/>
        <item x="862"/>
        <item x="33"/>
        <item x="448"/>
        <item x="557"/>
        <item x="856"/>
        <item x="236"/>
        <item x="890"/>
        <item x="221"/>
        <item x="805"/>
        <item x="655"/>
        <item x="284"/>
        <item x="404"/>
        <item x="34"/>
        <item x="859"/>
        <item x="624"/>
        <item x="649"/>
        <item x="248"/>
        <item x="544"/>
        <item x="601"/>
        <item x="93"/>
        <item x="363"/>
        <item x="311"/>
        <item x="539"/>
        <item x="802"/>
        <item x="90"/>
        <item x="788"/>
        <item x="69"/>
        <item x="658"/>
        <item x="484"/>
        <item x="513"/>
        <item x="111"/>
        <item x="555"/>
        <item x="533"/>
        <item x="237"/>
        <item x="300"/>
        <item x="306"/>
        <item x="309"/>
        <item x="116"/>
        <item x="133"/>
        <item x="609"/>
        <item x="53"/>
        <item x="354"/>
        <item x="799"/>
        <item x="242"/>
        <item x="452"/>
        <item x="114"/>
        <item x="942"/>
        <item x="869"/>
        <item x="219"/>
        <item x="825"/>
        <item x="170"/>
        <item x="143"/>
        <item x="729"/>
        <item x="329"/>
        <item x="508"/>
        <item x="8"/>
        <item x="491"/>
        <item x="334"/>
        <item x="182"/>
        <item x="842"/>
        <item x="592"/>
        <item x="843"/>
        <item x="414"/>
        <item x="769"/>
        <item x="235"/>
        <item x="593"/>
        <item x="598"/>
        <item x="22"/>
        <item x="656"/>
        <item x="369"/>
        <item x="207"/>
        <item x="14"/>
        <item x="741"/>
        <item x="260"/>
        <item x="711"/>
        <item x="887"/>
        <item x="573"/>
        <item x="847"/>
        <item x="828"/>
        <item x="464"/>
        <item x="255"/>
        <item x="463"/>
        <item x="893"/>
        <item x="653"/>
        <item x="683"/>
        <item x="724"/>
        <item x="137"/>
        <item x="905"/>
        <item x="244"/>
        <item x="28"/>
        <item x="84"/>
        <item x="519"/>
        <item x="141"/>
        <item x="603"/>
        <item x="556"/>
        <item x="547"/>
        <item x="358"/>
        <item x="29"/>
        <item x="737"/>
        <item x="775"/>
        <item x="911"/>
        <item x="144"/>
        <item x="509"/>
        <item x="833"/>
        <item x="848"/>
        <item x="139"/>
        <item x="514"/>
        <item x="304"/>
        <item x="709"/>
        <item x="780"/>
        <item x="899"/>
        <item x="129"/>
        <item x="829"/>
        <item x="450"/>
        <item x="223"/>
        <item x="375"/>
        <item x="106"/>
        <item x="635"/>
        <item x="585"/>
        <item x="696"/>
        <item x="730"/>
        <item x="57"/>
        <item x="55"/>
        <item x="446"/>
        <item x="388"/>
        <item x="275"/>
        <item x="606"/>
        <item x="664"/>
        <item x="130"/>
        <item x="791"/>
        <item x="310"/>
        <item x="490"/>
        <item x="564"/>
        <item x="838"/>
        <item x="923"/>
        <item x="672"/>
        <item x="734"/>
        <item x="426"/>
        <item x="760"/>
        <item x="935"/>
        <item x="216"/>
        <item x="183"/>
        <item x="904"/>
        <item x="523"/>
        <item x="98"/>
        <item x="344"/>
        <item x="549"/>
        <item x="645"/>
        <item x="588"/>
        <item x="390"/>
        <item x="227"/>
        <item x="314"/>
        <item x="820"/>
        <item x="575"/>
        <item x="430"/>
        <item x="400"/>
        <item x="319"/>
        <item x="540"/>
        <item x="328"/>
        <item x="79"/>
        <item x="23"/>
        <item x="844"/>
        <item x="89"/>
        <item x="432"/>
        <item x="565"/>
        <item x="525"/>
        <item x="321"/>
        <item x="324"/>
        <item x="613"/>
        <item x="159"/>
        <item x="128"/>
        <item x="779"/>
        <item x="908"/>
        <item x="891"/>
        <item x="268"/>
        <item x="443"/>
        <item x="434"/>
        <item x="113"/>
        <item x="733"/>
        <item x="475"/>
        <item x="723"/>
        <item x="348"/>
        <item x="168"/>
        <item x="580"/>
        <item x="714"/>
        <item x="836"/>
        <item x="792"/>
        <item x="530"/>
        <item x="739"/>
        <item x="153"/>
        <item x="253"/>
        <item x="797"/>
        <item x="676"/>
        <item x="407"/>
        <item x="703"/>
        <item x="10"/>
        <item x="925"/>
        <item x="763"/>
        <item x="914"/>
        <item x="824"/>
        <item x="688"/>
        <item x="743"/>
        <item x="579"/>
        <item x="367"/>
        <item x="628"/>
        <item x="814"/>
        <item x="758"/>
        <item x="500"/>
        <item x="295"/>
        <item x="835"/>
        <item x="764"/>
        <item x="705"/>
        <item x="633"/>
        <item x="136"/>
        <item x="336"/>
        <item x="854"/>
        <item x="875"/>
        <item x="642"/>
        <item x="921"/>
        <item x="361"/>
        <item x="898"/>
        <item x="75"/>
        <item x="926"/>
        <item x="127"/>
        <item x="353"/>
        <item x="282"/>
        <item x="578"/>
        <item x="278"/>
        <item x="569"/>
        <item x="202"/>
        <item x="206"/>
        <item x="438"/>
        <item x="550"/>
        <item x="595"/>
        <item x="610"/>
        <item x="873"/>
        <item x="243"/>
        <item x="695"/>
        <item x="803"/>
        <item x="107"/>
        <item x="476"/>
        <item x="754"/>
        <item x="507"/>
        <item x="812"/>
        <item x="627"/>
        <item x="246"/>
        <item x="48"/>
        <item x="516"/>
        <item x="687"/>
        <item x="195"/>
        <item x="794"/>
        <item x="841"/>
        <item x="878"/>
        <item x="884"/>
        <item x="619"/>
        <item x="245"/>
        <item x="454"/>
        <item x="457"/>
        <item x="465"/>
        <item x="577"/>
        <item x="19"/>
        <item x="698"/>
        <item x="796"/>
        <item x="109"/>
        <item x="192"/>
        <item x="616"/>
        <item x="563"/>
        <item x="721"/>
        <item x="333"/>
        <item x="639"/>
        <item x="20"/>
        <item x="285"/>
        <item x="179"/>
        <item x="7"/>
        <item x="469"/>
        <item x="234"/>
        <item x="417"/>
        <item x="742"/>
        <item x="456"/>
        <item x="91"/>
        <item x="54"/>
        <item x="602"/>
        <item x="680"/>
        <item x="685"/>
        <item x="326"/>
        <item x="710"/>
        <item x="506"/>
        <item x="863"/>
        <item x="462"/>
        <item x="576"/>
        <item x="281"/>
        <item x="378"/>
        <item x="931"/>
        <item x="614"/>
        <item x="622"/>
        <item x="392"/>
        <item x="120"/>
        <item x="184"/>
        <item x="338"/>
        <item x="441"/>
        <item x="638"/>
        <item x="64"/>
        <item x="845"/>
        <item x="186"/>
        <item x="492"/>
        <item x="15"/>
        <item x="264"/>
        <item x="423"/>
        <item x="198"/>
        <item x="832"/>
        <item x="816"/>
        <item x="420"/>
        <item x="750"/>
        <item x="330"/>
        <item x="51"/>
        <item x="272"/>
        <item x="718"/>
        <item x="691"/>
        <item x="485"/>
        <item x="396"/>
        <item x="600"/>
        <item x="785"/>
        <item x="142"/>
        <item x="590"/>
        <item x="892"/>
        <item x="287"/>
        <item x="529"/>
        <item x="850"/>
        <item x="166"/>
        <item x="860"/>
        <item x="762"/>
        <item x="663"/>
        <item x="442"/>
        <item x="428"/>
        <item x="365"/>
        <item x="147"/>
        <item x="751"/>
        <item x="444"/>
        <item x="532"/>
        <item x="597"/>
        <item x="652"/>
        <item x="644"/>
        <item x="399"/>
        <item x="872"/>
        <item x="906"/>
        <item x="927"/>
        <item x="910"/>
        <item x="125"/>
        <item x="18"/>
        <item x="621"/>
        <item x="322"/>
        <item x="410"/>
        <item x="431"/>
        <item x="415"/>
        <item x="238"/>
        <item x="570"/>
        <item x="174"/>
        <item x="165"/>
        <item x="877"/>
        <item x="152"/>
        <item x="776"/>
        <item x="403"/>
        <item x="708"/>
        <item x="86"/>
        <item x="744"/>
        <item x="918"/>
        <item x="65"/>
        <item x="379"/>
        <item x="474"/>
        <item x="915"/>
        <item x="808"/>
        <item x="795"/>
        <item x="447"/>
        <item x="26"/>
        <item x="719"/>
        <item x="197"/>
        <item x="335"/>
        <item x="391"/>
        <item x="104"/>
        <item x="82"/>
        <item x="259"/>
        <item x="591"/>
        <item x="790"/>
        <item x="233"/>
        <item x="625"/>
        <item x="201"/>
        <item x="292"/>
        <item x="735"/>
        <item x="254"/>
        <item x="886"/>
        <item x="229"/>
        <item x="651"/>
        <item x="538"/>
        <item x="766"/>
        <item x="761"/>
        <item x="191"/>
        <item x="315"/>
        <item x="240"/>
        <item x="686"/>
        <item x="694"/>
        <item x="419"/>
        <item x="283"/>
        <item x="38"/>
        <item x="251"/>
        <item x="307"/>
        <item x="665"/>
        <item x="199"/>
        <item x="581"/>
        <item x="498"/>
        <item x="103"/>
        <item x="356"/>
        <item x="798"/>
        <item x="167"/>
        <item x="561"/>
        <item x="661"/>
        <item x="110"/>
        <item x="623"/>
        <item x="411"/>
        <item x="558"/>
        <item x="402"/>
        <item x="154"/>
        <item x="524"/>
        <item x="713"/>
        <item x="273"/>
        <item x="929"/>
        <item x="62"/>
        <item x="226"/>
        <item x="312"/>
        <item x="567"/>
        <item x="427"/>
        <item x="177"/>
        <item x="809"/>
        <item x="150"/>
        <item x="473"/>
        <item x="650"/>
        <item x="185"/>
        <item x="341"/>
        <item x="425"/>
        <item x="728"/>
        <item x="755"/>
        <item x="0"/>
        <item x="562"/>
        <item x="52"/>
        <item x="783"/>
        <item x="804"/>
        <item x="6"/>
        <item x="702"/>
        <item x="3"/>
        <item x="155"/>
        <item x="151"/>
        <item x="885"/>
        <item x="39"/>
        <item x="373"/>
        <item x="902"/>
        <item x="293"/>
        <item x="222"/>
        <item x="294"/>
        <item x="214"/>
        <item x="76"/>
        <item x="932"/>
        <item x="545"/>
        <item x="933"/>
        <item x="883"/>
        <item x="736"/>
        <item x="203"/>
        <item x="343"/>
        <item x="61"/>
        <item x="303"/>
        <item x="13"/>
        <item x="257"/>
        <item x="405"/>
        <item x="706"/>
        <item x="815"/>
        <item x="882"/>
        <item x="461"/>
        <item x="752"/>
        <item x="768"/>
        <item x="305"/>
        <item x="178"/>
        <item x="900"/>
        <item x="941"/>
        <item x="823"/>
        <item x="35"/>
        <item x="347"/>
        <item x="857"/>
        <item x="810"/>
        <item x="406"/>
        <item x="522"/>
        <item x="682"/>
        <item x="784"/>
        <item x="800"/>
        <item x="27"/>
        <item x="667"/>
        <item x="853"/>
        <item x="239"/>
        <item x="267"/>
        <item x="774"/>
        <item x="409"/>
        <item x="289"/>
        <item x="50"/>
        <item x="938"/>
        <item x="436"/>
        <item x="21"/>
        <item x="894"/>
        <item x="122"/>
        <item x="88"/>
        <item x="429"/>
        <item x="212"/>
        <item x="521"/>
        <item x="837"/>
        <item x="604"/>
        <item x="572"/>
        <item x="97"/>
        <item x="115"/>
        <item x="913"/>
        <item x="630"/>
        <item x="397"/>
        <item x="846"/>
        <item x="782"/>
        <item x="85"/>
        <item x="909"/>
        <item x="865"/>
        <item x="350"/>
        <item x="495"/>
        <item x="99"/>
        <item x="466"/>
        <item x="631"/>
        <item x="280"/>
        <item x="731"/>
        <item x="669"/>
        <item x="382"/>
        <item x="897"/>
        <item x="2"/>
        <item x="697"/>
        <item x="418"/>
        <item x="566"/>
        <item x="232"/>
        <item x="140"/>
        <item x="822"/>
        <item x="352"/>
        <item x="700"/>
        <item x="757"/>
        <item x="17"/>
        <item x="699"/>
        <item x="940"/>
        <item x="376"/>
        <item x="252"/>
        <item x="732"/>
        <item x="96"/>
        <item x="175"/>
        <item x="487"/>
        <item x="510"/>
        <item x="725"/>
        <item x="937"/>
        <item x="819"/>
        <item x="112"/>
        <item x="102"/>
        <item x="901"/>
        <item x="589"/>
        <item x="662"/>
        <item x="586"/>
        <item x="124"/>
        <item x="210"/>
        <item x="164"/>
        <item x="746"/>
        <item x="467"/>
        <item x="587"/>
        <item x="368"/>
        <item x="211"/>
        <item x="241"/>
        <item x="1"/>
        <item x="172"/>
        <item x="855"/>
        <item x="385"/>
        <item x="249"/>
        <item x="936"/>
        <item x="288"/>
        <item x="675"/>
        <item x="299"/>
        <item x="83"/>
        <item x="271"/>
        <item x="44"/>
        <item x="189"/>
        <item x="584"/>
        <item x="384"/>
        <item x="745"/>
        <item x="919"/>
        <item x="849"/>
        <item x="291"/>
        <item x="468"/>
        <item x="512"/>
        <item x="262"/>
        <item x="298"/>
        <item x="149"/>
        <item x="715"/>
        <item x="301"/>
        <item x="851"/>
        <item x="674"/>
        <item x="317"/>
        <item x="449"/>
        <item x="80"/>
        <item x="559"/>
        <item x="934"/>
        <item x="647"/>
        <item x="520"/>
        <item x="73"/>
        <item x="36"/>
        <item x="339"/>
        <item x="866"/>
        <item x="277"/>
        <item x="646"/>
        <item x="605"/>
        <item x="180"/>
        <item x="320"/>
        <item x="727"/>
        <item x="896"/>
        <item x="342"/>
        <item x="158"/>
        <item x="773"/>
        <item x="81"/>
        <item x="24"/>
        <item x="366"/>
        <item x="340"/>
        <item x="208"/>
        <item x="92"/>
        <item x="101"/>
        <item x="231"/>
        <item x="772"/>
        <item x="256"/>
        <item x="209"/>
        <item x="551"/>
        <item x="389"/>
        <item x="526"/>
        <item x="215"/>
        <item x="157"/>
        <item x="939"/>
        <item x="770"/>
        <item x="205"/>
        <item x="193"/>
        <item x="472"/>
        <item x="920"/>
        <item x="765"/>
        <item x="879"/>
        <item x="826"/>
        <item x="560"/>
        <item x="889"/>
        <item x="707"/>
        <item x="554"/>
        <item x="70"/>
        <item x="648"/>
        <item x="692"/>
        <item x="720"/>
        <item x="821"/>
        <item x="224"/>
        <item x="148"/>
        <item x="46"/>
        <item x="77"/>
        <item x="852"/>
        <item x="43"/>
        <item x="108"/>
        <item x="678"/>
        <item x="501"/>
        <item x="864"/>
        <item x="582"/>
        <item x="620"/>
        <item x="357"/>
        <item x="95"/>
        <item x="270"/>
        <item x="781"/>
        <item x="387"/>
        <item x="786"/>
        <item x="831"/>
        <item x="247"/>
        <item x="690"/>
        <item x="345"/>
        <item x="266"/>
        <item x="316"/>
        <item x="412"/>
        <item x="881"/>
        <item x="753"/>
        <item x="59"/>
        <item x="105"/>
        <item x="789"/>
        <item x="876"/>
        <item x="424"/>
        <item x="58"/>
        <item x="543"/>
        <item x="489"/>
        <item x="740"/>
        <item x="568"/>
        <item x="279"/>
        <item x="455"/>
        <item x="759"/>
        <item x="72"/>
        <item x="194"/>
        <item x="626"/>
        <item x="712"/>
        <item x="596"/>
        <item x="553"/>
        <item x="488"/>
        <item x="71"/>
        <item x="801"/>
        <item x="874"/>
        <item x="912"/>
        <item x="274"/>
        <item x="871"/>
        <item x="574"/>
        <item x="716"/>
        <item x="666"/>
        <item x="187"/>
        <item x="138"/>
        <item x="608"/>
        <item x="451"/>
        <item x="599"/>
        <item x="930"/>
        <item x="787"/>
        <item x="331"/>
        <item x="868"/>
        <item x="811"/>
        <item x="437"/>
        <item x="200"/>
        <item x="421"/>
        <item x="817"/>
        <item x="460"/>
        <item x="230"/>
        <item x="617"/>
        <item x="323"/>
        <item x="840"/>
        <item x="380"/>
        <item x="861"/>
        <item x="726"/>
        <item x="535"/>
        <item x="377"/>
        <item x="386"/>
        <item x="659"/>
        <item x="481"/>
        <item x="5"/>
        <item x="16"/>
        <item x="870"/>
        <item x="903"/>
        <item x="217"/>
        <item x="225"/>
        <item x="806"/>
        <item x="793"/>
        <item x="119"/>
        <item x="482"/>
        <item x="917"/>
        <item x="118"/>
        <item x="722"/>
        <item x="181"/>
        <item x="689"/>
        <item x="928"/>
        <item x="541"/>
        <item x="25"/>
        <item x="261"/>
        <item x="371"/>
        <item x="470"/>
        <item x="370"/>
        <item x="117"/>
        <item x="749"/>
        <item x="943"/>
        <item t="default"/>
      </items>
    </pivotField>
    <pivotField showAll="0"/>
    <pivotField showAll="0"/>
    <pivotField showAll="0"/>
    <pivotField showAll="0"/>
    <pivotField showAll="0"/>
    <pivotField showAll="0">
      <items count="44">
        <item x="28"/>
        <item x="27"/>
        <item x="2"/>
        <item x="23"/>
        <item x="24"/>
        <item x="32"/>
        <item x="31"/>
        <item x="30"/>
        <item x="41"/>
        <item x="12"/>
        <item x="4"/>
        <item x="14"/>
        <item x="13"/>
        <item x="39"/>
        <item x="8"/>
        <item x="16"/>
        <item x="35"/>
        <item x="33"/>
        <item x="25"/>
        <item x="5"/>
        <item x="18"/>
        <item x="15"/>
        <item x="29"/>
        <item x="19"/>
        <item x="17"/>
        <item x="1"/>
        <item x="21"/>
        <item x="38"/>
        <item x="3"/>
        <item x="9"/>
        <item x="36"/>
        <item x="10"/>
        <item x="42"/>
        <item x="7"/>
        <item x="34"/>
        <item x="6"/>
        <item x="40"/>
        <item x="26"/>
        <item x="37"/>
        <item x="22"/>
        <item x="11"/>
        <item x="20"/>
        <item x="0"/>
        <item t="default"/>
      </items>
    </pivotField>
    <pivotField showAll="0">
      <items count="44">
        <item x="28"/>
        <item x="27"/>
        <item x="2"/>
        <item x="23"/>
        <item x="24"/>
        <item x="32"/>
        <item x="31"/>
        <item x="30"/>
        <item x="41"/>
        <item x="12"/>
        <item x="4"/>
        <item x="14"/>
        <item x="13"/>
        <item x="39"/>
        <item x="8"/>
        <item x="16"/>
        <item x="35"/>
        <item x="33"/>
        <item x="25"/>
        <item x="5"/>
        <item x="18"/>
        <item x="15"/>
        <item x="29"/>
        <item x="19"/>
        <item x="17"/>
        <item x="1"/>
        <item x="21"/>
        <item x="38"/>
        <item x="3"/>
        <item x="9"/>
        <item x="36"/>
        <item x="10"/>
        <item x="42"/>
        <item x="7"/>
        <item x="34"/>
        <item x="6"/>
        <item x="40"/>
        <item x="26"/>
        <item x="37"/>
        <item x="22"/>
        <item x="11"/>
        <item x="20"/>
        <item x="0"/>
        <item t="default"/>
      </items>
    </pivotField>
    <pivotField showAll="0">
      <items count="12">
        <item x="5"/>
        <item x="4"/>
        <item x="8"/>
        <item x="1"/>
        <item x="0"/>
        <item x="3"/>
        <item x="9"/>
        <item x="6"/>
        <item x="2"/>
        <item x="7"/>
        <item x="1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Amount" fld="17" baseField="0" baseItem="0"/>
  </dataFields>
  <formats count="1">
    <format dxfId="2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2FB395-F7FE-4AB8-BFD2-B49A11F7583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25:B139" firstHeaderRow="1" firstDataRow="1" firstDataCol="1"/>
  <pivotFields count="37">
    <pivotField showAll="0"/>
    <pivotField showAll="0">
      <items count="949">
        <item x="916"/>
        <item x="793"/>
        <item x="667"/>
        <item x="684"/>
        <item x="620"/>
        <item x="691"/>
        <item x="103"/>
        <item x="342"/>
        <item x="148"/>
        <item x="395"/>
        <item x="729"/>
        <item x="600"/>
        <item x="597"/>
        <item x="137"/>
        <item x="599"/>
        <item x="107"/>
        <item x="162"/>
        <item x="699"/>
        <item x="286"/>
        <item x="568"/>
        <item x="511"/>
        <item x="757"/>
        <item x="551"/>
        <item x="625"/>
        <item x="354"/>
        <item x="343"/>
        <item x="387"/>
        <item x="269"/>
        <item x="353"/>
        <item x="141"/>
        <item x="845"/>
        <item x="821"/>
        <item x="302"/>
        <item x="82"/>
        <item x="910"/>
        <item x="222"/>
        <item x="239"/>
        <item x="534"/>
        <item x="412"/>
        <item x="418"/>
        <item x="779"/>
        <item x="900"/>
        <item x="113"/>
        <item x="807"/>
        <item x="318"/>
        <item x="892"/>
        <item x="321"/>
        <item x="374"/>
        <item x="59"/>
        <item x="866"/>
        <item x="81"/>
        <item x="3"/>
        <item x="481"/>
        <item x="368"/>
        <item x="77"/>
        <item x="51"/>
        <item x="160"/>
        <item x="315"/>
        <item x="529"/>
        <item x="722"/>
        <item x="183"/>
        <item x="640"/>
        <item x="930"/>
        <item x="397"/>
        <item x="57"/>
        <item x="216"/>
        <item x="891"/>
        <item x="858"/>
        <item x="196"/>
        <item x="683"/>
        <item x="714"/>
        <item x="867"/>
        <item x="523"/>
        <item x="347"/>
        <item x="262"/>
        <item x="301"/>
        <item x="323"/>
        <item x="150"/>
        <item x="134"/>
        <item x="327"/>
        <item x="417"/>
        <item x="491"/>
        <item x="377"/>
        <item x="721"/>
        <item x="364"/>
        <item x="98"/>
        <item x="795"/>
        <item x="149"/>
        <item x="525"/>
        <item x="122"/>
        <item x="614"/>
        <item x="274"/>
        <item x="404"/>
        <item x="151"/>
        <item x="921"/>
        <item x="752"/>
        <item x="844"/>
        <item x="881"/>
        <item x="188"/>
        <item x="319"/>
        <item x="860"/>
        <item x="258"/>
        <item x="946"/>
        <item x="570"/>
        <item x="326"/>
        <item x="581"/>
        <item x="685"/>
        <item x="506"/>
        <item x="775"/>
        <item x="329"/>
        <item x="144"/>
        <item x="736"/>
        <item x="874"/>
        <item x="877"/>
        <item x="552"/>
        <item x="276"/>
        <item x="28"/>
        <item x="786"/>
        <item x="446"/>
        <item x="30"/>
        <item x="275"/>
        <item x="91"/>
        <item x="817"/>
        <item x="454"/>
        <item x="292"/>
        <item x="74"/>
        <item x="791"/>
        <item x="801"/>
        <item x="810"/>
        <item x="285"/>
        <item x="69"/>
        <item x="770"/>
        <item x="5"/>
        <item x="193"/>
        <item x="897"/>
        <item x="299"/>
        <item x="348"/>
        <item x="837"/>
        <item x="941"/>
        <item x="55"/>
        <item x="835"/>
        <item x="831"/>
        <item x="619"/>
        <item x="531"/>
        <item x="932"/>
        <item x="24"/>
        <item x="227"/>
        <item x="904"/>
        <item x="740"/>
        <item x="457"/>
        <item x="11"/>
        <item x="427"/>
        <item x="408"/>
        <item x="346"/>
        <item x="917"/>
        <item x="574"/>
        <item x="546"/>
        <item x="393"/>
        <item x="164"/>
        <item x="316"/>
        <item x="9"/>
        <item x="843"/>
        <item x="935"/>
        <item x="544"/>
        <item x="538"/>
        <item x="396"/>
        <item x="705"/>
        <item x="610"/>
        <item x="328"/>
        <item x="40"/>
        <item x="585"/>
        <item x="245"/>
        <item x="931"/>
        <item x="87"/>
        <item x="456"/>
        <item x="537"/>
        <item x="369"/>
        <item x="808"/>
        <item x="822"/>
        <item x="218"/>
        <item x="750"/>
        <item x="611"/>
        <item x="278"/>
        <item x="53"/>
        <item x="687"/>
        <item x="582"/>
        <item x="488"/>
        <item x="926"/>
        <item x="182"/>
        <item x="71"/>
        <item x="852"/>
        <item x="136"/>
        <item x="942"/>
        <item x="263"/>
        <item x="251"/>
        <item x="504"/>
        <item x="83"/>
        <item x="230"/>
        <item x="211"/>
        <item x="220"/>
        <item x="790"/>
        <item x="703"/>
        <item x="857"/>
        <item x="940"/>
        <item x="204"/>
        <item x="509"/>
        <item x="476"/>
        <item x="330"/>
        <item x="642"/>
        <item x="61"/>
        <item x="388"/>
        <item x="755"/>
        <item x="303"/>
        <item x="349"/>
        <item x="440"/>
        <item x="694"/>
        <item x="730"/>
        <item x="111"/>
        <item x="176"/>
        <item x="644"/>
        <item x="247"/>
        <item x="215"/>
        <item x="901"/>
        <item x="253"/>
        <item x="441"/>
        <item x="929"/>
        <item x="566"/>
        <item x="637"/>
        <item x="732"/>
        <item x="679"/>
        <item x="154"/>
        <item x="257"/>
        <item x="623"/>
        <item x="535"/>
        <item x="747"/>
        <item x="713"/>
        <item x="919"/>
        <item x="846"/>
        <item x="583"/>
        <item x="717"/>
        <item x="653"/>
        <item x="192"/>
        <item x="832"/>
        <item x="402"/>
        <item x="41"/>
        <item x="288"/>
        <item x="414"/>
        <item x="156"/>
        <item x="385"/>
        <item x="340"/>
        <item x="21"/>
        <item x="249"/>
        <item x="451"/>
        <item x="213"/>
        <item x="42"/>
        <item x="281"/>
        <item x="939"/>
        <item x="579"/>
        <item x="219"/>
        <item x="140"/>
        <item x="394"/>
        <item x="271"/>
        <item x="124"/>
        <item x="367"/>
        <item x="792"/>
        <item x="234"/>
        <item x="357"/>
        <item x="731"/>
        <item x="658"/>
        <item x="106"/>
        <item x="530"/>
        <item x="447"/>
        <item x="911"/>
        <item x="197"/>
        <item x="363"/>
        <item x="527"/>
        <item x="101"/>
        <item x="543"/>
        <item x="224"/>
        <item x="695"/>
        <item x="819"/>
        <item x="168"/>
        <item x="233"/>
        <item x="381"/>
        <item x="541"/>
        <item x="829"/>
        <item x="96"/>
        <item x="802"/>
        <item x="890"/>
        <item x="760"/>
        <item x="420"/>
        <item x="350"/>
        <item x="753"/>
        <item x="166"/>
        <item x="62"/>
        <item x="110"/>
        <item x="109"/>
        <item x="449"/>
        <item x="659"/>
        <item x="690"/>
        <item x="76"/>
        <item x="726"/>
        <item x="878"/>
        <item x="734"/>
        <item x="826"/>
        <item x="337"/>
        <item x="676"/>
        <item x="7"/>
        <item x="1"/>
        <item x="324"/>
        <item x="636"/>
        <item x="723"/>
        <item x="944"/>
        <item x="493"/>
        <item x="774"/>
        <item x="360"/>
        <item x="655"/>
        <item x="296"/>
        <item x="502"/>
        <item x="231"/>
        <item x="609"/>
        <item x="788"/>
        <item x="226"/>
        <item x="178"/>
        <item x="80"/>
        <item x="587"/>
        <item x="334"/>
        <item x="403"/>
        <item x="756"/>
        <item x="105"/>
        <item x="66"/>
        <item x="925"/>
        <item x="458"/>
        <item x="696"/>
        <item x="306"/>
        <item x="118"/>
        <item x="32"/>
        <item x="384"/>
        <item x="175"/>
        <item x="871"/>
        <item x="480"/>
        <item x="351"/>
        <item x="872"/>
        <item x="816"/>
        <item x="617"/>
        <item x="382"/>
        <item x="777"/>
        <item x="177"/>
        <item x="853"/>
        <item x="473"/>
        <item x="386"/>
        <item x="252"/>
        <item x="410"/>
        <item x="208"/>
        <item x="261"/>
        <item x="92"/>
        <item x="294"/>
        <item x="780"/>
        <item x="305"/>
        <item x="121"/>
        <item x="562"/>
        <item x="489"/>
        <item x="266"/>
        <item x="513"/>
        <item x="510"/>
        <item x="754"/>
        <item x="237"/>
        <item x="647"/>
        <item x="515"/>
        <item x="672"/>
        <item x="628"/>
        <item x="681"/>
        <item x="924"/>
        <item x="376"/>
        <item x="516"/>
        <item x="475"/>
        <item x="338"/>
        <item x="798"/>
        <item x="565"/>
        <item x="282"/>
        <item x="820"/>
        <item x="228"/>
        <item x="889"/>
        <item x="201"/>
        <item x="766"/>
        <item x="706"/>
        <item x="553"/>
        <item x="836"/>
        <item x="873"/>
        <item x="778"/>
        <item x="749"/>
        <item x="70"/>
        <item x="521"/>
        <item x="194"/>
        <item x="712"/>
        <item x="849"/>
        <item x="58"/>
        <item x="172"/>
        <item x="613"/>
        <item x="33"/>
        <item x="161"/>
        <item x="622"/>
        <item x="406"/>
        <item x="542"/>
        <item x="518"/>
        <item x="260"/>
        <item x="114"/>
        <item x="701"/>
        <item x="173"/>
        <item x="78"/>
        <item x="589"/>
        <item x="366"/>
        <item x="668"/>
        <item x="442"/>
        <item x="738"/>
        <item x="437"/>
        <item x="594"/>
        <item x="603"/>
        <item x="590"/>
        <item x="336"/>
        <item x="759"/>
        <item x="880"/>
        <item x="290"/>
        <item x="812"/>
        <item x="743"/>
        <item x="52"/>
        <item x="20"/>
        <item x="593"/>
        <item x="693"/>
        <item x="207"/>
        <item x="591"/>
        <item x="250"/>
        <item x="190"/>
        <item x="868"/>
        <item x="362"/>
        <item x="470"/>
        <item x="602"/>
        <item x="809"/>
        <item x="455"/>
        <item x="464"/>
        <item x="784"/>
        <item x="898"/>
        <item x="18"/>
        <item x="468"/>
        <item x="399"/>
        <item x="592"/>
        <item x="922"/>
        <item x="606"/>
        <item x="895"/>
        <item x="67"/>
        <item x="666"/>
        <item x="639"/>
        <item x="209"/>
        <item x="539"/>
        <item x="664"/>
        <item x="673"/>
        <item x="10"/>
        <item x="284"/>
        <item x="210"/>
        <item x="909"/>
        <item x="934"/>
        <item x="762"/>
        <item x="918"/>
        <item x="804"/>
        <item x="308"/>
        <item x="339"/>
        <item x="660"/>
        <item x="914"/>
        <item x="400"/>
        <item x="241"/>
        <item x="769"/>
        <item x="358"/>
        <item x="436"/>
        <item x="649"/>
        <item x="378"/>
        <item x="524"/>
        <item x="142"/>
        <item x="796"/>
        <item x="391"/>
        <item x="482"/>
        <item x="477"/>
        <item x="710"/>
        <item x="280"/>
        <item x="533"/>
        <item x="100"/>
        <item x="60"/>
        <item x="23"/>
        <item x="764"/>
        <item x="186"/>
        <item x="331"/>
        <item x="621"/>
        <item x="813"/>
        <item x="171"/>
        <item x="662"/>
        <item x="686"/>
        <item x="450"/>
        <item x="767"/>
        <item x="153"/>
        <item x="805"/>
        <item x="462"/>
        <item x="435"/>
        <item x="268"/>
        <item x="824"/>
        <item x="499"/>
        <item x="155"/>
        <item x="277"/>
        <item x="633"/>
        <item x="307"/>
        <item x="818"/>
        <item x="495"/>
        <item x="652"/>
        <item x="179"/>
        <item x="424"/>
        <item x="365"/>
        <item x="47"/>
        <item x="466"/>
        <item x="742"/>
        <item x="707"/>
        <item x="573"/>
        <item x="670"/>
        <item x="325"/>
        <item x="438"/>
        <item x="158"/>
        <item x="459"/>
        <item x="170"/>
        <item x="545"/>
        <item x="709"/>
        <item x="341"/>
        <item x="716"/>
        <item x="304"/>
        <item x="313"/>
        <item x="584"/>
        <item x="785"/>
        <item x="503"/>
        <item x="116"/>
        <item x="758"/>
        <item x="607"/>
        <item x="273"/>
        <item x="132"/>
        <item x="540"/>
        <item x="283"/>
        <item x="474"/>
        <item x="279"/>
        <item x="64"/>
        <item x="608"/>
        <item x="65"/>
        <item x="651"/>
        <item x="31"/>
        <item x="389"/>
        <item x="29"/>
        <item x="99"/>
        <item x="494"/>
        <item x="191"/>
        <item x="507"/>
        <item x="112"/>
        <item x="669"/>
        <item x="379"/>
        <item x="143"/>
        <item x="913"/>
        <item x="335"/>
        <item x="618"/>
        <item x="896"/>
        <item x="295"/>
        <item x="823"/>
        <item x="34"/>
        <item x="700"/>
        <item x="698"/>
        <item x="715"/>
        <item x="291"/>
        <item x="724"/>
        <item x="159"/>
        <item x="485"/>
        <item x="678"/>
        <item x="514"/>
        <item x="645"/>
        <item x="595"/>
        <item x="746"/>
        <item x="671"/>
        <item x="129"/>
        <item x="501"/>
        <item x="139"/>
        <item x="556"/>
        <item x="906"/>
        <item x="859"/>
        <item x="287"/>
        <item x="26"/>
        <item x="765"/>
        <item x="768"/>
        <item x="689"/>
        <item x="854"/>
        <item x="825"/>
        <item x="37"/>
        <item x="39"/>
        <item x="830"/>
        <item x="855"/>
        <item x="415"/>
        <item x="615"/>
        <item x="0"/>
        <item x="576"/>
        <item x="235"/>
        <item x="88"/>
        <item x="195"/>
        <item x="882"/>
        <item x="928"/>
        <item x="646"/>
        <item x="560"/>
        <item x="90"/>
        <item x="851"/>
        <item x="8"/>
        <item x="16"/>
        <item x="677"/>
        <item x="927"/>
        <item x="433"/>
        <item x="648"/>
        <item x="517"/>
        <item x="508"/>
        <item x="920"/>
        <item x="884"/>
        <item x="25"/>
        <item x="352"/>
        <item x="938"/>
        <item x="445"/>
        <item x="133"/>
        <item x="789"/>
        <item x="256"/>
        <item x="2"/>
        <item x="577"/>
        <item x="43"/>
        <item x="741"/>
        <item x="657"/>
        <item x="63"/>
        <item x="392"/>
        <item x="102"/>
        <item x="492"/>
        <item x="229"/>
        <item x="567"/>
        <item x="15"/>
        <item x="185"/>
        <item x="373"/>
        <item x="85"/>
        <item x="782"/>
        <item x="519"/>
        <item x="850"/>
        <item x="558"/>
        <item x="221"/>
        <item x="907"/>
        <item x="727"/>
        <item x="697"/>
        <item x="416"/>
        <item x="486"/>
        <item x="661"/>
        <item x="663"/>
        <item x="528"/>
        <item x="682"/>
        <item x="865"/>
        <item x="557"/>
        <item x="298"/>
        <item x="243"/>
        <item x="4"/>
        <item x="72"/>
        <item x="719"/>
        <item x="908"/>
        <item x="563"/>
        <item x="520"/>
        <item x="555"/>
        <item x="629"/>
        <item x="267"/>
        <item x="127"/>
        <item x="371"/>
        <item x="688"/>
        <item x="244"/>
        <item x="89"/>
        <item x="422"/>
        <item x="772"/>
        <item x="45"/>
        <item x="297"/>
        <item x="842"/>
        <item x="119"/>
        <item x="265"/>
        <item x="632"/>
        <item x="943"/>
        <item x="505"/>
        <item x="203"/>
        <item x="14"/>
        <item x="320"/>
        <item x="94"/>
        <item x="547"/>
        <item x="847"/>
        <item x="800"/>
        <item x="35"/>
        <item x="169"/>
        <item x="272"/>
        <item x="232"/>
        <item x="899"/>
        <item x="128"/>
        <item x="569"/>
        <item x="692"/>
        <item x="702"/>
        <item x="157"/>
        <item x="799"/>
        <item x="650"/>
        <item x="344"/>
        <item x="453"/>
        <item x="309"/>
        <item x="68"/>
        <item x="787"/>
        <item x="905"/>
        <item x="643"/>
        <item x="863"/>
        <item x="631"/>
        <item x="471"/>
        <item x="571"/>
        <item x="95"/>
        <item x="398"/>
        <item x="725"/>
        <item x="903"/>
        <item x="370"/>
        <item x="123"/>
        <item x="317"/>
        <item x="634"/>
        <item x="794"/>
        <item x="783"/>
        <item x="604"/>
        <item x="624"/>
        <item x="612"/>
        <item x="748"/>
        <item x="238"/>
        <item x="93"/>
        <item x="236"/>
        <item x="56"/>
        <item x="49"/>
        <item x="915"/>
        <item x="815"/>
        <item x="198"/>
        <item x="254"/>
        <item x="189"/>
        <item x="945"/>
        <item x="13"/>
        <item x="117"/>
        <item x="887"/>
        <item x="390"/>
        <item x="223"/>
        <item x="472"/>
        <item x="728"/>
        <item x="311"/>
        <item x="512"/>
        <item x="401"/>
        <item x="902"/>
        <item x="862"/>
        <item x="840"/>
        <item x="586"/>
        <item x="312"/>
        <item x="146"/>
        <item x="596"/>
        <item x="735"/>
        <item x="36"/>
        <item x="97"/>
        <item x="598"/>
        <item x="460"/>
        <item x="214"/>
        <item x="894"/>
        <item x="240"/>
        <item x="827"/>
        <item x="212"/>
        <item x="421"/>
        <item x="46"/>
        <item x="448"/>
        <item x="411"/>
        <item x="310"/>
        <item x="497"/>
        <item x="115"/>
        <item x="526"/>
        <item x="561"/>
        <item x="550"/>
        <item x="483"/>
        <item x="763"/>
        <item x="626"/>
        <item x="361"/>
        <item x="199"/>
        <item x="720"/>
        <item x="937"/>
        <item x="50"/>
        <item x="630"/>
        <item x="461"/>
        <item x="479"/>
        <item x="356"/>
        <item x="834"/>
        <item x="708"/>
        <item x="407"/>
        <item x="848"/>
        <item x="751"/>
        <item x="130"/>
        <item x="744"/>
        <item x="135"/>
        <item x="797"/>
        <item x="549"/>
        <item x="879"/>
        <item x="876"/>
        <item x="776"/>
        <item x="500"/>
        <item x="656"/>
        <item x="167"/>
        <item x="202"/>
        <item x="616"/>
        <item x="452"/>
        <item x="430"/>
        <item x="27"/>
        <item x="120"/>
        <item x="206"/>
        <item x="145"/>
        <item x="131"/>
        <item x="498"/>
        <item x="147"/>
        <item x="73"/>
        <item x="856"/>
        <item x="375"/>
        <item x="432"/>
        <item x="575"/>
        <item x="322"/>
        <item x="522"/>
        <item x="737"/>
        <item x="428"/>
        <item x="108"/>
        <item x="355"/>
        <item x="883"/>
        <item x="828"/>
        <item x="601"/>
        <item x="138"/>
        <item x="84"/>
        <item x="554"/>
        <item x="532"/>
        <item x="496"/>
        <item x="773"/>
        <item x="638"/>
        <item x="200"/>
        <item x="6"/>
        <item x="423"/>
        <item x="125"/>
        <item x="126"/>
        <item x="289"/>
        <item x="627"/>
        <item x="242"/>
        <item x="936"/>
        <item x="104"/>
        <item x="17"/>
        <item x="559"/>
        <item x="19"/>
        <item x="588"/>
        <item x="372"/>
        <item x="79"/>
        <item x="869"/>
        <item x="174"/>
        <item x="248"/>
        <item x="572"/>
        <item x="875"/>
        <item x="246"/>
        <item x="864"/>
        <item x="580"/>
        <item x="225"/>
        <item x="933"/>
        <item x="886"/>
        <item x="22"/>
        <item x="86"/>
        <item x="380"/>
        <item x="841"/>
        <item x="484"/>
        <item x="314"/>
        <item x="733"/>
        <item x="761"/>
        <item x="413"/>
        <item x="806"/>
        <item x="419"/>
        <item x="885"/>
        <item x="641"/>
        <item x="718"/>
        <item x="205"/>
        <item x="187"/>
        <item x="359"/>
        <item x="180"/>
        <item x="870"/>
        <item x="536"/>
        <item x="405"/>
        <item x="833"/>
        <item x="487"/>
        <item x="383"/>
        <item x="923"/>
        <item x="165"/>
        <item x="300"/>
        <item x="426"/>
        <item x="838"/>
        <item x="605"/>
        <item x="333"/>
        <item x="888"/>
        <item x="255"/>
        <item x="564"/>
        <item x="861"/>
        <item x="893"/>
        <item x="469"/>
        <item x="12"/>
        <item x="217"/>
        <item x="654"/>
        <item x="409"/>
        <item x="431"/>
        <item x="635"/>
        <item x="578"/>
        <item x="48"/>
        <item x="490"/>
        <item x="264"/>
        <item x="771"/>
        <item x="270"/>
        <item x="163"/>
        <item x="781"/>
        <item x="54"/>
        <item x="745"/>
        <item x="803"/>
        <item x="38"/>
        <item x="814"/>
        <item x="463"/>
        <item x="811"/>
        <item x="184"/>
        <item x="912"/>
        <item x="429"/>
        <item x="711"/>
        <item x="739"/>
        <item x="75"/>
        <item x="680"/>
        <item x="467"/>
        <item x="548"/>
        <item x="181"/>
        <item x="443"/>
        <item x="675"/>
        <item x="152"/>
        <item x="465"/>
        <item x="332"/>
        <item x="478"/>
        <item x="839"/>
        <item x="434"/>
        <item x="345"/>
        <item x="293"/>
        <item x="44"/>
        <item x="439"/>
        <item x="665"/>
        <item x="444"/>
        <item x="259"/>
        <item x="425"/>
        <item x="674"/>
        <item x="704"/>
        <item x="947"/>
        <item t="default"/>
      </items>
    </pivotField>
    <pivotField showAll="0"/>
    <pivotField showAll="0">
      <items count="7">
        <item x="2"/>
        <item x="0"/>
        <item x="1"/>
        <item x="4"/>
        <item x="3"/>
        <item x="5"/>
        <item t="default"/>
      </items>
    </pivotField>
    <pivotField showAll="0">
      <items count="22">
        <item x="7"/>
        <item x="16"/>
        <item x="9"/>
        <item x="14"/>
        <item x="5"/>
        <item x="11"/>
        <item x="12"/>
        <item x="19"/>
        <item x="8"/>
        <item x="4"/>
        <item x="18"/>
        <item x="17"/>
        <item x="0"/>
        <item x="1"/>
        <item x="10"/>
        <item x="2"/>
        <item x="13"/>
        <item x="15"/>
        <item x="6"/>
        <item x="3"/>
        <item x="20"/>
        <item t="default"/>
      </items>
    </pivotField>
    <pivotField showAll="0">
      <items count="6">
        <item x="3"/>
        <item x="2"/>
        <item x="0"/>
        <item x="1"/>
        <item h="1" x="4"/>
        <item t="default"/>
      </items>
    </pivotField>
    <pivotField showAll="0">
      <items count="7">
        <item x="4"/>
        <item x="2"/>
        <item x="1"/>
        <item x="0"/>
        <item x="3"/>
        <item x="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44">
        <item x="28"/>
        <item x="27"/>
        <item x="2"/>
        <item x="23"/>
        <item x="24"/>
        <item x="32"/>
        <item x="31"/>
        <item x="30"/>
        <item x="41"/>
        <item x="12"/>
        <item x="4"/>
        <item x="14"/>
        <item x="13"/>
        <item x="39"/>
        <item x="8"/>
        <item x="16"/>
        <item x="35"/>
        <item x="33"/>
        <item x="25"/>
        <item x="5"/>
        <item x="18"/>
        <item x="15"/>
        <item x="29"/>
        <item x="19"/>
        <item x="17"/>
        <item x="1"/>
        <item x="21"/>
        <item x="38"/>
        <item x="3"/>
        <item x="9"/>
        <item x="36"/>
        <item x="10"/>
        <item x="42"/>
        <item x="7"/>
        <item x="34"/>
        <item x="6"/>
        <item x="40"/>
        <item x="26"/>
        <item x="37"/>
        <item x="22"/>
        <item x="11"/>
        <item x="20"/>
        <item x="0"/>
        <item t="default"/>
      </items>
    </pivotField>
    <pivotField showAll="0">
      <items count="44">
        <item x="28"/>
        <item x="27"/>
        <item x="2"/>
        <item x="23"/>
        <item x="24"/>
        <item x="32"/>
        <item x="31"/>
        <item x="30"/>
        <item x="41"/>
        <item x="12"/>
        <item x="4"/>
        <item x="14"/>
        <item x="13"/>
        <item x="39"/>
        <item x="8"/>
        <item x="16"/>
        <item x="35"/>
        <item x="33"/>
        <item x="25"/>
        <item x="5"/>
        <item x="18"/>
        <item x="15"/>
        <item x="29"/>
        <item x="19"/>
        <item x="17"/>
        <item x="1"/>
        <item x="21"/>
        <item x="38"/>
        <item x="3"/>
        <item x="9"/>
        <item x="36"/>
        <item x="10"/>
        <item x="42"/>
        <item x="7"/>
        <item x="34"/>
        <item x="6"/>
        <item x="40"/>
        <item x="26"/>
        <item x="37"/>
        <item x="22"/>
        <item x="11"/>
        <item x="20"/>
        <item x="0"/>
        <item t="default"/>
      </items>
    </pivotField>
    <pivotField showAll="0">
      <items count="12">
        <item x="5"/>
        <item x="4"/>
        <item x="8"/>
        <item x="1"/>
        <item x="0"/>
        <item x="3"/>
        <item x="9"/>
        <item x="6"/>
        <item x="2"/>
        <item x="7"/>
        <item x="10"/>
        <item t="default"/>
      </items>
    </pivotField>
    <pivotField showAll="0"/>
    <pivotField showAll="0">
      <items count="9">
        <item x="6"/>
        <item x="2"/>
        <item x="4"/>
        <item x="5"/>
        <item x="0"/>
        <item x="1"/>
        <item x="3"/>
        <item x="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4"/>
  </rowFields>
  <rowItems count="14">
    <i>
      <x/>
    </i>
    <i>
      <x v="1"/>
    </i>
    <i>
      <x v="2"/>
    </i>
    <i>
      <x v="3"/>
    </i>
    <i>
      <x v="4"/>
    </i>
    <i>
      <x v="5"/>
    </i>
    <i>
      <x v="6"/>
    </i>
    <i>
      <x v="7"/>
    </i>
    <i>
      <x v="8"/>
    </i>
    <i>
      <x v="9"/>
    </i>
    <i>
      <x v="10"/>
    </i>
    <i>
      <x v="11"/>
    </i>
    <i>
      <x v="12"/>
    </i>
    <i t="grand">
      <x/>
    </i>
  </rowItems>
  <colItems count="1">
    <i/>
  </colItems>
  <dataFields count="1">
    <dataField name="Sum of TotalAmount" fld="17" baseField="0" baseItem="0"/>
  </dataFields>
  <formats count="1">
    <format dxfId="226">
      <pivotArea outline="0" collapsedLevelsAreSubtotals="1" fieldPosition="0"/>
    </format>
  </formats>
  <chartFormats count="2">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951666-8FE9-4513-8682-03035A23D3C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18:C19" firstHeaderRow="1" firstDataRow="1" firstDataCol="0"/>
  <pivotFields count="37">
    <pivotField showAll="0"/>
    <pivotField showAll="0">
      <items count="949">
        <item x="916"/>
        <item x="793"/>
        <item x="667"/>
        <item x="684"/>
        <item x="620"/>
        <item x="691"/>
        <item x="103"/>
        <item x="342"/>
        <item x="148"/>
        <item x="395"/>
        <item x="729"/>
        <item x="600"/>
        <item x="597"/>
        <item x="137"/>
        <item x="599"/>
        <item x="107"/>
        <item x="162"/>
        <item x="699"/>
        <item x="286"/>
        <item x="568"/>
        <item x="511"/>
        <item x="757"/>
        <item x="551"/>
        <item x="625"/>
        <item x="354"/>
        <item x="343"/>
        <item x="387"/>
        <item x="269"/>
        <item x="353"/>
        <item x="141"/>
        <item x="845"/>
        <item x="821"/>
        <item x="302"/>
        <item x="82"/>
        <item x="910"/>
        <item x="222"/>
        <item x="239"/>
        <item x="534"/>
        <item x="412"/>
        <item x="418"/>
        <item x="779"/>
        <item x="900"/>
        <item x="113"/>
        <item x="807"/>
        <item x="318"/>
        <item x="892"/>
        <item x="321"/>
        <item x="374"/>
        <item x="59"/>
        <item x="866"/>
        <item x="81"/>
        <item x="3"/>
        <item x="481"/>
        <item x="368"/>
        <item x="77"/>
        <item x="51"/>
        <item x="160"/>
        <item x="315"/>
        <item x="529"/>
        <item x="722"/>
        <item x="183"/>
        <item x="640"/>
        <item x="930"/>
        <item x="397"/>
        <item x="57"/>
        <item x="216"/>
        <item x="891"/>
        <item x="858"/>
        <item x="196"/>
        <item x="683"/>
        <item x="714"/>
        <item x="867"/>
        <item x="523"/>
        <item x="347"/>
        <item x="262"/>
        <item x="301"/>
        <item x="323"/>
        <item x="150"/>
        <item x="134"/>
        <item x="327"/>
        <item x="417"/>
        <item x="491"/>
        <item x="377"/>
        <item x="721"/>
        <item x="364"/>
        <item x="98"/>
        <item x="795"/>
        <item x="149"/>
        <item x="525"/>
        <item x="122"/>
        <item x="614"/>
        <item x="274"/>
        <item x="404"/>
        <item x="151"/>
        <item x="921"/>
        <item x="752"/>
        <item x="844"/>
        <item x="881"/>
        <item x="188"/>
        <item x="319"/>
        <item x="860"/>
        <item x="258"/>
        <item x="946"/>
        <item x="570"/>
        <item x="326"/>
        <item x="581"/>
        <item x="685"/>
        <item x="506"/>
        <item x="775"/>
        <item x="329"/>
        <item x="144"/>
        <item x="736"/>
        <item x="874"/>
        <item x="877"/>
        <item x="552"/>
        <item x="276"/>
        <item x="28"/>
        <item x="786"/>
        <item x="446"/>
        <item x="30"/>
        <item x="275"/>
        <item x="91"/>
        <item x="817"/>
        <item x="454"/>
        <item x="292"/>
        <item x="74"/>
        <item x="791"/>
        <item x="801"/>
        <item x="810"/>
        <item x="285"/>
        <item x="69"/>
        <item x="770"/>
        <item x="5"/>
        <item x="193"/>
        <item x="897"/>
        <item x="299"/>
        <item x="348"/>
        <item x="837"/>
        <item x="941"/>
        <item x="55"/>
        <item x="835"/>
        <item x="831"/>
        <item x="619"/>
        <item x="531"/>
        <item x="932"/>
        <item x="24"/>
        <item x="227"/>
        <item x="904"/>
        <item x="740"/>
        <item x="457"/>
        <item x="11"/>
        <item x="427"/>
        <item x="408"/>
        <item x="346"/>
        <item x="917"/>
        <item x="574"/>
        <item x="546"/>
        <item x="393"/>
        <item x="164"/>
        <item x="316"/>
        <item x="9"/>
        <item x="843"/>
        <item x="935"/>
        <item x="544"/>
        <item x="538"/>
        <item x="396"/>
        <item x="705"/>
        <item x="610"/>
        <item x="328"/>
        <item x="40"/>
        <item x="585"/>
        <item x="245"/>
        <item x="931"/>
        <item x="87"/>
        <item x="456"/>
        <item x="537"/>
        <item x="369"/>
        <item x="808"/>
        <item x="822"/>
        <item x="218"/>
        <item x="750"/>
        <item x="611"/>
        <item x="278"/>
        <item x="53"/>
        <item x="687"/>
        <item x="582"/>
        <item x="488"/>
        <item x="926"/>
        <item x="182"/>
        <item x="71"/>
        <item x="852"/>
        <item x="136"/>
        <item x="942"/>
        <item x="263"/>
        <item x="251"/>
        <item x="504"/>
        <item x="83"/>
        <item x="230"/>
        <item x="211"/>
        <item x="220"/>
        <item x="790"/>
        <item x="703"/>
        <item x="857"/>
        <item x="940"/>
        <item x="204"/>
        <item x="509"/>
        <item x="476"/>
        <item x="330"/>
        <item x="642"/>
        <item x="61"/>
        <item x="388"/>
        <item x="755"/>
        <item x="303"/>
        <item x="349"/>
        <item x="440"/>
        <item x="694"/>
        <item x="730"/>
        <item x="111"/>
        <item x="176"/>
        <item x="644"/>
        <item x="247"/>
        <item x="215"/>
        <item x="901"/>
        <item x="253"/>
        <item x="441"/>
        <item x="929"/>
        <item x="566"/>
        <item x="637"/>
        <item x="732"/>
        <item x="679"/>
        <item x="154"/>
        <item x="257"/>
        <item x="623"/>
        <item x="535"/>
        <item x="747"/>
        <item x="713"/>
        <item x="919"/>
        <item x="846"/>
        <item x="583"/>
        <item x="717"/>
        <item x="653"/>
        <item x="192"/>
        <item x="832"/>
        <item x="402"/>
        <item x="41"/>
        <item x="288"/>
        <item x="414"/>
        <item x="156"/>
        <item x="385"/>
        <item x="340"/>
        <item x="21"/>
        <item x="249"/>
        <item x="451"/>
        <item x="213"/>
        <item x="42"/>
        <item x="281"/>
        <item x="939"/>
        <item x="579"/>
        <item x="219"/>
        <item x="140"/>
        <item x="394"/>
        <item x="271"/>
        <item x="124"/>
        <item x="367"/>
        <item x="792"/>
        <item x="234"/>
        <item x="357"/>
        <item x="731"/>
        <item x="658"/>
        <item x="106"/>
        <item x="530"/>
        <item x="447"/>
        <item x="911"/>
        <item x="197"/>
        <item x="363"/>
        <item x="527"/>
        <item x="101"/>
        <item x="543"/>
        <item x="224"/>
        <item x="695"/>
        <item x="819"/>
        <item x="168"/>
        <item x="233"/>
        <item x="381"/>
        <item x="541"/>
        <item x="829"/>
        <item x="96"/>
        <item x="802"/>
        <item x="890"/>
        <item x="760"/>
        <item x="420"/>
        <item x="350"/>
        <item x="753"/>
        <item x="166"/>
        <item x="62"/>
        <item x="110"/>
        <item x="109"/>
        <item x="449"/>
        <item x="659"/>
        <item x="690"/>
        <item x="76"/>
        <item x="726"/>
        <item x="878"/>
        <item x="734"/>
        <item x="826"/>
        <item x="337"/>
        <item x="676"/>
        <item x="7"/>
        <item x="1"/>
        <item x="324"/>
        <item x="636"/>
        <item x="723"/>
        <item x="944"/>
        <item x="493"/>
        <item x="774"/>
        <item x="360"/>
        <item x="655"/>
        <item x="296"/>
        <item x="502"/>
        <item x="231"/>
        <item x="609"/>
        <item x="788"/>
        <item x="226"/>
        <item x="178"/>
        <item x="80"/>
        <item x="587"/>
        <item x="334"/>
        <item x="403"/>
        <item x="756"/>
        <item x="105"/>
        <item x="66"/>
        <item x="925"/>
        <item x="458"/>
        <item x="696"/>
        <item x="306"/>
        <item x="118"/>
        <item x="32"/>
        <item x="384"/>
        <item x="175"/>
        <item x="871"/>
        <item x="480"/>
        <item x="351"/>
        <item x="872"/>
        <item x="816"/>
        <item x="617"/>
        <item x="382"/>
        <item x="777"/>
        <item x="177"/>
        <item x="853"/>
        <item x="473"/>
        <item x="386"/>
        <item x="252"/>
        <item x="410"/>
        <item x="208"/>
        <item x="261"/>
        <item x="92"/>
        <item x="294"/>
        <item x="780"/>
        <item x="305"/>
        <item x="121"/>
        <item x="562"/>
        <item x="489"/>
        <item x="266"/>
        <item x="513"/>
        <item x="510"/>
        <item x="754"/>
        <item x="237"/>
        <item x="647"/>
        <item x="515"/>
        <item x="672"/>
        <item x="628"/>
        <item x="681"/>
        <item x="924"/>
        <item x="376"/>
        <item x="516"/>
        <item x="475"/>
        <item x="338"/>
        <item x="798"/>
        <item x="565"/>
        <item x="282"/>
        <item x="820"/>
        <item x="228"/>
        <item x="889"/>
        <item x="201"/>
        <item x="766"/>
        <item x="706"/>
        <item x="553"/>
        <item x="836"/>
        <item x="873"/>
        <item x="778"/>
        <item x="749"/>
        <item x="70"/>
        <item x="521"/>
        <item x="194"/>
        <item x="712"/>
        <item x="849"/>
        <item x="58"/>
        <item x="172"/>
        <item x="613"/>
        <item x="33"/>
        <item x="161"/>
        <item x="622"/>
        <item x="406"/>
        <item x="542"/>
        <item x="518"/>
        <item x="260"/>
        <item x="114"/>
        <item x="701"/>
        <item x="173"/>
        <item x="78"/>
        <item x="589"/>
        <item x="366"/>
        <item x="668"/>
        <item x="442"/>
        <item x="738"/>
        <item x="437"/>
        <item x="594"/>
        <item x="603"/>
        <item x="590"/>
        <item x="336"/>
        <item x="759"/>
        <item x="880"/>
        <item x="290"/>
        <item x="812"/>
        <item x="743"/>
        <item x="52"/>
        <item x="20"/>
        <item x="593"/>
        <item x="693"/>
        <item x="207"/>
        <item x="591"/>
        <item x="250"/>
        <item x="190"/>
        <item x="868"/>
        <item x="362"/>
        <item x="470"/>
        <item x="602"/>
        <item x="809"/>
        <item x="455"/>
        <item x="464"/>
        <item x="784"/>
        <item x="898"/>
        <item x="18"/>
        <item x="468"/>
        <item x="399"/>
        <item x="592"/>
        <item x="922"/>
        <item x="606"/>
        <item x="895"/>
        <item x="67"/>
        <item x="666"/>
        <item x="639"/>
        <item x="209"/>
        <item x="539"/>
        <item x="664"/>
        <item x="673"/>
        <item x="10"/>
        <item x="284"/>
        <item x="210"/>
        <item x="909"/>
        <item x="934"/>
        <item x="762"/>
        <item x="918"/>
        <item x="804"/>
        <item x="308"/>
        <item x="339"/>
        <item x="660"/>
        <item x="914"/>
        <item x="400"/>
        <item x="241"/>
        <item x="769"/>
        <item x="358"/>
        <item x="436"/>
        <item x="649"/>
        <item x="378"/>
        <item x="524"/>
        <item x="142"/>
        <item x="796"/>
        <item x="391"/>
        <item x="482"/>
        <item x="477"/>
        <item x="710"/>
        <item x="280"/>
        <item x="533"/>
        <item x="100"/>
        <item x="60"/>
        <item x="23"/>
        <item x="764"/>
        <item x="186"/>
        <item x="331"/>
        <item x="621"/>
        <item x="813"/>
        <item x="171"/>
        <item x="662"/>
        <item x="686"/>
        <item x="450"/>
        <item x="767"/>
        <item x="153"/>
        <item x="805"/>
        <item x="462"/>
        <item x="435"/>
        <item x="268"/>
        <item x="824"/>
        <item x="499"/>
        <item x="155"/>
        <item x="277"/>
        <item x="633"/>
        <item x="307"/>
        <item x="818"/>
        <item x="495"/>
        <item x="652"/>
        <item x="179"/>
        <item x="424"/>
        <item x="365"/>
        <item x="47"/>
        <item x="466"/>
        <item x="742"/>
        <item x="707"/>
        <item x="573"/>
        <item x="670"/>
        <item x="325"/>
        <item x="438"/>
        <item x="158"/>
        <item x="459"/>
        <item x="170"/>
        <item x="545"/>
        <item x="709"/>
        <item x="341"/>
        <item x="716"/>
        <item x="304"/>
        <item x="313"/>
        <item x="584"/>
        <item x="785"/>
        <item x="503"/>
        <item x="116"/>
        <item x="758"/>
        <item x="607"/>
        <item x="273"/>
        <item x="132"/>
        <item x="540"/>
        <item x="283"/>
        <item x="474"/>
        <item x="279"/>
        <item x="64"/>
        <item x="608"/>
        <item x="65"/>
        <item x="651"/>
        <item x="31"/>
        <item x="389"/>
        <item x="29"/>
        <item x="99"/>
        <item x="494"/>
        <item x="191"/>
        <item x="507"/>
        <item x="112"/>
        <item x="669"/>
        <item x="379"/>
        <item x="143"/>
        <item x="913"/>
        <item x="335"/>
        <item x="618"/>
        <item x="896"/>
        <item x="295"/>
        <item x="823"/>
        <item x="34"/>
        <item x="700"/>
        <item x="698"/>
        <item x="715"/>
        <item x="291"/>
        <item x="724"/>
        <item x="159"/>
        <item x="485"/>
        <item x="678"/>
        <item x="514"/>
        <item x="645"/>
        <item x="595"/>
        <item x="746"/>
        <item x="671"/>
        <item x="129"/>
        <item x="501"/>
        <item x="139"/>
        <item x="556"/>
        <item x="906"/>
        <item x="859"/>
        <item x="287"/>
        <item x="26"/>
        <item x="765"/>
        <item x="768"/>
        <item x="689"/>
        <item x="854"/>
        <item x="825"/>
        <item x="37"/>
        <item x="39"/>
        <item x="830"/>
        <item x="855"/>
        <item x="415"/>
        <item x="615"/>
        <item x="0"/>
        <item x="576"/>
        <item x="235"/>
        <item x="88"/>
        <item x="195"/>
        <item x="882"/>
        <item x="928"/>
        <item x="646"/>
        <item x="560"/>
        <item x="90"/>
        <item x="851"/>
        <item x="8"/>
        <item x="16"/>
        <item x="677"/>
        <item x="927"/>
        <item x="433"/>
        <item x="648"/>
        <item x="517"/>
        <item x="508"/>
        <item x="920"/>
        <item x="884"/>
        <item x="25"/>
        <item x="352"/>
        <item x="938"/>
        <item x="445"/>
        <item x="133"/>
        <item x="789"/>
        <item x="256"/>
        <item x="2"/>
        <item x="577"/>
        <item x="43"/>
        <item x="741"/>
        <item x="657"/>
        <item x="63"/>
        <item x="392"/>
        <item x="102"/>
        <item x="492"/>
        <item x="229"/>
        <item x="567"/>
        <item x="15"/>
        <item x="185"/>
        <item x="373"/>
        <item x="85"/>
        <item x="782"/>
        <item x="519"/>
        <item x="850"/>
        <item x="558"/>
        <item x="221"/>
        <item x="907"/>
        <item x="727"/>
        <item x="697"/>
        <item x="416"/>
        <item x="486"/>
        <item x="661"/>
        <item x="663"/>
        <item x="528"/>
        <item x="682"/>
        <item x="865"/>
        <item x="557"/>
        <item x="298"/>
        <item x="243"/>
        <item x="4"/>
        <item x="72"/>
        <item x="719"/>
        <item x="908"/>
        <item x="563"/>
        <item x="520"/>
        <item x="555"/>
        <item x="629"/>
        <item x="267"/>
        <item x="127"/>
        <item x="371"/>
        <item x="688"/>
        <item x="244"/>
        <item x="89"/>
        <item x="422"/>
        <item x="772"/>
        <item x="45"/>
        <item x="297"/>
        <item x="842"/>
        <item x="119"/>
        <item x="265"/>
        <item x="632"/>
        <item x="943"/>
        <item x="505"/>
        <item x="203"/>
        <item x="14"/>
        <item x="320"/>
        <item x="94"/>
        <item x="547"/>
        <item x="847"/>
        <item x="800"/>
        <item x="35"/>
        <item x="169"/>
        <item x="272"/>
        <item x="232"/>
        <item x="899"/>
        <item x="128"/>
        <item x="569"/>
        <item x="692"/>
        <item x="702"/>
        <item x="157"/>
        <item x="799"/>
        <item x="650"/>
        <item x="344"/>
        <item x="453"/>
        <item x="309"/>
        <item x="68"/>
        <item x="787"/>
        <item x="905"/>
        <item x="643"/>
        <item x="863"/>
        <item x="631"/>
        <item x="471"/>
        <item x="571"/>
        <item x="95"/>
        <item x="398"/>
        <item x="725"/>
        <item x="903"/>
        <item x="370"/>
        <item x="123"/>
        <item x="317"/>
        <item x="634"/>
        <item x="794"/>
        <item x="783"/>
        <item x="604"/>
        <item x="624"/>
        <item x="612"/>
        <item x="748"/>
        <item x="238"/>
        <item x="93"/>
        <item x="236"/>
        <item x="56"/>
        <item x="49"/>
        <item x="915"/>
        <item x="815"/>
        <item x="198"/>
        <item x="254"/>
        <item x="189"/>
        <item x="945"/>
        <item x="13"/>
        <item x="117"/>
        <item x="887"/>
        <item x="390"/>
        <item x="223"/>
        <item x="472"/>
        <item x="728"/>
        <item x="311"/>
        <item x="512"/>
        <item x="401"/>
        <item x="902"/>
        <item x="862"/>
        <item x="840"/>
        <item x="586"/>
        <item x="312"/>
        <item x="146"/>
        <item x="596"/>
        <item x="735"/>
        <item x="36"/>
        <item x="97"/>
        <item x="598"/>
        <item x="460"/>
        <item x="214"/>
        <item x="894"/>
        <item x="240"/>
        <item x="827"/>
        <item x="212"/>
        <item x="421"/>
        <item x="46"/>
        <item x="448"/>
        <item x="411"/>
        <item x="310"/>
        <item x="497"/>
        <item x="115"/>
        <item x="526"/>
        <item x="561"/>
        <item x="550"/>
        <item x="483"/>
        <item x="763"/>
        <item x="626"/>
        <item x="361"/>
        <item x="199"/>
        <item x="720"/>
        <item x="937"/>
        <item x="50"/>
        <item x="630"/>
        <item x="461"/>
        <item x="479"/>
        <item x="356"/>
        <item x="834"/>
        <item x="708"/>
        <item x="407"/>
        <item x="848"/>
        <item x="751"/>
        <item x="130"/>
        <item x="744"/>
        <item x="135"/>
        <item x="797"/>
        <item x="549"/>
        <item x="879"/>
        <item x="876"/>
        <item x="776"/>
        <item x="500"/>
        <item x="656"/>
        <item x="167"/>
        <item x="202"/>
        <item x="616"/>
        <item x="452"/>
        <item x="430"/>
        <item x="27"/>
        <item x="120"/>
        <item x="206"/>
        <item x="145"/>
        <item x="131"/>
        <item x="498"/>
        <item x="147"/>
        <item x="73"/>
        <item x="856"/>
        <item x="375"/>
        <item x="432"/>
        <item x="575"/>
        <item x="322"/>
        <item x="522"/>
        <item x="737"/>
        <item x="428"/>
        <item x="108"/>
        <item x="355"/>
        <item x="883"/>
        <item x="828"/>
        <item x="601"/>
        <item x="138"/>
        <item x="84"/>
        <item x="554"/>
        <item x="532"/>
        <item x="496"/>
        <item x="773"/>
        <item x="638"/>
        <item x="200"/>
        <item x="6"/>
        <item x="423"/>
        <item x="125"/>
        <item x="126"/>
        <item x="289"/>
        <item x="627"/>
        <item x="242"/>
        <item x="936"/>
        <item x="104"/>
        <item x="17"/>
        <item x="559"/>
        <item x="19"/>
        <item x="588"/>
        <item x="372"/>
        <item x="79"/>
        <item x="869"/>
        <item x="174"/>
        <item x="248"/>
        <item x="572"/>
        <item x="875"/>
        <item x="246"/>
        <item x="864"/>
        <item x="580"/>
        <item x="225"/>
        <item x="933"/>
        <item x="886"/>
        <item x="22"/>
        <item x="86"/>
        <item x="380"/>
        <item x="841"/>
        <item x="484"/>
        <item x="314"/>
        <item x="733"/>
        <item x="761"/>
        <item x="413"/>
        <item x="806"/>
        <item x="419"/>
        <item x="885"/>
        <item x="641"/>
        <item x="718"/>
        <item x="205"/>
        <item x="187"/>
        <item x="359"/>
        <item x="180"/>
        <item x="870"/>
        <item x="536"/>
        <item x="405"/>
        <item x="833"/>
        <item x="487"/>
        <item x="383"/>
        <item x="923"/>
        <item x="165"/>
        <item x="300"/>
        <item x="426"/>
        <item x="838"/>
        <item x="605"/>
        <item x="333"/>
        <item x="888"/>
        <item x="255"/>
        <item x="564"/>
        <item x="861"/>
        <item x="893"/>
        <item x="469"/>
        <item x="12"/>
        <item x="217"/>
        <item x="654"/>
        <item x="409"/>
        <item x="431"/>
        <item x="635"/>
        <item x="578"/>
        <item x="48"/>
        <item x="490"/>
        <item x="264"/>
        <item x="771"/>
        <item x="270"/>
        <item x="163"/>
        <item x="781"/>
        <item x="54"/>
        <item x="745"/>
        <item x="803"/>
        <item x="38"/>
        <item x="814"/>
        <item x="463"/>
        <item x="811"/>
        <item x="184"/>
        <item x="912"/>
        <item x="429"/>
        <item x="711"/>
        <item x="739"/>
        <item x="75"/>
        <item x="680"/>
        <item x="467"/>
        <item x="548"/>
        <item x="181"/>
        <item x="443"/>
        <item x="675"/>
        <item x="152"/>
        <item x="465"/>
        <item x="332"/>
        <item x="478"/>
        <item x="839"/>
        <item x="434"/>
        <item x="345"/>
        <item x="293"/>
        <item x="44"/>
        <item x="439"/>
        <item x="665"/>
        <item x="444"/>
        <item x="259"/>
        <item x="425"/>
        <item x="674"/>
        <item x="704"/>
        <item x="947"/>
        <item t="default"/>
      </items>
    </pivotField>
    <pivotField showAll="0"/>
    <pivotField showAll="0">
      <items count="7">
        <item x="2"/>
        <item x="0"/>
        <item x="1"/>
        <item x="4"/>
        <item x="3"/>
        <item x="5"/>
        <item t="default"/>
      </items>
    </pivotField>
    <pivotField showAll="0"/>
    <pivotField showAll="0"/>
    <pivotField showAll="0">
      <items count="7">
        <item x="4"/>
        <item x="2"/>
        <item x="1"/>
        <item x="0"/>
        <item x="3"/>
        <item x="5"/>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4">
        <item x="28"/>
        <item x="27"/>
        <item x="2"/>
        <item x="23"/>
        <item x="24"/>
        <item x="32"/>
        <item x="31"/>
        <item x="30"/>
        <item x="41"/>
        <item x="12"/>
        <item x="4"/>
        <item x="14"/>
        <item x="13"/>
        <item x="39"/>
        <item x="8"/>
        <item x="16"/>
        <item x="35"/>
        <item x="33"/>
        <item x="25"/>
        <item x="5"/>
        <item x="18"/>
        <item x="15"/>
        <item x="29"/>
        <item x="19"/>
        <item x="17"/>
        <item x="1"/>
        <item x="21"/>
        <item x="38"/>
        <item x="3"/>
        <item x="9"/>
        <item x="36"/>
        <item x="10"/>
        <item x="42"/>
        <item x="7"/>
        <item x="34"/>
        <item x="6"/>
        <item x="40"/>
        <item x="26"/>
        <item x="37"/>
        <item x="22"/>
        <item x="11"/>
        <item x="20"/>
        <item x="0"/>
        <item t="default"/>
      </items>
    </pivotField>
    <pivotField showAll="0">
      <items count="44">
        <item x="28"/>
        <item x="27"/>
        <item x="2"/>
        <item x="23"/>
        <item x="24"/>
        <item x="32"/>
        <item x="31"/>
        <item x="30"/>
        <item x="41"/>
        <item x="12"/>
        <item x="4"/>
        <item x="14"/>
        <item x="13"/>
        <item x="39"/>
        <item x="8"/>
        <item x="16"/>
        <item x="35"/>
        <item x="33"/>
        <item x="25"/>
        <item x="5"/>
        <item x="18"/>
        <item x="15"/>
        <item x="29"/>
        <item x="19"/>
        <item x="17"/>
        <item x="1"/>
        <item x="21"/>
        <item x="38"/>
        <item x="3"/>
        <item x="9"/>
        <item x="36"/>
        <item x="10"/>
        <item x="42"/>
        <item x="7"/>
        <item x="34"/>
        <item x="6"/>
        <item x="40"/>
        <item x="26"/>
        <item x="37"/>
        <item x="22"/>
        <item x="11"/>
        <item x="20"/>
        <item x="0"/>
        <item t="default"/>
      </items>
    </pivotField>
    <pivotField showAll="0">
      <items count="12">
        <item x="5"/>
        <item x="4"/>
        <item x="8"/>
        <item x="1"/>
        <item x="0"/>
        <item x="3"/>
        <item x="9"/>
        <item x="6"/>
        <item x="2"/>
        <item x="7"/>
        <item x="1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Quantity" fld="10" baseField="0" baseItem="0"/>
  </dataFields>
  <formats count="1">
    <format dxfId="2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73B20F-7338-4E08-AFAE-4D1AC1979B1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8:B39" firstHeaderRow="1" firstDataRow="1" firstDataCol="1"/>
  <pivotFields count="37">
    <pivotField showAll="0"/>
    <pivotField showAll="0">
      <items count="949">
        <item x="916"/>
        <item x="793"/>
        <item x="667"/>
        <item x="684"/>
        <item x="620"/>
        <item x="691"/>
        <item x="103"/>
        <item x="342"/>
        <item x="148"/>
        <item x="395"/>
        <item x="729"/>
        <item x="600"/>
        <item x="597"/>
        <item x="137"/>
        <item x="599"/>
        <item x="107"/>
        <item x="162"/>
        <item x="699"/>
        <item x="286"/>
        <item x="568"/>
        <item x="511"/>
        <item x="757"/>
        <item x="551"/>
        <item x="625"/>
        <item x="354"/>
        <item x="343"/>
        <item x="387"/>
        <item x="269"/>
        <item x="353"/>
        <item x="141"/>
        <item x="845"/>
        <item x="821"/>
        <item x="302"/>
        <item x="82"/>
        <item x="910"/>
        <item x="222"/>
        <item x="239"/>
        <item x="534"/>
        <item x="412"/>
        <item x="418"/>
        <item x="779"/>
        <item x="900"/>
        <item x="113"/>
        <item x="807"/>
        <item x="318"/>
        <item x="892"/>
        <item x="321"/>
        <item x="374"/>
        <item x="59"/>
        <item x="866"/>
        <item x="81"/>
        <item x="3"/>
        <item x="481"/>
        <item x="368"/>
        <item x="77"/>
        <item x="51"/>
        <item x="160"/>
        <item x="315"/>
        <item x="529"/>
        <item x="722"/>
        <item x="183"/>
        <item x="640"/>
        <item x="930"/>
        <item x="397"/>
        <item x="57"/>
        <item x="216"/>
        <item x="891"/>
        <item x="858"/>
        <item x="196"/>
        <item x="683"/>
        <item x="714"/>
        <item x="867"/>
        <item x="523"/>
        <item x="347"/>
        <item x="262"/>
        <item x="301"/>
        <item x="323"/>
        <item x="150"/>
        <item x="134"/>
        <item x="327"/>
        <item x="417"/>
        <item x="491"/>
        <item x="377"/>
        <item x="721"/>
        <item x="364"/>
        <item x="98"/>
        <item x="795"/>
        <item x="149"/>
        <item x="525"/>
        <item x="122"/>
        <item x="614"/>
        <item x="274"/>
        <item x="404"/>
        <item x="151"/>
        <item x="921"/>
        <item x="752"/>
        <item x="844"/>
        <item x="881"/>
        <item x="188"/>
        <item x="319"/>
        <item x="860"/>
        <item x="258"/>
        <item x="946"/>
        <item x="570"/>
        <item x="326"/>
        <item x="581"/>
        <item x="685"/>
        <item x="506"/>
        <item x="775"/>
        <item x="329"/>
        <item x="144"/>
        <item x="736"/>
        <item x="874"/>
        <item x="877"/>
        <item x="552"/>
        <item x="276"/>
        <item x="28"/>
        <item x="786"/>
        <item x="446"/>
        <item x="30"/>
        <item x="275"/>
        <item x="91"/>
        <item x="817"/>
        <item x="454"/>
        <item x="292"/>
        <item x="74"/>
        <item x="791"/>
        <item x="801"/>
        <item x="810"/>
        <item x="285"/>
        <item x="69"/>
        <item x="770"/>
        <item x="5"/>
        <item x="193"/>
        <item x="897"/>
        <item x="299"/>
        <item x="348"/>
        <item x="837"/>
        <item x="941"/>
        <item x="55"/>
        <item x="835"/>
        <item x="831"/>
        <item x="619"/>
        <item x="531"/>
        <item x="932"/>
        <item x="24"/>
        <item x="227"/>
        <item x="904"/>
        <item x="740"/>
        <item x="457"/>
        <item x="11"/>
        <item x="427"/>
        <item x="408"/>
        <item x="346"/>
        <item x="917"/>
        <item x="574"/>
        <item x="546"/>
        <item x="393"/>
        <item x="164"/>
        <item x="316"/>
        <item x="9"/>
        <item x="843"/>
        <item x="935"/>
        <item x="544"/>
        <item x="538"/>
        <item x="396"/>
        <item x="705"/>
        <item x="610"/>
        <item x="328"/>
        <item x="40"/>
        <item x="585"/>
        <item x="245"/>
        <item x="931"/>
        <item x="87"/>
        <item x="456"/>
        <item x="537"/>
        <item x="369"/>
        <item x="808"/>
        <item x="822"/>
        <item x="218"/>
        <item x="750"/>
        <item x="611"/>
        <item x="278"/>
        <item x="53"/>
        <item x="687"/>
        <item x="582"/>
        <item x="488"/>
        <item x="926"/>
        <item x="182"/>
        <item x="71"/>
        <item x="852"/>
        <item x="136"/>
        <item x="942"/>
        <item x="263"/>
        <item x="251"/>
        <item x="504"/>
        <item x="83"/>
        <item x="230"/>
        <item x="211"/>
        <item x="220"/>
        <item x="790"/>
        <item x="703"/>
        <item x="857"/>
        <item x="940"/>
        <item x="204"/>
        <item x="509"/>
        <item x="476"/>
        <item x="330"/>
        <item x="642"/>
        <item x="61"/>
        <item x="388"/>
        <item x="755"/>
        <item x="303"/>
        <item x="349"/>
        <item x="440"/>
        <item x="694"/>
        <item x="730"/>
        <item x="111"/>
        <item x="176"/>
        <item x="644"/>
        <item x="247"/>
        <item x="215"/>
        <item x="901"/>
        <item x="253"/>
        <item x="441"/>
        <item x="929"/>
        <item x="566"/>
        <item x="637"/>
        <item x="732"/>
        <item x="679"/>
        <item x="154"/>
        <item x="257"/>
        <item x="623"/>
        <item x="535"/>
        <item x="747"/>
        <item x="713"/>
        <item x="919"/>
        <item x="846"/>
        <item x="583"/>
        <item x="717"/>
        <item x="653"/>
        <item x="192"/>
        <item x="832"/>
        <item x="402"/>
        <item x="41"/>
        <item x="288"/>
        <item x="414"/>
        <item x="156"/>
        <item x="385"/>
        <item x="340"/>
        <item x="21"/>
        <item x="249"/>
        <item x="451"/>
        <item x="213"/>
        <item x="42"/>
        <item x="281"/>
        <item x="939"/>
        <item x="579"/>
        <item x="219"/>
        <item x="140"/>
        <item x="394"/>
        <item x="271"/>
        <item x="124"/>
        <item x="367"/>
        <item x="792"/>
        <item x="234"/>
        <item x="357"/>
        <item x="731"/>
        <item x="658"/>
        <item x="106"/>
        <item x="530"/>
        <item x="447"/>
        <item x="911"/>
        <item x="197"/>
        <item x="363"/>
        <item x="527"/>
        <item x="101"/>
        <item x="543"/>
        <item x="224"/>
        <item x="695"/>
        <item x="819"/>
        <item x="168"/>
        <item x="233"/>
        <item x="381"/>
        <item x="541"/>
        <item x="829"/>
        <item x="96"/>
        <item x="802"/>
        <item x="890"/>
        <item x="760"/>
        <item x="420"/>
        <item x="350"/>
        <item x="753"/>
        <item x="166"/>
        <item x="62"/>
        <item x="110"/>
        <item x="109"/>
        <item x="449"/>
        <item x="659"/>
        <item x="690"/>
        <item x="76"/>
        <item x="726"/>
        <item x="878"/>
        <item x="734"/>
        <item x="826"/>
        <item x="337"/>
        <item x="676"/>
        <item x="7"/>
        <item x="1"/>
        <item x="324"/>
        <item x="636"/>
        <item x="723"/>
        <item x="944"/>
        <item x="493"/>
        <item x="774"/>
        <item x="360"/>
        <item x="655"/>
        <item x="296"/>
        <item x="502"/>
        <item x="231"/>
        <item x="609"/>
        <item x="788"/>
        <item x="226"/>
        <item x="178"/>
        <item x="80"/>
        <item x="587"/>
        <item x="334"/>
        <item x="403"/>
        <item x="756"/>
        <item x="105"/>
        <item x="66"/>
        <item x="925"/>
        <item x="458"/>
        <item x="696"/>
        <item x="306"/>
        <item x="118"/>
        <item x="32"/>
        <item x="384"/>
        <item x="175"/>
        <item x="871"/>
        <item x="480"/>
        <item x="351"/>
        <item x="872"/>
        <item x="816"/>
        <item x="617"/>
        <item x="382"/>
        <item x="777"/>
        <item x="177"/>
        <item x="853"/>
        <item x="473"/>
        <item x="386"/>
        <item x="252"/>
        <item x="410"/>
        <item x="208"/>
        <item x="261"/>
        <item x="92"/>
        <item x="294"/>
        <item x="780"/>
        <item x="305"/>
        <item x="121"/>
        <item x="562"/>
        <item x="489"/>
        <item x="266"/>
        <item x="513"/>
        <item x="510"/>
        <item x="754"/>
        <item x="237"/>
        <item x="647"/>
        <item x="515"/>
        <item x="672"/>
        <item x="628"/>
        <item x="681"/>
        <item x="924"/>
        <item x="376"/>
        <item x="516"/>
        <item x="475"/>
        <item x="338"/>
        <item x="798"/>
        <item x="565"/>
        <item x="282"/>
        <item x="820"/>
        <item x="228"/>
        <item x="889"/>
        <item x="201"/>
        <item x="766"/>
        <item x="706"/>
        <item x="553"/>
        <item x="836"/>
        <item x="873"/>
        <item x="778"/>
        <item x="749"/>
        <item x="70"/>
        <item x="521"/>
        <item x="194"/>
        <item x="712"/>
        <item x="849"/>
        <item x="58"/>
        <item x="172"/>
        <item x="613"/>
        <item x="33"/>
        <item x="161"/>
        <item x="622"/>
        <item x="406"/>
        <item x="542"/>
        <item x="518"/>
        <item x="260"/>
        <item x="114"/>
        <item x="701"/>
        <item x="173"/>
        <item x="78"/>
        <item x="589"/>
        <item x="366"/>
        <item x="668"/>
        <item x="442"/>
        <item x="738"/>
        <item x="437"/>
        <item x="594"/>
        <item x="603"/>
        <item x="590"/>
        <item x="336"/>
        <item x="759"/>
        <item x="880"/>
        <item x="290"/>
        <item x="812"/>
        <item x="743"/>
        <item x="52"/>
        <item x="20"/>
        <item x="593"/>
        <item x="693"/>
        <item x="207"/>
        <item x="591"/>
        <item x="250"/>
        <item x="190"/>
        <item x="868"/>
        <item x="362"/>
        <item x="470"/>
        <item x="602"/>
        <item x="809"/>
        <item x="455"/>
        <item x="464"/>
        <item x="784"/>
        <item x="898"/>
        <item x="18"/>
        <item x="468"/>
        <item x="399"/>
        <item x="592"/>
        <item x="922"/>
        <item x="606"/>
        <item x="895"/>
        <item x="67"/>
        <item x="666"/>
        <item x="639"/>
        <item x="209"/>
        <item x="539"/>
        <item x="664"/>
        <item x="673"/>
        <item x="10"/>
        <item x="284"/>
        <item x="210"/>
        <item x="909"/>
        <item x="934"/>
        <item x="762"/>
        <item x="918"/>
        <item x="804"/>
        <item x="308"/>
        <item x="339"/>
        <item x="660"/>
        <item x="914"/>
        <item x="400"/>
        <item x="241"/>
        <item x="769"/>
        <item x="358"/>
        <item x="436"/>
        <item x="649"/>
        <item x="378"/>
        <item x="524"/>
        <item x="142"/>
        <item x="796"/>
        <item x="391"/>
        <item x="482"/>
        <item x="477"/>
        <item x="710"/>
        <item x="280"/>
        <item x="533"/>
        <item x="100"/>
        <item x="60"/>
        <item x="23"/>
        <item x="764"/>
        <item x="186"/>
        <item x="331"/>
        <item x="621"/>
        <item x="813"/>
        <item x="171"/>
        <item x="662"/>
        <item x="686"/>
        <item x="450"/>
        <item x="767"/>
        <item x="153"/>
        <item x="805"/>
        <item x="462"/>
        <item x="435"/>
        <item x="268"/>
        <item x="824"/>
        <item x="499"/>
        <item x="155"/>
        <item x="277"/>
        <item x="633"/>
        <item x="307"/>
        <item x="818"/>
        <item x="495"/>
        <item x="652"/>
        <item x="179"/>
        <item x="424"/>
        <item x="365"/>
        <item x="47"/>
        <item x="466"/>
        <item x="742"/>
        <item x="707"/>
        <item x="573"/>
        <item x="670"/>
        <item x="325"/>
        <item x="438"/>
        <item x="158"/>
        <item x="459"/>
        <item x="170"/>
        <item x="545"/>
        <item x="709"/>
        <item x="341"/>
        <item x="716"/>
        <item x="304"/>
        <item x="313"/>
        <item x="584"/>
        <item x="785"/>
        <item x="503"/>
        <item x="116"/>
        <item x="758"/>
        <item x="607"/>
        <item x="273"/>
        <item x="132"/>
        <item x="540"/>
        <item x="283"/>
        <item x="474"/>
        <item x="279"/>
        <item x="64"/>
        <item x="608"/>
        <item x="65"/>
        <item x="651"/>
        <item x="31"/>
        <item x="389"/>
        <item x="29"/>
        <item x="99"/>
        <item x="494"/>
        <item x="191"/>
        <item x="507"/>
        <item x="112"/>
        <item x="669"/>
        <item x="379"/>
        <item x="143"/>
        <item x="913"/>
        <item x="335"/>
        <item x="618"/>
        <item x="896"/>
        <item x="295"/>
        <item x="823"/>
        <item x="34"/>
        <item x="700"/>
        <item x="698"/>
        <item x="715"/>
        <item x="291"/>
        <item x="724"/>
        <item x="159"/>
        <item x="485"/>
        <item x="678"/>
        <item x="514"/>
        <item x="645"/>
        <item x="595"/>
        <item x="746"/>
        <item x="671"/>
        <item x="129"/>
        <item x="501"/>
        <item x="139"/>
        <item x="556"/>
        <item x="906"/>
        <item x="859"/>
        <item x="287"/>
        <item x="26"/>
        <item x="765"/>
        <item x="768"/>
        <item x="689"/>
        <item x="854"/>
        <item x="825"/>
        <item x="37"/>
        <item x="39"/>
        <item x="830"/>
        <item x="855"/>
        <item x="415"/>
        <item x="615"/>
        <item x="0"/>
        <item x="576"/>
        <item x="235"/>
        <item x="88"/>
        <item x="195"/>
        <item x="882"/>
        <item x="928"/>
        <item x="646"/>
        <item x="560"/>
        <item x="90"/>
        <item x="851"/>
        <item x="8"/>
        <item x="16"/>
        <item x="677"/>
        <item x="927"/>
        <item x="433"/>
        <item x="648"/>
        <item x="517"/>
        <item x="508"/>
        <item x="920"/>
        <item x="884"/>
        <item x="25"/>
        <item x="352"/>
        <item x="938"/>
        <item x="445"/>
        <item x="133"/>
        <item x="789"/>
        <item x="256"/>
        <item x="2"/>
        <item x="577"/>
        <item x="43"/>
        <item x="741"/>
        <item x="657"/>
        <item x="63"/>
        <item x="392"/>
        <item x="102"/>
        <item x="492"/>
        <item x="229"/>
        <item x="567"/>
        <item x="15"/>
        <item x="185"/>
        <item x="373"/>
        <item x="85"/>
        <item x="782"/>
        <item x="519"/>
        <item x="850"/>
        <item x="558"/>
        <item x="221"/>
        <item x="907"/>
        <item x="727"/>
        <item x="697"/>
        <item x="416"/>
        <item x="486"/>
        <item x="661"/>
        <item x="663"/>
        <item x="528"/>
        <item x="682"/>
        <item x="865"/>
        <item x="557"/>
        <item x="298"/>
        <item x="243"/>
        <item x="4"/>
        <item x="72"/>
        <item x="719"/>
        <item x="908"/>
        <item x="563"/>
        <item x="520"/>
        <item x="555"/>
        <item x="629"/>
        <item x="267"/>
        <item x="127"/>
        <item x="371"/>
        <item x="688"/>
        <item x="244"/>
        <item x="89"/>
        <item x="422"/>
        <item x="772"/>
        <item x="45"/>
        <item x="297"/>
        <item x="842"/>
        <item x="119"/>
        <item x="265"/>
        <item x="632"/>
        <item x="943"/>
        <item x="505"/>
        <item x="203"/>
        <item x="14"/>
        <item x="320"/>
        <item x="94"/>
        <item x="547"/>
        <item x="847"/>
        <item x="800"/>
        <item x="35"/>
        <item x="169"/>
        <item x="272"/>
        <item x="232"/>
        <item x="899"/>
        <item x="128"/>
        <item x="569"/>
        <item x="692"/>
        <item x="702"/>
        <item x="157"/>
        <item x="799"/>
        <item x="650"/>
        <item x="344"/>
        <item x="453"/>
        <item x="309"/>
        <item x="68"/>
        <item x="787"/>
        <item x="905"/>
        <item x="643"/>
        <item x="863"/>
        <item x="631"/>
        <item x="471"/>
        <item x="571"/>
        <item x="95"/>
        <item x="398"/>
        <item x="725"/>
        <item x="903"/>
        <item x="370"/>
        <item x="123"/>
        <item x="317"/>
        <item x="634"/>
        <item x="794"/>
        <item x="783"/>
        <item x="604"/>
        <item x="624"/>
        <item x="612"/>
        <item x="748"/>
        <item x="238"/>
        <item x="93"/>
        <item x="236"/>
        <item x="56"/>
        <item x="49"/>
        <item x="915"/>
        <item x="815"/>
        <item x="198"/>
        <item x="254"/>
        <item x="189"/>
        <item x="945"/>
        <item x="13"/>
        <item x="117"/>
        <item x="887"/>
        <item x="390"/>
        <item x="223"/>
        <item x="472"/>
        <item x="728"/>
        <item x="311"/>
        <item x="512"/>
        <item x="401"/>
        <item x="902"/>
        <item x="862"/>
        <item x="840"/>
        <item x="586"/>
        <item x="312"/>
        <item x="146"/>
        <item x="596"/>
        <item x="735"/>
        <item x="36"/>
        <item x="97"/>
        <item x="598"/>
        <item x="460"/>
        <item x="214"/>
        <item x="894"/>
        <item x="240"/>
        <item x="827"/>
        <item x="212"/>
        <item x="421"/>
        <item x="46"/>
        <item x="448"/>
        <item x="411"/>
        <item x="310"/>
        <item x="497"/>
        <item x="115"/>
        <item x="526"/>
        <item x="561"/>
        <item x="550"/>
        <item x="483"/>
        <item x="763"/>
        <item x="626"/>
        <item x="361"/>
        <item x="199"/>
        <item x="720"/>
        <item x="937"/>
        <item x="50"/>
        <item x="630"/>
        <item x="461"/>
        <item x="479"/>
        <item x="356"/>
        <item x="834"/>
        <item x="708"/>
        <item x="407"/>
        <item x="848"/>
        <item x="751"/>
        <item x="130"/>
        <item x="744"/>
        <item x="135"/>
        <item x="797"/>
        <item x="549"/>
        <item x="879"/>
        <item x="876"/>
        <item x="776"/>
        <item x="500"/>
        <item x="656"/>
        <item x="167"/>
        <item x="202"/>
        <item x="616"/>
        <item x="452"/>
        <item x="430"/>
        <item x="27"/>
        <item x="120"/>
        <item x="206"/>
        <item x="145"/>
        <item x="131"/>
        <item x="498"/>
        <item x="147"/>
        <item x="73"/>
        <item x="856"/>
        <item x="375"/>
        <item x="432"/>
        <item x="575"/>
        <item x="322"/>
        <item x="522"/>
        <item x="737"/>
        <item x="428"/>
        <item x="108"/>
        <item x="355"/>
        <item x="883"/>
        <item x="828"/>
        <item x="601"/>
        <item x="138"/>
        <item x="84"/>
        <item x="554"/>
        <item x="532"/>
        <item x="496"/>
        <item x="773"/>
        <item x="638"/>
        <item x="200"/>
        <item x="6"/>
        <item x="423"/>
        <item x="125"/>
        <item x="126"/>
        <item x="289"/>
        <item x="627"/>
        <item x="242"/>
        <item x="936"/>
        <item x="104"/>
        <item x="17"/>
        <item x="559"/>
        <item x="19"/>
        <item x="588"/>
        <item x="372"/>
        <item x="79"/>
        <item x="869"/>
        <item x="174"/>
        <item x="248"/>
        <item x="572"/>
        <item x="875"/>
        <item x="246"/>
        <item x="864"/>
        <item x="580"/>
        <item x="225"/>
        <item x="933"/>
        <item x="886"/>
        <item x="22"/>
        <item x="86"/>
        <item x="380"/>
        <item x="841"/>
        <item x="484"/>
        <item x="314"/>
        <item x="733"/>
        <item x="761"/>
        <item x="413"/>
        <item x="806"/>
        <item x="419"/>
        <item x="885"/>
        <item x="641"/>
        <item x="718"/>
        <item x="205"/>
        <item x="187"/>
        <item x="359"/>
        <item x="180"/>
        <item x="870"/>
        <item x="536"/>
        <item x="405"/>
        <item x="833"/>
        <item x="487"/>
        <item x="383"/>
        <item x="923"/>
        <item x="165"/>
        <item x="300"/>
        <item x="426"/>
        <item x="838"/>
        <item x="605"/>
        <item x="333"/>
        <item x="888"/>
        <item x="255"/>
        <item x="564"/>
        <item x="861"/>
        <item x="893"/>
        <item x="469"/>
        <item x="12"/>
        <item x="217"/>
        <item x="654"/>
        <item x="409"/>
        <item x="431"/>
        <item x="635"/>
        <item x="578"/>
        <item x="48"/>
        <item x="490"/>
        <item x="264"/>
        <item x="771"/>
        <item x="270"/>
        <item x="163"/>
        <item x="781"/>
        <item x="54"/>
        <item x="745"/>
        <item x="803"/>
        <item x="38"/>
        <item x="814"/>
        <item x="463"/>
        <item x="811"/>
        <item x="184"/>
        <item x="912"/>
        <item x="429"/>
        <item x="711"/>
        <item x="739"/>
        <item x="75"/>
        <item x="680"/>
        <item x="467"/>
        <item x="548"/>
        <item x="181"/>
        <item x="443"/>
        <item x="675"/>
        <item x="152"/>
        <item x="465"/>
        <item x="332"/>
        <item x="478"/>
        <item x="839"/>
        <item x="434"/>
        <item x="345"/>
        <item x="293"/>
        <item x="44"/>
        <item x="439"/>
        <item x="665"/>
        <item x="444"/>
        <item x="259"/>
        <item x="425"/>
        <item x="674"/>
        <item x="704"/>
        <item x="947"/>
        <item t="default"/>
      </items>
    </pivotField>
    <pivotField showAll="0"/>
    <pivotField showAll="0">
      <items count="7">
        <item x="2"/>
        <item x="0"/>
        <item x="1"/>
        <item x="4"/>
        <item x="3"/>
        <item x="5"/>
        <item t="default"/>
      </items>
    </pivotField>
    <pivotField axis="axisRow" showAll="0" measureFilter="1" sortType="descending">
      <items count="22">
        <item x="7"/>
        <item x="16"/>
        <item x="9"/>
        <item x="14"/>
        <item x="5"/>
        <item x="11"/>
        <item x="12"/>
        <item x="19"/>
        <item x="8"/>
        <item x="4"/>
        <item x="18"/>
        <item x="17"/>
        <item x="0"/>
        <item x="1"/>
        <item x="10"/>
        <item x="2"/>
        <item x="13"/>
        <item x="15"/>
        <item x="6"/>
        <item x="3"/>
        <item x="20"/>
        <item t="default"/>
      </items>
      <autoSortScope>
        <pivotArea dataOnly="0" outline="0" fieldPosition="0">
          <references count="1">
            <reference field="4294967294" count="1" selected="0">
              <x v="0"/>
            </reference>
          </references>
        </pivotArea>
      </autoSortScope>
    </pivotField>
    <pivotField showAll="0"/>
    <pivotField showAll="0">
      <items count="7">
        <item x="4"/>
        <item x="2"/>
        <item x="1"/>
        <item x="0"/>
        <item x="3"/>
        <item x="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44">
        <item x="28"/>
        <item x="27"/>
        <item x="2"/>
        <item x="23"/>
        <item x="24"/>
        <item x="32"/>
        <item x="31"/>
        <item x="30"/>
        <item x="41"/>
        <item x="12"/>
        <item x="4"/>
        <item x="14"/>
        <item x="13"/>
        <item x="39"/>
        <item x="8"/>
        <item x="16"/>
        <item x="35"/>
        <item x="33"/>
        <item x="25"/>
        <item x="5"/>
        <item x="18"/>
        <item x="15"/>
        <item x="29"/>
        <item x="19"/>
        <item x="17"/>
        <item x="1"/>
        <item x="21"/>
        <item x="38"/>
        <item x="3"/>
        <item x="9"/>
        <item x="36"/>
        <item x="10"/>
        <item x="42"/>
        <item x="7"/>
        <item x="34"/>
        <item x="6"/>
        <item x="40"/>
        <item x="26"/>
        <item x="37"/>
        <item x="22"/>
        <item x="11"/>
        <item x="20"/>
        <item x="0"/>
        <item t="default"/>
      </items>
    </pivotField>
    <pivotField showAll="0">
      <items count="44">
        <item x="28"/>
        <item x="27"/>
        <item x="2"/>
        <item x="23"/>
        <item x="24"/>
        <item x="32"/>
        <item x="31"/>
        <item x="30"/>
        <item x="41"/>
        <item x="12"/>
        <item x="4"/>
        <item x="14"/>
        <item x="13"/>
        <item x="39"/>
        <item x="8"/>
        <item x="16"/>
        <item x="35"/>
        <item x="33"/>
        <item x="25"/>
        <item x="5"/>
        <item x="18"/>
        <item x="15"/>
        <item x="29"/>
        <item x="19"/>
        <item x="17"/>
        <item x="1"/>
        <item x="21"/>
        <item x="38"/>
        <item x="3"/>
        <item x="9"/>
        <item x="36"/>
        <item x="10"/>
        <item x="42"/>
        <item x="7"/>
        <item x="34"/>
        <item x="6"/>
        <item x="40"/>
        <item x="26"/>
        <item x="37"/>
        <item x="22"/>
        <item x="11"/>
        <item x="20"/>
        <item x="0"/>
        <item t="default"/>
      </items>
    </pivotField>
    <pivotField showAll="0" measureFilter="1" sortType="ascending">
      <items count="12">
        <item x="5"/>
        <item x="4"/>
        <item x="8"/>
        <item x="1"/>
        <item x="0"/>
        <item x="3"/>
        <item x="9"/>
        <item x="6"/>
        <item x="2"/>
        <item x="7"/>
        <item x="10"/>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1">
    <i>
      <x v="5"/>
    </i>
    <i>
      <x v="2"/>
    </i>
    <i>
      <x v="13"/>
    </i>
    <i>
      <x v="19"/>
    </i>
    <i>
      <x v="9"/>
    </i>
    <i>
      <x v="18"/>
    </i>
    <i>
      <x v="16"/>
    </i>
    <i>
      <x/>
    </i>
    <i>
      <x v="14"/>
    </i>
    <i>
      <x v="17"/>
    </i>
    <i t="grand">
      <x/>
    </i>
  </rowItems>
  <colItems count="1">
    <i/>
  </colItems>
  <dataFields count="1">
    <dataField name="Sum of TotalAmount" fld="17" baseField="0" baseItem="0" numFmtId="165"/>
  </dataFields>
  <formats count="1">
    <format dxfId="22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5" type="count" evalOrder="-1" id="1" iMeasureFld="0">
      <autoFilter ref="A1">
        <filterColumn colId="0">
          <top10 val="10" filterVal="10"/>
        </filterColumn>
      </autoFilter>
    </filter>
    <filter fld="4"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AB0D3E-7FDE-48F8-B371-542FB6273D5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57:B63" firstHeaderRow="1" firstDataRow="1" firstDataCol="1"/>
  <pivotFields count="37">
    <pivotField showAll="0"/>
    <pivotField showAll="0">
      <items count="949">
        <item x="916"/>
        <item x="793"/>
        <item x="667"/>
        <item x="684"/>
        <item x="620"/>
        <item x="691"/>
        <item x="103"/>
        <item x="342"/>
        <item x="148"/>
        <item x="395"/>
        <item x="729"/>
        <item x="600"/>
        <item x="597"/>
        <item x="137"/>
        <item x="599"/>
        <item x="107"/>
        <item x="162"/>
        <item x="699"/>
        <item x="286"/>
        <item x="568"/>
        <item x="511"/>
        <item x="757"/>
        <item x="551"/>
        <item x="625"/>
        <item x="354"/>
        <item x="343"/>
        <item x="387"/>
        <item x="269"/>
        <item x="353"/>
        <item x="141"/>
        <item x="845"/>
        <item x="821"/>
        <item x="302"/>
        <item x="82"/>
        <item x="910"/>
        <item x="222"/>
        <item x="239"/>
        <item x="534"/>
        <item x="412"/>
        <item x="418"/>
        <item x="779"/>
        <item x="900"/>
        <item x="113"/>
        <item x="807"/>
        <item x="318"/>
        <item x="892"/>
        <item x="321"/>
        <item x="374"/>
        <item x="59"/>
        <item x="866"/>
        <item x="81"/>
        <item x="3"/>
        <item x="481"/>
        <item x="368"/>
        <item x="77"/>
        <item x="51"/>
        <item x="160"/>
        <item x="315"/>
        <item x="529"/>
        <item x="722"/>
        <item x="183"/>
        <item x="640"/>
        <item x="930"/>
        <item x="397"/>
        <item x="57"/>
        <item x="216"/>
        <item x="891"/>
        <item x="858"/>
        <item x="196"/>
        <item x="683"/>
        <item x="714"/>
        <item x="867"/>
        <item x="523"/>
        <item x="347"/>
        <item x="262"/>
        <item x="301"/>
        <item x="323"/>
        <item x="150"/>
        <item x="134"/>
        <item x="327"/>
        <item x="417"/>
        <item x="491"/>
        <item x="377"/>
        <item x="721"/>
        <item x="364"/>
        <item x="98"/>
        <item x="795"/>
        <item x="149"/>
        <item x="525"/>
        <item x="122"/>
        <item x="614"/>
        <item x="274"/>
        <item x="404"/>
        <item x="151"/>
        <item x="921"/>
        <item x="752"/>
        <item x="844"/>
        <item x="881"/>
        <item x="188"/>
        <item x="319"/>
        <item x="860"/>
        <item x="258"/>
        <item x="946"/>
        <item x="570"/>
        <item x="326"/>
        <item x="581"/>
        <item x="685"/>
        <item x="506"/>
        <item x="775"/>
        <item x="329"/>
        <item x="144"/>
        <item x="736"/>
        <item x="874"/>
        <item x="877"/>
        <item x="552"/>
        <item x="276"/>
        <item x="28"/>
        <item x="786"/>
        <item x="446"/>
        <item x="30"/>
        <item x="275"/>
        <item x="91"/>
        <item x="817"/>
        <item x="454"/>
        <item x="292"/>
        <item x="74"/>
        <item x="791"/>
        <item x="801"/>
        <item x="810"/>
        <item x="285"/>
        <item x="69"/>
        <item x="770"/>
        <item x="5"/>
        <item x="193"/>
        <item x="897"/>
        <item x="299"/>
        <item x="348"/>
        <item x="837"/>
        <item x="941"/>
        <item x="55"/>
        <item x="835"/>
        <item x="831"/>
        <item x="619"/>
        <item x="531"/>
        <item x="932"/>
        <item x="24"/>
        <item x="227"/>
        <item x="904"/>
        <item x="740"/>
        <item x="457"/>
        <item x="11"/>
        <item x="427"/>
        <item x="408"/>
        <item x="346"/>
        <item x="917"/>
        <item x="574"/>
        <item x="546"/>
        <item x="393"/>
        <item x="164"/>
        <item x="316"/>
        <item x="9"/>
        <item x="843"/>
        <item x="935"/>
        <item x="544"/>
        <item x="538"/>
        <item x="396"/>
        <item x="705"/>
        <item x="610"/>
        <item x="328"/>
        <item x="40"/>
        <item x="585"/>
        <item x="245"/>
        <item x="931"/>
        <item x="87"/>
        <item x="456"/>
        <item x="537"/>
        <item x="369"/>
        <item x="808"/>
        <item x="822"/>
        <item x="218"/>
        <item x="750"/>
        <item x="611"/>
        <item x="278"/>
        <item x="53"/>
        <item x="687"/>
        <item x="582"/>
        <item x="488"/>
        <item x="926"/>
        <item x="182"/>
        <item x="71"/>
        <item x="852"/>
        <item x="136"/>
        <item x="942"/>
        <item x="263"/>
        <item x="251"/>
        <item x="504"/>
        <item x="83"/>
        <item x="230"/>
        <item x="211"/>
        <item x="220"/>
        <item x="790"/>
        <item x="703"/>
        <item x="857"/>
        <item x="940"/>
        <item x="204"/>
        <item x="509"/>
        <item x="476"/>
        <item x="330"/>
        <item x="642"/>
        <item x="61"/>
        <item x="388"/>
        <item x="755"/>
        <item x="303"/>
        <item x="349"/>
        <item x="440"/>
        <item x="694"/>
        <item x="730"/>
        <item x="111"/>
        <item x="176"/>
        <item x="644"/>
        <item x="247"/>
        <item x="215"/>
        <item x="901"/>
        <item x="253"/>
        <item x="441"/>
        <item x="929"/>
        <item x="566"/>
        <item x="637"/>
        <item x="732"/>
        <item x="679"/>
        <item x="154"/>
        <item x="257"/>
        <item x="623"/>
        <item x="535"/>
        <item x="747"/>
        <item x="713"/>
        <item x="919"/>
        <item x="846"/>
        <item x="583"/>
        <item x="717"/>
        <item x="653"/>
        <item x="192"/>
        <item x="832"/>
        <item x="402"/>
        <item x="41"/>
        <item x="288"/>
        <item x="414"/>
        <item x="156"/>
        <item x="385"/>
        <item x="340"/>
        <item x="21"/>
        <item x="249"/>
        <item x="451"/>
        <item x="213"/>
        <item x="42"/>
        <item x="281"/>
        <item x="939"/>
        <item x="579"/>
        <item x="219"/>
        <item x="140"/>
        <item x="394"/>
        <item x="271"/>
        <item x="124"/>
        <item x="367"/>
        <item x="792"/>
        <item x="234"/>
        <item x="357"/>
        <item x="731"/>
        <item x="658"/>
        <item x="106"/>
        <item x="530"/>
        <item x="447"/>
        <item x="911"/>
        <item x="197"/>
        <item x="363"/>
        <item x="527"/>
        <item x="101"/>
        <item x="543"/>
        <item x="224"/>
        <item x="695"/>
        <item x="819"/>
        <item x="168"/>
        <item x="233"/>
        <item x="381"/>
        <item x="541"/>
        <item x="829"/>
        <item x="96"/>
        <item x="802"/>
        <item x="890"/>
        <item x="760"/>
        <item x="420"/>
        <item x="350"/>
        <item x="753"/>
        <item x="166"/>
        <item x="62"/>
        <item x="110"/>
        <item x="109"/>
        <item x="449"/>
        <item x="659"/>
        <item x="690"/>
        <item x="76"/>
        <item x="726"/>
        <item x="878"/>
        <item x="734"/>
        <item x="826"/>
        <item x="337"/>
        <item x="676"/>
        <item x="7"/>
        <item x="1"/>
        <item x="324"/>
        <item x="636"/>
        <item x="723"/>
        <item x="944"/>
        <item x="493"/>
        <item x="774"/>
        <item x="360"/>
        <item x="655"/>
        <item x="296"/>
        <item x="502"/>
        <item x="231"/>
        <item x="609"/>
        <item x="788"/>
        <item x="226"/>
        <item x="178"/>
        <item x="80"/>
        <item x="587"/>
        <item x="334"/>
        <item x="403"/>
        <item x="756"/>
        <item x="105"/>
        <item x="66"/>
        <item x="925"/>
        <item x="458"/>
        <item x="696"/>
        <item x="306"/>
        <item x="118"/>
        <item x="32"/>
        <item x="384"/>
        <item x="175"/>
        <item x="871"/>
        <item x="480"/>
        <item x="351"/>
        <item x="872"/>
        <item x="816"/>
        <item x="617"/>
        <item x="382"/>
        <item x="777"/>
        <item x="177"/>
        <item x="853"/>
        <item x="473"/>
        <item x="386"/>
        <item x="252"/>
        <item x="410"/>
        <item x="208"/>
        <item x="261"/>
        <item x="92"/>
        <item x="294"/>
        <item x="780"/>
        <item x="305"/>
        <item x="121"/>
        <item x="562"/>
        <item x="489"/>
        <item x="266"/>
        <item x="513"/>
        <item x="510"/>
        <item x="754"/>
        <item x="237"/>
        <item x="647"/>
        <item x="515"/>
        <item x="672"/>
        <item x="628"/>
        <item x="681"/>
        <item x="924"/>
        <item x="376"/>
        <item x="516"/>
        <item x="475"/>
        <item x="338"/>
        <item x="798"/>
        <item x="565"/>
        <item x="282"/>
        <item x="820"/>
        <item x="228"/>
        <item x="889"/>
        <item x="201"/>
        <item x="766"/>
        <item x="706"/>
        <item x="553"/>
        <item x="836"/>
        <item x="873"/>
        <item x="778"/>
        <item x="749"/>
        <item x="70"/>
        <item x="521"/>
        <item x="194"/>
        <item x="712"/>
        <item x="849"/>
        <item x="58"/>
        <item x="172"/>
        <item x="613"/>
        <item x="33"/>
        <item x="161"/>
        <item x="622"/>
        <item x="406"/>
        <item x="542"/>
        <item x="518"/>
        <item x="260"/>
        <item x="114"/>
        <item x="701"/>
        <item x="173"/>
        <item x="78"/>
        <item x="589"/>
        <item x="366"/>
        <item x="668"/>
        <item x="442"/>
        <item x="738"/>
        <item x="437"/>
        <item x="594"/>
        <item x="603"/>
        <item x="590"/>
        <item x="336"/>
        <item x="759"/>
        <item x="880"/>
        <item x="290"/>
        <item x="812"/>
        <item x="743"/>
        <item x="52"/>
        <item x="20"/>
        <item x="593"/>
        <item x="693"/>
        <item x="207"/>
        <item x="591"/>
        <item x="250"/>
        <item x="190"/>
        <item x="868"/>
        <item x="362"/>
        <item x="470"/>
        <item x="602"/>
        <item x="809"/>
        <item x="455"/>
        <item x="464"/>
        <item x="784"/>
        <item x="898"/>
        <item x="18"/>
        <item x="468"/>
        <item x="399"/>
        <item x="592"/>
        <item x="922"/>
        <item x="606"/>
        <item x="895"/>
        <item x="67"/>
        <item x="666"/>
        <item x="639"/>
        <item x="209"/>
        <item x="539"/>
        <item x="664"/>
        <item x="673"/>
        <item x="10"/>
        <item x="284"/>
        <item x="210"/>
        <item x="909"/>
        <item x="934"/>
        <item x="762"/>
        <item x="918"/>
        <item x="804"/>
        <item x="308"/>
        <item x="339"/>
        <item x="660"/>
        <item x="914"/>
        <item x="400"/>
        <item x="241"/>
        <item x="769"/>
        <item x="358"/>
        <item x="436"/>
        <item x="649"/>
        <item x="378"/>
        <item x="524"/>
        <item x="142"/>
        <item x="796"/>
        <item x="391"/>
        <item x="482"/>
        <item x="477"/>
        <item x="710"/>
        <item x="280"/>
        <item x="533"/>
        <item x="100"/>
        <item x="60"/>
        <item x="23"/>
        <item x="764"/>
        <item x="186"/>
        <item x="331"/>
        <item x="621"/>
        <item x="813"/>
        <item x="171"/>
        <item x="662"/>
        <item x="686"/>
        <item x="450"/>
        <item x="767"/>
        <item x="153"/>
        <item x="805"/>
        <item x="462"/>
        <item x="435"/>
        <item x="268"/>
        <item x="824"/>
        <item x="499"/>
        <item x="155"/>
        <item x="277"/>
        <item x="633"/>
        <item x="307"/>
        <item x="818"/>
        <item x="495"/>
        <item x="652"/>
        <item x="179"/>
        <item x="424"/>
        <item x="365"/>
        <item x="47"/>
        <item x="466"/>
        <item x="742"/>
        <item x="707"/>
        <item x="573"/>
        <item x="670"/>
        <item x="325"/>
        <item x="438"/>
        <item x="158"/>
        <item x="459"/>
        <item x="170"/>
        <item x="545"/>
        <item x="709"/>
        <item x="341"/>
        <item x="716"/>
        <item x="304"/>
        <item x="313"/>
        <item x="584"/>
        <item x="785"/>
        <item x="503"/>
        <item x="116"/>
        <item x="758"/>
        <item x="607"/>
        <item x="273"/>
        <item x="132"/>
        <item x="540"/>
        <item x="283"/>
        <item x="474"/>
        <item x="279"/>
        <item x="64"/>
        <item x="608"/>
        <item x="65"/>
        <item x="651"/>
        <item x="31"/>
        <item x="389"/>
        <item x="29"/>
        <item x="99"/>
        <item x="494"/>
        <item x="191"/>
        <item x="507"/>
        <item x="112"/>
        <item x="669"/>
        <item x="379"/>
        <item x="143"/>
        <item x="913"/>
        <item x="335"/>
        <item x="618"/>
        <item x="896"/>
        <item x="295"/>
        <item x="823"/>
        <item x="34"/>
        <item x="700"/>
        <item x="698"/>
        <item x="715"/>
        <item x="291"/>
        <item x="724"/>
        <item x="159"/>
        <item x="485"/>
        <item x="678"/>
        <item x="514"/>
        <item x="645"/>
        <item x="595"/>
        <item x="746"/>
        <item x="671"/>
        <item x="129"/>
        <item x="501"/>
        <item x="139"/>
        <item x="556"/>
        <item x="906"/>
        <item x="859"/>
        <item x="287"/>
        <item x="26"/>
        <item x="765"/>
        <item x="768"/>
        <item x="689"/>
        <item x="854"/>
        <item x="825"/>
        <item x="37"/>
        <item x="39"/>
        <item x="830"/>
        <item x="855"/>
        <item x="415"/>
        <item x="615"/>
        <item x="0"/>
        <item x="576"/>
        <item x="235"/>
        <item x="88"/>
        <item x="195"/>
        <item x="882"/>
        <item x="928"/>
        <item x="646"/>
        <item x="560"/>
        <item x="90"/>
        <item x="851"/>
        <item x="8"/>
        <item x="16"/>
        <item x="677"/>
        <item x="927"/>
        <item x="433"/>
        <item x="648"/>
        <item x="517"/>
        <item x="508"/>
        <item x="920"/>
        <item x="884"/>
        <item x="25"/>
        <item x="352"/>
        <item x="938"/>
        <item x="445"/>
        <item x="133"/>
        <item x="789"/>
        <item x="256"/>
        <item x="2"/>
        <item x="577"/>
        <item x="43"/>
        <item x="741"/>
        <item x="657"/>
        <item x="63"/>
        <item x="392"/>
        <item x="102"/>
        <item x="492"/>
        <item x="229"/>
        <item x="567"/>
        <item x="15"/>
        <item x="185"/>
        <item x="373"/>
        <item x="85"/>
        <item x="782"/>
        <item x="519"/>
        <item x="850"/>
        <item x="558"/>
        <item x="221"/>
        <item x="907"/>
        <item x="727"/>
        <item x="697"/>
        <item x="416"/>
        <item x="486"/>
        <item x="661"/>
        <item x="663"/>
        <item x="528"/>
        <item x="682"/>
        <item x="865"/>
        <item x="557"/>
        <item x="298"/>
        <item x="243"/>
        <item x="4"/>
        <item x="72"/>
        <item x="719"/>
        <item x="908"/>
        <item x="563"/>
        <item x="520"/>
        <item x="555"/>
        <item x="629"/>
        <item x="267"/>
        <item x="127"/>
        <item x="371"/>
        <item x="688"/>
        <item x="244"/>
        <item x="89"/>
        <item x="422"/>
        <item x="772"/>
        <item x="45"/>
        <item x="297"/>
        <item x="842"/>
        <item x="119"/>
        <item x="265"/>
        <item x="632"/>
        <item x="943"/>
        <item x="505"/>
        <item x="203"/>
        <item x="14"/>
        <item x="320"/>
        <item x="94"/>
        <item x="547"/>
        <item x="847"/>
        <item x="800"/>
        <item x="35"/>
        <item x="169"/>
        <item x="272"/>
        <item x="232"/>
        <item x="899"/>
        <item x="128"/>
        <item x="569"/>
        <item x="692"/>
        <item x="702"/>
        <item x="157"/>
        <item x="799"/>
        <item x="650"/>
        <item x="344"/>
        <item x="453"/>
        <item x="309"/>
        <item x="68"/>
        <item x="787"/>
        <item x="905"/>
        <item x="643"/>
        <item x="863"/>
        <item x="631"/>
        <item x="471"/>
        <item x="571"/>
        <item x="95"/>
        <item x="398"/>
        <item x="725"/>
        <item x="903"/>
        <item x="370"/>
        <item x="123"/>
        <item x="317"/>
        <item x="634"/>
        <item x="794"/>
        <item x="783"/>
        <item x="604"/>
        <item x="624"/>
        <item x="612"/>
        <item x="748"/>
        <item x="238"/>
        <item x="93"/>
        <item x="236"/>
        <item x="56"/>
        <item x="49"/>
        <item x="915"/>
        <item x="815"/>
        <item x="198"/>
        <item x="254"/>
        <item x="189"/>
        <item x="945"/>
        <item x="13"/>
        <item x="117"/>
        <item x="887"/>
        <item x="390"/>
        <item x="223"/>
        <item x="472"/>
        <item x="728"/>
        <item x="311"/>
        <item x="512"/>
        <item x="401"/>
        <item x="902"/>
        <item x="862"/>
        <item x="840"/>
        <item x="586"/>
        <item x="312"/>
        <item x="146"/>
        <item x="596"/>
        <item x="735"/>
        <item x="36"/>
        <item x="97"/>
        <item x="598"/>
        <item x="460"/>
        <item x="214"/>
        <item x="894"/>
        <item x="240"/>
        <item x="827"/>
        <item x="212"/>
        <item x="421"/>
        <item x="46"/>
        <item x="448"/>
        <item x="411"/>
        <item x="310"/>
        <item x="497"/>
        <item x="115"/>
        <item x="526"/>
        <item x="561"/>
        <item x="550"/>
        <item x="483"/>
        <item x="763"/>
        <item x="626"/>
        <item x="361"/>
        <item x="199"/>
        <item x="720"/>
        <item x="937"/>
        <item x="50"/>
        <item x="630"/>
        <item x="461"/>
        <item x="479"/>
        <item x="356"/>
        <item x="834"/>
        <item x="708"/>
        <item x="407"/>
        <item x="848"/>
        <item x="751"/>
        <item x="130"/>
        <item x="744"/>
        <item x="135"/>
        <item x="797"/>
        <item x="549"/>
        <item x="879"/>
        <item x="876"/>
        <item x="776"/>
        <item x="500"/>
        <item x="656"/>
        <item x="167"/>
        <item x="202"/>
        <item x="616"/>
        <item x="452"/>
        <item x="430"/>
        <item x="27"/>
        <item x="120"/>
        <item x="206"/>
        <item x="145"/>
        <item x="131"/>
        <item x="498"/>
        <item x="147"/>
        <item x="73"/>
        <item x="856"/>
        <item x="375"/>
        <item x="432"/>
        <item x="575"/>
        <item x="322"/>
        <item x="522"/>
        <item x="737"/>
        <item x="428"/>
        <item x="108"/>
        <item x="355"/>
        <item x="883"/>
        <item x="828"/>
        <item x="601"/>
        <item x="138"/>
        <item x="84"/>
        <item x="554"/>
        <item x="532"/>
        <item x="496"/>
        <item x="773"/>
        <item x="638"/>
        <item x="200"/>
        <item x="6"/>
        <item x="423"/>
        <item x="125"/>
        <item x="126"/>
        <item x="289"/>
        <item x="627"/>
        <item x="242"/>
        <item x="936"/>
        <item x="104"/>
        <item x="17"/>
        <item x="559"/>
        <item x="19"/>
        <item x="588"/>
        <item x="372"/>
        <item x="79"/>
        <item x="869"/>
        <item x="174"/>
        <item x="248"/>
        <item x="572"/>
        <item x="875"/>
        <item x="246"/>
        <item x="864"/>
        <item x="580"/>
        <item x="225"/>
        <item x="933"/>
        <item x="886"/>
        <item x="22"/>
        <item x="86"/>
        <item x="380"/>
        <item x="841"/>
        <item x="484"/>
        <item x="314"/>
        <item x="733"/>
        <item x="761"/>
        <item x="413"/>
        <item x="806"/>
        <item x="419"/>
        <item x="885"/>
        <item x="641"/>
        <item x="718"/>
        <item x="205"/>
        <item x="187"/>
        <item x="359"/>
        <item x="180"/>
        <item x="870"/>
        <item x="536"/>
        <item x="405"/>
        <item x="833"/>
        <item x="487"/>
        <item x="383"/>
        <item x="923"/>
        <item x="165"/>
        <item x="300"/>
        <item x="426"/>
        <item x="838"/>
        <item x="605"/>
        <item x="333"/>
        <item x="888"/>
        <item x="255"/>
        <item x="564"/>
        <item x="861"/>
        <item x="893"/>
        <item x="469"/>
        <item x="12"/>
        <item x="217"/>
        <item x="654"/>
        <item x="409"/>
        <item x="431"/>
        <item x="635"/>
        <item x="578"/>
        <item x="48"/>
        <item x="490"/>
        <item x="264"/>
        <item x="771"/>
        <item x="270"/>
        <item x="163"/>
        <item x="781"/>
        <item x="54"/>
        <item x="745"/>
        <item x="803"/>
        <item x="38"/>
        <item x="814"/>
        <item x="463"/>
        <item x="811"/>
        <item x="184"/>
        <item x="912"/>
        <item x="429"/>
        <item x="711"/>
        <item x="739"/>
        <item x="75"/>
        <item x="680"/>
        <item x="467"/>
        <item x="548"/>
        <item x="181"/>
        <item x="443"/>
        <item x="675"/>
        <item x="152"/>
        <item x="465"/>
        <item x="332"/>
        <item x="478"/>
        <item x="839"/>
        <item x="434"/>
        <item x="345"/>
        <item x="293"/>
        <item x="44"/>
        <item x="439"/>
        <item x="665"/>
        <item x="444"/>
        <item x="259"/>
        <item x="425"/>
        <item x="674"/>
        <item x="704"/>
        <item x="947"/>
        <item t="default"/>
      </items>
    </pivotField>
    <pivotField showAll="0"/>
    <pivotField axis="axisRow" showAll="0" sortType="ascending">
      <items count="7">
        <item x="2"/>
        <item x="0"/>
        <item x="1"/>
        <item x="4"/>
        <item x="3"/>
        <item h="1" x="5"/>
        <item t="default"/>
      </items>
      <autoSortScope>
        <pivotArea dataOnly="0" outline="0" fieldPosition="0">
          <references count="1">
            <reference field="4294967294" count="1" selected="0">
              <x v="0"/>
            </reference>
          </references>
        </pivotArea>
      </autoSortScope>
    </pivotField>
    <pivotField showAll="0" measureFilter="1" sortType="descending">
      <items count="22">
        <item x="7"/>
        <item x="16"/>
        <item x="9"/>
        <item x="14"/>
        <item x="5"/>
        <item x="11"/>
        <item x="12"/>
        <item x="19"/>
        <item x="8"/>
        <item x="4"/>
        <item x="18"/>
        <item x="17"/>
        <item x="0"/>
        <item x="1"/>
        <item x="10"/>
        <item x="2"/>
        <item x="13"/>
        <item x="15"/>
        <item x="6"/>
        <item x="3"/>
        <item x="20"/>
        <item t="default"/>
      </items>
      <autoSortScope>
        <pivotArea dataOnly="0" outline="0" fieldPosition="0">
          <references count="1">
            <reference field="4294967294" count="1" selected="0">
              <x v="0"/>
            </reference>
          </references>
        </pivotArea>
      </autoSortScope>
    </pivotField>
    <pivotField showAll="0"/>
    <pivotField showAll="0">
      <items count="7">
        <item x="4"/>
        <item x="2"/>
        <item x="1"/>
        <item x="0"/>
        <item x="3"/>
        <item x="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44">
        <item x="28"/>
        <item x="27"/>
        <item x="2"/>
        <item x="23"/>
        <item x="24"/>
        <item x="32"/>
        <item x="31"/>
        <item x="30"/>
        <item x="41"/>
        <item x="12"/>
        <item x="4"/>
        <item x="14"/>
        <item x="13"/>
        <item x="39"/>
        <item x="8"/>
        <item x="16"/>
        <item x="35"/>
        <item x="33"/>
        <item x="25"/>
        <item x="5"/>
        <item x="18"/>
        <item x="15"/>
        <item x="29"/>
        <item x="19"/>
        <item x="17"/>
        <item x="1"/>
        <item x="21"/>
        <item x="38"/>
        <item x="3"/>
        <item x="9"/>
        <item x="36"/>
        <item x="10"/>
        <item x="42"/>
        <item x="7"/>
        <item x="34"/>
        <item x="6"/>
        <item x="40"/>
        <item x="26"/>
        <item x="37"/>
        <item x="22"/>
        <item x="11"/>
        <item x="20"/>
        <item x="0"/>
        <item t="default"/>
      </items>
    </pivotField>
    <pivotField showAll="0">
      <items count="44">
        <item x="28"/>
        <item x="27"/>
        <item x="2"/>
        <item x="23"/>
        <item x="24"/>
        <item x="32"/>
        <item x="31"/>
        <item x="30"/>
        <item x="41"/>
        <item x="12"/>
        <item x="4"/>
        <item x="14"/>
        <item x="13"/>
        <item x="39"/>
        <item x="8"/>
        <item x="16"/>
        <item x="35"/>
        <item x="33"/>
        <item x="25"/>
        <item x="5"/>
        <item x="18"/>
        <item x="15"/>
        <item x="29"/>
        <item x="19"/>
        <item x="17"/>
        <item x="1"/>
        <item x="21"/>
        <item x="38"/>
        <item x="3"/>
        <item x="9"/>
        <item x="36"/>
        <item x="10"/>
        <item x="42"/>
        <item x="7"/>
        <item x="34"/>
        <item x="6"/>
        <item x="40"/>
        <item x="26"/>
        <item x="37"/>
        <item x="22"/>
        <item x="11"/>
        <item x="20"/>
        <item x="0"/>
        <item t="default"/>
      </items>
    </pivotField>
    <pivotField showAll="0" measureFilter="1" sortType="ascending">
      <items count="12">
        <item x="5"/>
        <item x="4"/>
        <item x="8"/>
        <item x="1"/>
        <item x="0"/>
        <item x="3"/>
        <item x="9"/>
        <item x="6"/>
        <item x="2"/>
        <item x="7"/>
        <item x="10"/>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v="3"/>
    </i>
    <i>
      <x v="1"/>
    </i>
    <i>
      <x v="2"/>
    </i>
    <i>
      <x v="4"/>
    </i>
    <i>
      <x/>
    </i>
    <i t="grand">
      <x/>
    </i>
  </rowItems>
  <colItems count="1">
    <i/>
  </colItems>
  <dataFields count="1">
    <dataField name="Sum of TotalAmount" fld="17" baseField="0" baseItem="0" numFmtId="165"/>
  </dataFields>
  <formats count="1">
    <format dxfId="235">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3" count="1" selected="0">
            <x v="1"/>
          </reference>
        </references>
      </pivotArea>
    </chartFormat>
    <chartFormat chart="19" format="2">
      <pivotArea type="data" outline="0" fieldPosition="0">
        <references count="2">
          <reference field="4294967294" count="1" selected="0">
            <x v="0"/>
          </reference>
          <reference field="3" count="1" selected="0">
            <x v="2"/>
          </reference>
        </references>
      </pivotArea>
    </chartFormat>
    <chartFormat chart="19" format="3">
      <pivotArea type="data" outline="0" fieldPosition="0">
        <references count="2">
          <reference field="4294967294" count="1" selected="0">
            <x v="0"/>
          </reference>
          <reference field="3" count="1" selected="0">
            <x v="3"/>
          </reference>
        </references>
      </pivotArea>
    </chartFormat>
    <chartFormat chart="19" format="4">
      <pivotArea type="data" outline="0" fieldPosition="0">
        <references count="2">
          <reference field="4294967294" count="1" selected="0">
            <x v="0"/>
          </reference>
          <reference field="3" count="1" selected="0">
            <x v="0"/>
          </reference>
        </references>
      </pivotArea>
    </chartFormat>
    <chartFormat chart="19"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filters count="2">
    <filter fld="25" type="count" evalOrder="-1" id="1" iMeasureFld="0">
      <autoFilter ref="A1">
        <filterColumn colId="0">
          <top10 val="10" filterVal="10"/>
        </filterColumn>
      </autoFilter>
    </filter>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F740E3-6492-4DB6-8592-B9315A4AB5B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20:A121" firstHeaderRow="1" firstDataRow="1" firstDataCol="0"/>
  <pivotFields count="37">
    <pivotField showAll="0"/>
    <pivotField showAll="0">
      <items count="949">
        <item x="916"/>
        <item x="793"/>
        <item x="667"/>
        <item x="684"/>
        <item x="620"/>
        <item x="691"/>
        <item x="103"/>
        <item x="342"/>
        <item x="148"/>
        <item x="395"/>
        <item x="729"/>
        <item x="600"/>
        <item x="597"/>
        <item x="137"/>
        <item x="599"/>
        <item x="107"/>
        <item x="162"/>
        <item x="699"/>
        <item x="286"/>
        <item x="568"/>
        <item x="511"/>
        <item x="757"/>
        <item x="551"/>
        <item x="625"/>
        <item x="354"/>
        <item x="343"/>
        <item x="387"/>
        <item x="269"/>
        <item x="353"/>
        <item x="141"/>
        <item x="845"/>
        <item x="821"/>
        <item x="302"/>
        <item x="82"/>
        <item x="910"/>
        <item x="222"/>
        <item x="239"/>
        <item x="534"/>
        <item x="412"/>
        <item x="418"/>
        <item x="779"/>
        <item x="900"/>
        <item x="113"/>
        <item x="807"/>
        <item x="318"/>
        <item x="892"/>
        <item x="321"/>
        <item x="374"/>
        <item x="59"/>
        <item x="866"/>
        <item x="81"/>
        <item x="3"/>
        <item x="481"/>
        <item x="368"/>
        <item x="77"/>
        <item x="51"/>
        <item x="160"/>
        <item x="315"/>
        <item x="529"/>
        <item x="722"/>
        <item x="183"/>
        <item x="640"/>
        <item x="930"/>
        <item x="397"/>
        <item x="57"/>
        <item x="216"/>
        <item x="891"/>
        <item x="858"/>
        <item x="196"/>
        <item x="683"/>
        <item x="714"/>
        <item x="867"/>
        <item x="523"/>
        <item x="347"/>
        <item x="262"/>
        <item x="301"/>
        <item x="323"/>
        <item x="150"/>
        <item x="134"/>
        <item x="327"/>
        <item x="417"/>
        <item x="491"/>
        <item x="377"/>
        <item x="721"/>
        <item x="364"/>
        <item x="98"/>
        <item x="795"/>
        <item x="149"/>
        <item x="525"/>
        <item x="122"/>
        <item x="614"/>
        <item x="274"/>
        <item x="404"/>
        <item x="151"/>
        <item x="921"/>
        <item x="752"/>
        <item x="844"/>
        <item x="881"/>
        <item x="188"/>
        <item x="319"/>
        <item x="860"/>
        <item x="258"/>
        <item x="946"/>
        <item x="570"/>
        <item x="326"/>
        <item x="581"/>
        <item x="685"/>
        <item x="506"/>
        <item x="775"/>
        <item x="329"/>
        <item x="144"/>
        <item x="736"/>
        <item x="874"/>
        <item x="877"/>
        <item x="552"/>
        <item x="276"/>
        <item x="28"/>
        <item x="786"/>
        <item x="446"/>
        <item x="30"/>
        <item x="275"/>
        <item x="91"/>
        <item x="817"/>
        <item x="454"/>
        <item x="292"/>
        <item x="74"/>
        <item x="791"/>
        <item x="801"/>
        <item x="810"/>
        <item x="285"/>
        <item x="69"/>
        <item x="770"/>
        <item x="5"/>
        <item x="193"/>
        <item x="897"/>
        <item x="299"/>
        <item x="348"/>
        <item x="837"/>
        <item x="941"/>
        <item x="55"/>
        <item x="835"/>
        <item x="831"/>
        <item x="619"/>
        <item x="531"/>
        <item x="932"/>
        <item x="24"/>
        <item x="227"/>
        <item x="904"/>
        <item x="740"/>
        <item x="457"/>
        <item x="11"/>
        <item x="427"/>
        <item x="408"/>
        <item x="346"/>
        <item x="917"/>
        <item x="574"/>
        <item x="546"/>
        <item x="393"/>
        <item x="164"/>
        <item x="316"/>
        <item x="9"/>
        <item x="843"/>
        <item x="935"/>
        <item x="544"/>
        <item x="538"/>
        <item x="396"/>
        <item x="705"/>
        <item x="610"/>
        <item x="328"/>
        <item x="40"/>
        <item x="585"/>
        <item x="245"/>
        <item x="931"/>
        <item x="87"/>
        <item x="456"/>
        <item x="537"/>
        <item x="369"/>
        <item x="808"/>
        <item x="822"/>
        <item x="218"/>
        <item x="750"/>
        <item x="611"/>
        <item x="278"/>
        <item x="53"/>
        <item x="687"/>
        <item x="582"/>
        <item x="488"/>
        <item x="926"/>
        <item x="182"/>
        <item x="71"/>
        <item x="852"/>
        <item x="136"/>
        <item x="942"/>
        <item x="263"/>
        <item x="251"/>
        <item x="504"/>
        <item x="83"/>
        <item x="230"/>
        <item x="211"/>
        <item x="220"/>
        <item x="790"/>
        <item x="703"/>
        <item x="857"/>
        <item x="940"/>
        <item x="204"/>
        <item x="509"/>
        <item x="476"/>
        <item x="330"/>
        <item x="642"/>
        <item x="61"/>
        <item x="388"/>
        <item x="755"/>
        <item x="303"/>
        <item x="349"/>
        <item x="440"/>
        <item x="694"/>
        <item x="730"/>
        <item x="111"/>
        <item x="176"/>
        <item x="644"/>
        <item x="247"/>
        <item x="215"/>
        <item x="901"/>
        <item x="253"/>
        <item x="441"/>
        <item x="929"/>
        <item x="566"/>
        <item x="637"/>
        <item x="732"/>
        <item x="679"/>
        <item x="154"/>
        <item x="257"/>
        <item x="623"/>
        <item x="535"/>
        <item x="747"/>
        <item x="713"/>
        <item x="919"/>
        <item x="846"/>
        <item x="583"/>
        <item x="717"/>
        <item x="653"/>
        <item x="192"/>
        <item x="832"/>
        <item x="402"/>
        <item x="41"/>
        <item x="288"/>
        <item x="414"/>
        <item x="156"/>
        <item x="385"/>
        <item x="340"/>
        <item x="21"/>
        <item x="249"/>
        <item x="451"/>
        <item x="213"/>
        <item x="42"/>
        <item x="281"/>
        <item x="939"/>
        <item x="579"/>
        <item x="219"/>
        <item x="140"/>
        <item x="394"/>
        <item x="271"/>
        <item x="124"/>
        <item x="367"/>
        <item x="792"/>
        <item x="234"/>
        <item x="357"/>
        <item x="731"/>
        <item x="658"/>
        <item x="106"/>
        <item x="530"/>
        <item x="447"/>
        <item x="911"/>
        <item x="197"/>
        <item x="363"/>
        <item x="527"/>
        <item x="101"/>
        <item x="543"/>
        <item x="224"/>
        <item x="695"/>
        <item x="819"/>
        <item x="168"/>
        <item x="233"/>
        <item x="381"/>
        <item x="541"/>
        <item x="829"/>
        <item x="96"/>
        <item x="802"/>
        <item x="890"/>
        <item x="760"/>
        <item x="420"/>
        <item x="350"/>
        <item x="753"/>
        <item x="166"/>
        <item x="62"/>
        <item x="110"/>
        <item x="109"/>
        <item x="449"/>
        <item x="659"/>
        <item x="690"/>
        <item x="76"/>
        <item x="726"/>
        <item x="878"/>
        <item x="734"/>
        <item x="826"/>
        <item x="337"/>
        <item x="676"/>
        <item x="7"/>
        <item x="1"/>
        <item x="324"/>
        <item x="636"/>
        <item x="723"/>
        <item x="944"/>
        <item x="493"/>
        <item x="774"/>
        <item x="360"/>
        <item x="655"/>
        <item x="296"/>
        <item x="502"/>
        <item x="231"/>
        <item x="609"/>
        <item x="788"/>
        <item x="226"/>
        <item x="178"/>
        <item x="80"/>
        <item x="587"/>
        <item x="334"/>
        <item x="403"/>
        <item x="756"/>
        <item x="105"/>
        <item x="66"/>
        <item x="925"/>
        <item x="458"/>
        <item x="696"/>
        <item x="306"/>
        <item x="118"/>
        <item x="32"/>
        <item x="384"/>
        <item x="175"/>
        <item x="871"/>
        <item x="480"/>
        <item x="351"/>
        <item x="872"/>
        <item x="816"/>
        <item x="617"/>
        <item x="382"/>
        <item x="777"/>
        <item x="177"/>
        <item x="853"/>
        <item x="473"/>
        <item x="386"/>
        <item x="252"/>
        <item x="410"/>
        <item x="208"/>
        <item x="261"/>
        <item x="92"/>
        <item x="294"/>
        <item x="780"/>
        <item x="305"/>
        <item x="121"/>
        <item x="562"/>
        <item x="489"/>
        <item x="266"/>
        <item x="513"/>
        <item x="510"/>
        <item x="754"/>
        <item x="237"/>
        <item x="647"/>
        <item x="515"/>
        <item x="672"/>
        <item x="628"/>
        <item x="681"/>
        <item x="924"/>
        <item x="376"/>
        <item x="516"/>
        <item x="475"/>
        <item x="338"/>
        <item x="798"/>
        <item x="565"/>
        <item x="282"/>
        <item x="820"/>
        <item x="228"/>
        <item x="889"/>
        <item x="201"/>
        <item x="766"/>
        <item x="706"/>
        <item x="553"/>
        <item x="836"/>
        <item x="873"/>
        <item x="778"/>
        <item x="749"/>
        <item x="70"/>
        <item x="521"/>
        <item x="194"/>
        <item x="712"/>
        <item x="849"/>
        <item x="58"/>
        <item x="172"/>
        <item x="613"/>
        <item x="33"/>
        <item x="161"/>
        <item x="622"/>
        <item x="406"/>
        <item x="542"/>
        <item x="518"/>
        <item x="260"/>
        <item x="114"/>
        <item x="701"/>
        <item x="173"/>
        <item x="78"/>
        <item x="589"/>
        <item x="366"/>
        <item x="668"/>
        <item x="442"/>
        <item x="738"/>
        <item x="437"/>
        <item x="594"/>
        <item x="603"/>
        <item x="590"/>
        <item x="336"/>
        <item x="759"/>
        <item x="880"/>
        <item x="290"/>
        <item x="812"/>
        <item x="743"/>
        <item x="52"/>
        <item x="20"/>
        <item x="593"/>
        <item x="693"/>
        <item x="207"/>
        <item x="591"/>
        <item x="250"/>
        <item x="190"/>
        <item x="868"/>
        <item x="362"/>
        <item x="470"/>
        <item x="602"/>
        <item x="809"/>
        <item x="455"/>
        <item x="464"/>
        <item x="784"/>
        <item x="898"/>
        <item x="18"/>
        <item x="468"/>
        <item x="399"/>
        <item x="592"/>
        <item x="922"/>
        <item x="606"/>
        <item x="895"/>
        <item x="67"/>
        <item x="666"/>
        <item x="639"/>
        <item x="209"/>
        <item x="539"/>
        <item x="664"/>
        <item x="673"/>
        <item x="10"/>
        <item x="284"/>
        <item x="210"/>
        <item x="909"/>
        <item x="934"/>
        <item x="762"/>
        <item x="918"/>
        <item x="804"/>
        <item x="308"/>
        <item x="339"/>
        <item x="660"/>
        <item x="914"/>
        <item x="400"/>
        <item x="241"/>
        <item x="769"/>
        <item x="358"/>
        <item x="436"/>
        <item x="649"/>
        <item x="378"/>
        <item x="524"/>
        <item x="142"/>
        <item x="796"/>
        <item x="391"/>
        <item x="482"/>
        <item x="477"/>
        <item x="710"/>
        <item x="280"/>
        <item x="533"/>
        <item x="100"/>
        <item x="60"/>
        <item x="23"/>
        <item x="764"/>
        <item x="186"/>
        <item x="331"/>
        <item x="621"/>
        <item x="813"/>
        <item x="171"/>
        <item x="662"/>
        <item x="686"/>
        <item x="450"/>
        <item x="767"/>
        <item x="153"/>
        <item x="805"/>
        <item x="462"/>
        <item x="435"/>
        <item x="268"/>
        <item x="824"/>
        <item x="499"/>
        <item x="155"/>
        <item x="277"/>
        <item x="633"/>
        <item x="307"/>
        <item x="818"/>
        <item x="495"/>
        <item x="652"/>
        <item x="179"/>
        <item x="424"/>
        <item x="365"/>
        <item x="47"/>
        <item x="466"/>
        <item x="742"/>
        <item x="707"/>
        <item x="573"/>
        <item x="670"/>
        <item x="325"/>
        <item x="438"/>
        <item x="158"/>
        <item x="459"/>
        <item x="170"/>
        <item x="545"/>
        <item x="709"/>
        <item x="341"/>
        <item x="716"/>
        <item x="304"/>
        <item x="313"/>
        <item x="584"/>
        <item x="785"/>
        <item x="503"/>
        <item x="116"/>
        <item x="758"/>
        <item x="607"/>
        <item x="273"/>
        <item x="132"/>
        <item x="540"/>
        <item x="283"/>
        <item x="474"/>
        <item x="279"/>
        <item x="64"/>
        <item x="608"/>
        <item x="65"/>
        <item x="651"/>
        <item x="31"/>
        <item x="389"/>
        <item x="29"/>
        <item x="99"/>
        <item x="494"/>
        <item x="191"/>
        <item x="507"/>
        <item x="112"/>
        <item x="669"/>
        <item x="379"/>
        <item x="143"/>
        <item x="913"/>
        <item x="335"/>
        <item x="618"/>
        <item x="896"/>
        <item x="295"/>
        <item x="823"/>
        <item x="34"/>
        <item x="700"/>
        <item x="698"/>
        <item x="715"/>
        <item x="291"/>
        <item x="724"/>
        <item x="159"/>
        <item x="485"/>
        <item x="678"/>
        <item x="514"/>
        <item x="645"/>
        <item x="595"/>
        <item x="746"/>
        <item x="671"/>
        <item x="129"/>
        <item x="501"/>
        <item x="139"/>
        <item x="556"/>
        <item x="906"/>
        <item x="859"/>
        <item x="287"/>
        <item x="26"/>
        <item x="765"/>
        <item x="768"/>
        <item x="689"/>
        <item x="854"/>
        <item x="825"/>
        <item x="37"/>
        <item x="39"/>
        <item x="830"/>
        <item x="855"/>
        <item x="415"/>
        <item x="615"/>
        <item x="0"/>
        <item x="576"/>
        <item x="235"/>
        <item x="88"/>
        <item x="195"/>
        <item x="882"/>
        <item x="928"/>
        <item x="646"/>
        <item x="560"/>
        <item x="90"/>
        <item x="851"/>
        <item x="8"/>
        <item x="16"/>
        <item x="677"/>
        <item x="927"/>
        <item x="433"/>
        <item x="648"/>
        <item x="517"/>
        <item x="508"/>
        <item x="920"/>
        <item x="884"/>
        <item x="25"/>
        <item x="352"/>
        <item x="938"/>
        <item x="445"/>
        <item x="133"/>
        <item x="789"/>
        <item x="256"/>
        <item x="2"/>
        <item x="577"/>
        <item x="43"/>
        <item x="741"/>
        <item x="657"/>
        <item x="63"/>
        <item x="392"/>
        <item x="102"/>
        <item x="492"/>
        <item x="229"/>
        <item x="567"/>
        <item x="15"/>
        <item x="185"/>
        <item x="373"/>
        <item x="85"/>
        <item x="782"/>
        <item x="519"/>
        <item x="850"/>
        <item x="558"/>
        <item x="221"/>
        <item x="907"/>
        <item x="727"/>
        <item x="697"/>
        <item x="416"/>
        <item x="486"/>
        <item x="661"/>
        <item x="663"/>
        <item x="528"/>
        <item x="682"/>
        <item x="865"/>
        <item x="557"/>
        <item x="298"/>
        <item x="243"/>
        <item x="4"/>
        <item x="72"/>
        <item x="719"/>
        <item x="908"/>
        <item x="563"/>
        <item x="520"/>
        <item x="555"/>
        <item x="629"/>
        <item x="267"/>
        <item x="127"/>
        <item x="371"/>
        <item x="688"/>
        <item x="244"/>
        <item x="89"/>
        <item x="422"/>
        <item x="772"/>
        <item x="45"/>
        <item x="297"/>
        <item x="842"/>
        <item x="119"/>
        <item x="265"/>
        <item x="632"/>
        <item x="943"/>
        <item x="505"/>
        <item x="203"/>
        <item x="14"/>
        <item x="320"/>
        <item x="94"/>
        <item x="547"/>
        <item x="847"/>
        <item x="800"/>
        <item x="35"/>
        <item x="169"/>
        <item x="272"/>
        <item x="232"/>
        <item x="899"/>
        <item x="128"/>
        <item x="569"/>
        <item x="692"/>
        <item x="702"/>
        <item x="157"/>
        <item x="799"/>
        <item x="650"/>
        <item x="344"/>
        <item x="453"/>
        <item x="309"/>
        <item x="68"/>
        <item x="787"/>
        <item x="905"/>
        <item x="643"/>
        <item x="863"/>
        <item x="631"/>
        <item x="471"/>
        <item x="571"/>
        <item x="95"/>
        <item x="398"/>
        <item x="725"/>
        <item x="903"/>
        <item x="370"/>
        <item x="123"/>
        <item x="317"/>
        <item x="634"/>
        <item x="794"/>
        <item x="783"/>
        <item x="604"/>
        <item x="624"/>
        <item x="612"/>
        <item x="748"/>
        <item x="238"/>
        <item x="93"/>
        <item x="236"/>
        <item x="56"/>
        <item x="49"/>
        <item x="915"/>
        <item x="815"/>
        <item x="198"/>
        <item x="254"/>
        <item x="189"/>
        <item x="945"/>
        <item x="13"/>
        <item x="117"/>
        <item x="887"/>
        <item x="390"/>
        <item x="223"/>
        <item x="472"/>
        <item x="728"/>
        <item x="311"/>
        <item x="512"/>
        <item x="401"/>
        <item x="902"/>
        <item x="862"/>
        <item x="840"/>
        <item x="586"/>
        <item x="312"/>
        <item x="146"/>
        <item x="596"/>
        <item x="735"/>
        <item x="36"/>
        <item x="97"/>
        <item x="598"/>
        <item x="460"/>
        <item x="214"/>
        <item x="894"/>
        <item x="240"/>
        <item x="827"/>
        <item x="212"/>
        <item x="421"/>
        <item x="46"/>
        <item x="448"/>
        <item x="411"/>
        <item x="310"/>
        <item x="497"/>
        <item x="115"/>
        <item x="526"/>
        <item x="561"/>
        <item x="550"/>
        <item x="483"/>
        <item x="763"/>
        <item x="626"/>
        <item x="361"/>
        <item x="199"/>
        <item x="720"/>
        <item x="937"/>
        <item x="50"/>
        <item x="630"/>
        <item x="461"/>
        <item x="479"/>
        <item x="356"/>
        <item x="834"/>
        <item x="708"/>
        <item x="407"/>
        <item x="848"/>
        <item x="751"/>
        <item x="130"/>
        <item x="744"/>
        <item x="135"/>
        <item x="797"/>
        <item x="549"/>
        <item x="879"/>
        <item x="876"/>
        <item x="776"/>
        <item x="500"/>
        <item x="656"/>
        <item x="167"/>
        <item x="202"/>
        <item x="616"/>
        <item x="452"/>
        <item x="430"/>
        <item x="27"/>
        <item x="120"/>
        <item x="206"/>
        <item x="145"/>
        <item x="131"/>
        <item x="498"/>
        <item x="147"/>
        <item x="73"/>
        <item x="856"/>
        <item x="375"/>
        <item x="432"/>
        <item x="575"/>
        <item x="322"/>
        <item x="522"/>
        <item x="737"/>
        <item x="428"/>
        <item x="108"/>
        <item x="355"/>
        <item x="883"/>
        <item x="828"/>
        <item x="601"/>
        <item x="138"/>
        <item x="84"/>
        <item x="554"/>
        <item x="532"/>
        <item x="496"/>
        <item x="773"/>
        <item x="638"/>
        <item x="200"/>
        <item x="6"/>
        <item x="423"/>
        <item x="125"/>
        <item x="126"/>
        <item x="289"/>
        <item x="627"/>
        <item x="242"/>
        <item x="936"/>
        <item x="104"/>
        <item x="17"/>
        <item x="559"/>
        <item x="19"/>
        <item x="588"/>
        <item x="372"/>
        <item x="79"/>
        <item x="869"/>
        <item x="174"/>
        <item x="248"/>
        <item x="572"/>
        <item x="875"/>
        <item x="246"/>
        <item x="864"/>
        <item x="580"/>
        <item x="225"/>
        <item x="933"/>
        <item x="886"/>
        <item x="22"/>
        <item x="86"/>
        <item x="380"/>
        <item x="841"/>
        <item x="484"/>
        <item x="314"/>
        <item x="733"/>
        <item x="761"/>
        <item x="413"/>
        <item x="806"/>
        <item x="419"/>
        <item x="885"/>
        <item x="641"/>
        <item x="718"/>
        <item x="205"/>
        <item x="187"/>
        <item x="359"/>
        <item x="180"/>
        <item x="870"/>
        <item x="536"/>
        <item x="405"/>
        <item x="833"/>
        <item x="487"/>
        <item x="383"/>
        <item x="923"/>
        <item x="165"/>
        <item x="300"/>
        <item x="426"/>
        <item x="838"/>
        <item x="605"/>
        <item x="333"/>
        <item x="888"/>
        <item x="255"/>
        <item x="564"/>
        <item x="861"/>
        <item x="893"/>
        <item x="469"/>
        <item x="12"/>
        <item x="217"/>
        <item x="654"/>
        <item x="409"/>
        <item x="431"/>
        <item x="635"/>
        <item x="578"/>
        <item x="48"/>
        <item x="490"/>
        <item x="264"/>
        <item x="771"/>
        <item x="270"/>
        <item x="163"/>
        <item x="781"/>
        <item x="54"/>
        <item x="745"/>
        <item x="803"/>
        <item x="38"/>
        <item x="814"/>
        <item x="463"/>
        <item x="811"/>
        <item x="184"/>
        <item x="912"/>
        <item x="429"/>
        <item x="711"/>
        <item x="739"/>
        <item x="75"/>
        <item x="680"/>
        <item x="467"/>
        <item x="548"/>
        <item x="181"/>
        <item x="443"/>
        <item x="675"/>
        <item x="152"/>
        <item x="465"/>
        <item x="332"/>
        <item x="478"/>
        <item x="839"/>
        <item x="434"/>
        <item x="345"/>
        <item x="293"/>
        <item x="44"/>
        <item x="439"/>
        <item x="665"/>
        <item x="444"/>
        <item x="259"/>
        <item x="425"/>
        <item x="674"/>
        <item x="704"/>
        <item x="947"/>
        <item t="default"/>
      </items>
    </pivotField>
    <pivotField showAll="0"/>
    <pivotField showAll="0">
      <items count="7">
        <item x="2"/>
        <item x="0"/>
        <item x="1"/>
        <item x="4"/>
        <item x="3"/>
        <item x="5"/>
        <item t="default"/>
      </items>
    </pivotField>
    <pivotField showAll="0">
      <items count="22">
        <item x="7"/>
        <item x="16"/>
        <item x="9"/>
        <item x="14"/>
        <item x="5"/>
        <item x="11"/>
        <item x="12"/>
        <item x="19"/>
        <item x="8"/>
        <item x="4"/>
        <item x="18"/>
        <item x="17"/>
        <item x="0"/>
        <item x="1"/>
        <item x="10"/>
        <item x="2"/>
        <item x="13"/>
        <item x="15"/>
        <item x="6"/>
        <item x="3"/>
        <item x="20"/>
        <item t="default"/>
      </items>
    </pivotField>
    <pivotField showAll="0">
      <items count="6">
        <item x="3"/>
        <item x="2"/>
        <item x="0"/>
        <item x="1"/>
        <item h="1" x="4"/>
        <item t="default"/>
      </items>
    </pivotField>
    <pivotField showAll="0">
      <items count="7">
        <item x="4"/>
        <item x="2"/>
        <item x="1"/>
        <item x="0"/>
        <item x="3"/>
        <item x="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44">
        <item x="28"/>
        <item x="27"/>
        <item x="2"/>
        <item x="23"/>
        <item x="24"/>
        <item x="32"/>
        <item x="31"/>
        <item x="30"/>
        <item x="41"/>
        <item x="12"/>
        <item x="4"/>
        <item x="14"/>
        <item x="13"/>
        <item x="39"/>
        <item x="8"/>
        <item x="16"/>
        <item x="35"/>
        <item x="33"/>
        <item x="25"/>
        <item x="5"/>
        <item x="18"/>
        <item x="15"/>
        <item x="29"/>
        <item x="19"/>
        <item x="17"/>
        <item x="1"/>
        <item x="21"/>
        <item x="38"/>
        <item x="3"/>
        <item x="9"/>
        <item x="36"/>
        <item x="10"/>
        <item x="42"/>
        <item x="7"/>
        <item x="34"/>
        <item x="6"/>
        <item x="40"/>
        <item x="26"/>
        <item x="37"/>
        <item x="22"/>
        <item x="11"/>
        <item x="20"/>
        <item x="0"/>
        <item t="default"/>
      </items>
    </pivotField>
    <pivotField showAll="0">
      <items count="44">
        <item x="28"/>
        <item x="27"/>
        <item x="2"/>
        <item x="23"/>
        <item x="24"/>
        <item x="32"/>
        <item x="31"/>
        <item x="30"/>
        <item x="41"/>
        <item x="12"/>
        <item x="4"/>
        <item x="14"/>
        <item x="13"/>
        <item x="39"/>
        <item x="8"/>
        <item x="16"/>
        <item x="35"/>
        <item x="33"/>
        <item x="25"/>
        <item x="5"/>
        <item x="18"/>
        <item x="15"/>
        <item x="29"/>
        <item x="19"/>
        <item x="17"/>
        <item x="1"/>
        <item x="21"/>
        <item x="38"/>
        <item x="3"/>
        <item x="9"/>
        <item x="36"/>
        <item x="10"/>
        <item x="42"/>
        <item x="7"/>
        <item x="34"/>
        <item x="6"/>
        <item x="40"/>
        <item x="26"/>
        <item x="37"/>
        <item x="22"/>
        <item x="11"/>
        <item x="20"/>
        <item x="0"/>
        <item t="default"/>
      </items>
    </pivotField>
    <pivotField showAll="0">
      <items count="12">
        <item x="5"/>
        <item x="4"/>
        <item x="8"/>
        <item x="1"/>
        <item x="0"/>
        <item x="3"/>
        <item x="9"/>
        <item x="6"/>
        <item x="2"/>
        <item x="7"/>
        <item x="10"/>
        <item t="default"/>
      </items>
    </pivotField>
    <pivotField showAll="0"/>
    <pivotField showAll="0">
      <items count="9">
        <item x="6"/>
        <item x="2"/>
        <item x="4"/>
        <item x="5"/>
        <item x="0"/>
        <item x="1"/>
        <item x="3"/>
        <item x="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UnitPrice" fld="11" subtotal="average" baseField="0" baseItem="0"/>
  </dataFields>
  <formats count="1">
    <format dxfId="2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2795BB-7D62-4CB2-AA9E-4C9C05B012F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74:B79" firstHeaderRow="1" firstDataRow="1" firstDataCol="1"/>
  <pivotFields count="37">
    <pivotField showAll="0"/>
    <pivotField showAll="0">
      <items count="949">
        <item x="916"/>
        <item x="793"/>
        <item x="667"/>
        <item x="684"/>
        <item x="620"/>
        <item x="691"/>
        <item x="103"/>
        <item x="342"/>
        <item x="148"/>
        <item x="395"/>
        <item x="729"/>
        <item x="600"/>
        <item x="597"/>
        <item x="137"/>
        <item x="599"/>
        <item x="107"/>
        <item x="162"/>
        <item x="699"/>
        <item x="286"/>
        <item x="568"/>
        <item x="511"/>
        <item x="757"/>
        <item x="551"/>
        <item x="625"/>
        <item x="354"/>
        <item x="343"/>
        <item x="387"/>
        <item x="269"/>
        <item x="353"/>
        <item x="141"/>
        <item x="845"/>
        <item x="821"/>
        <item x="302"/>
        <item x="82"/>
        <item x="910"/>
        <item x="222"/>
        <item x="239"/>
        <item x="534"/>
        <item x="412"/>
        <item x="418"/>
        <item x="779"/>
        <item x="900"/>
        <item x="113"/>
        <item x="807"/>
        <item x="318"/>
        <item x="892"/>
        <item x="321"/>
        <item x="374"/>
        <item x="59"/>
        <item x="866"/>
        <item x="81"/>
        <item x="3"/>
        <item x="481"/>
        <item x="368"/>
        <item x="77"/>
        <item x="51"/>
        <item x="160"/>
        <item x="315"/>
        <item x="529"/>
        <item x="722"/>
        <item x="183"/>
        <item x="640"/>
        <item x="930"/>
        <item x="397"/>
        <item x="57"/>
        <item x="216"/>
        <item x="891"/>
        <item x="858"/>
        <item x="196"/>
        <item x="683"/>
        <item x="714"/>
        <item x="867"/>
        <item x="523"/>
        <item x="347"/>
        <item x="262"/>
        <item x="301"/>
        <item x="323"/>
        <item x="150"/>
        <item x="134"/>
        <item x="327"/>
        <item x="417"/>
        <item x="491"/>
        <item x="377"/>
        <item x="721"/>
        <item x="364"/>
        <item x="98"/>
        <item x="795"/>
        <item x="149"/>
        <item x="525"/>
        <item x="122"/>
        <item x="614"/>
        <item x="274"/>
        <item x="404"/>
        <item x="151"/>
        <item x="921"/>
        <item x="752"/>
        <item x="844"/>
        <item x="881"/>
        <item x="188"/>
        <item x="319"/>
        <item x="860"/>
        <item x="258"/>
        <item x="946"/>
        <item x="570"/>
        <item x="326"/>
        <item x="581"/>
        <item x="685"/>
        <item x="506"/>
        <item x="775"/>
        <item x="329"/>
        <item x="144"/>
        <item x="736"/>
        <item x="874"/>
        <item x="877"/>
        <item x="552"/>
        <item x="276"/>
        <item x="28"/>
        <item x="786"/>
        <item x="446"/>
        <item x="30"/>
        <item x="275"/>
        <item x="91"/>
        <item x="817"/>
        <item x="454"/>
        <item x="292"/>
        <item x="74"/>
        <item x="791"/>
        <item x="801"/>
        <item x="810"/>
        <item x="285"/>
        <item x="69"/>
        <item x="770"/>
        <item x="5"/>
        <item x="193"/>
        <item x="897"/>
        <item x="299"/>
        <item x="348"/>
        <item x="837"/>
        <item x="941"/>
        <item x="55"/>
        <item x="835"/>
        <item x="831"/>
        <item x="619"/>
        <item x="531"/>
        <item x="932"/>
        <item x="24"/>
        <item x="227"/>
        <item x="904"/>
        <item x="740"/>
        <item x="457"/>
        <item x="11"/>
        <item x="427"/>
        <item x="408"/>
        <item x="346"/>
        <item x="917"/>
        <item x="574"/>
        <item x="546"/>
        <item x="393"/>
        <item x="164"/>
        <item x="316"/>
        <item x="9"/>
        <item x="843"/>
        <item x="935"/>
        <item x="544"/>
        <item x="538"/>
        <item x="396"/>
        <item x="705"/>
        <item x="610"/>
        <item x="328"/>
        <item x="40"/>
        <item x="585"/>
        <item x="245"/>
        <item x="931"/>
        <item x="87"/>
        <item x="456"/>
        <item x="537"/>
        <item x="369"/>
        <item x="808"/>
        <item x="822"/>
        <item x="218"/>
        <item x="750"/>
        <item x="611"/>
        <item x="278"/>
        <item x="53"/>
        <item x="687"/>
        <item x="582"/>
        <item x="488"/>
        <item x="926"/>
        <item x="182"/>
        <item x="71"/>
        <item x="852"/>
        <item x="136"/>
        <item x="942"/>
        <item x="263"/>
        <item x="251"/>
        <item x="504"/>
        <item x="83"/>
        <item x="230"/>
        <item x="211"/>
        <item x="220"/>
        <item x="790"/>
        <item x="703"/>
        <item x="857"/>
        <item x="940"/>
        <item x="204"/>
        <item x="509"/>
        <item x="476"/>
        <item x="330"/>
        <item x="642"/>
        <item x="61"/>
        <item x="388"/>
        <item x="755"/>
        <item x="303"/>
        <item x="349"/>
        <item x="440"/>
        <item x="694"/>
        <item x="730"/>
        <item x="111"/>
        <item x="176"/>
        <item x="644"/>
        <item x="247"/>
        <item x="215"/>
        <item x="901"/>
        <item x="253"/>
        <item x="441"/>
        <item x="929"/>
        <item x="566"/>
        <item x="637"/>
        <item x="732"/>
        <item x="679"/>
        <item x="154"/>
        <item x="257"/>
        <item x="623"/>
        <item x="535"/>
        <item x="747"/>
        <item x="713"/>
        <item x="919"/>
        <item x="846"/>
        <item x="583"/>
        <item x="717"/>
        <item x="653"/>
        <item x="192"/>
        <item x="832"/>
        <item x="402"/>
        <item x="41"/>
        <item x="288"/>
        <item x="414"/>
        <item x="156"/>
        <item x="385"/>
        <item x="340"/>
        <item x="21"/>
        <item x="249"/>
        <item x="451"/>
        <item x="213"/>
        <item x="42"/>
        <item x="281"/>
        <item x="939"/>
        <item x="579"/>
        <item x="219"/>
        <item x="140"/>
        <item x="394"/>
        <item x="271"/>
        <item x="124"/>
        <item x="367"/>
        <item x="792"/>
        <item x="234"/>
        <item x="357"/>
        <item x="731"/>
        <item x="658"/>
        <item x="106"/>
        <item x="530"/>
        <item x="447"/>
        <item x="911"/>
        <item x="197"/>
        <item x="363"/>
        <item x="527"/>
        <item x="101"/>
        <item x="543"/>
        <item x="224"/>
        <item x="695"/>
        <item x="819"/>
        <item x="168"/>
        <item x="233"/>
        <item x="381"/>
        <item x="541"/>
        <item x="829"/>
        <item x="96"/>
        <item x="802"/>
        <item x="890"/>
        <item x="760"/>
        <item x="420"/>
        <item x="350"/>
        <item x="753"/>
        <item x="166"/>
        <item x="62"/>
        <item x="110"/>
        <item x="109"/>
        <item x="449"/>
        <item x="659"/>
        <item x="690"/>
        <item x="76"/>
        <item x="726"/>
        <item x="878"/>
        <item x="734"/>
        <item x="826"/>
        <item x="337"/>
        <item x="676"/>
        <item x="7"/>
        <item x="1"/>
        <item x="324"/>
        <item x="636"/>
        <item x="723"/>
        <item x="944"/>
        <item x="493"/>
        <item x="774"/>
        <item x="360"/>
        <item x="655"/>
        <item x="296"/>
        <item x="502"/>
        <item x="231"/>
        <item x="609"/>
        <item x="788"/>
        <item x="226"/>
        <item x="178"/>
        <item x="80"/>
        <item x="587"/>
        <item x="334"/>
        <item x="403"/>
        <item x="756"/>
        <item x="105"/>
        <item x="66"/>
        <item x="925"/>
        <item x="458"/>
        <item x="696"/>
        <item x="306"/>
        <item x="118"/>
        <item x="32"/>
        <item x="384"/>
        <item x="175"/>
        <item x="871"/>
        <item x="480"/>
        <item x="351"/>
        <item x="872"/>
        <item x="816"/>
        <item x="617"/>
        <item x="382"/>
        <item x="777"/>
        <item x="177"/>
        <item x="853"/>
        <item x="473"/>
        <item x="386"/>
        <item x="252"/>
        <item x="410"/>
        <item x="208"/>
        <item x="261"/>
        <item x="92"/>
        <item x="294"/>
        <item x="780"/>
        <item x="305"/>
        <item x="121"/>
        <item x="562"/>
        <item x="489"/>
        <item x="266"/>
        <item x="513"/>
        <item x="510"/>
        <item x="754"/>
        <item x="237"/>
        <item x="647"/>
        <item x="515"/>
        <item x="672"/>
        <item x="628"/>
        <item x="681"/>
        <item x="924"/>
        <item x="376"/>
        <item x="516"/>
        <item x="475"/>
        <item x="338"/>
        <item x="798"/>
        <item x="565"/>
        <item x="282"/>
        <item x="820"/>
        <item x="228"/>
        <item x="889"/>
        <item x="201"/>
        <item x="766"/>
        <item x="706"/>
        <item x="553"/>
        <item x="836"/>
        <item x="873"/>
        <item x="778"/>
        <item x="749"/>
        <item x="70"/>
        <item x="521"/>
        <item x="194"/>
        <item x="712"/>
        <item x="849"/>
        <item x="58"/>
        <item x="172"/>
        <item x="613"/>
        <item x="33"/>
        <item x="161"/>
        <item x="622"/>
        <item x="406"/>
        <item x="542"/>
        <item x="518"/>
        <item x="260"/>
        <item x="114"/>
        <item x="701"/>
        <item x="173"/>
        <item x="78"/>
        <item x="589"/>
        <item x="366"/>
        <item x="668"/>
        <item x="442"/>
        <item x="738"/>
        <item x="437"/>
        <item x="594"/>
        <item x="603"/>
        <item x="590"/>
        <item x="336"/>
        <item x="759"/>
        <item x="880"/>
        <item x="290"/>
        <item x="812"/>
        <item x="743"/>
        <item x="52"/>
        <item x="20"/>
        <item x="593"/>
        <item x="693"/>
        <item x="207"/>
        <item x="591"/>
        <item x="250"/>
        <item x="190"/>
        <item x="868"/>
        <item x="362"/>
        <item x="470"/>
        <item x="602"/>
        <item x="809"/>
        <item x="455"/>
        <item x="464"/>
        <item x="784"/>
        <item x="898"/>
        <item x="18"/>
        <item x="468"/>
        <item x="399"/>
        <item x="592"/>
        <item x="922"/>
        <item x="606"/>
        <item x="895"/>
        <item x="67"/>
        <item x="666"/>
        <item x="639"/>
        <item x="209"/>
        <item x="539"/>
        <item x="664"/>
        <item x="673"/>
        <item x="10"/>
        <item x="284"/>
        <item x="210"/>
        <item x="909"/>
        <item x="934"/>
        <item x="762"/>
        <item x="918"/>
        <item x="804"/>
        <item x="308"/>
        <item x="339"/>
        <item x="660"/>
        <item x="914"/>
        <item x="400"/>
        <item x="241"/>
        <item x="769"/>
        <item x="358"/>
        <item x="436"/>
        <item x="649"/>
        <item x="378"/>
        <item x="524"/>
        <item x="142"/>
        <item x="796"/>
        <item x="391"/>
        <item x="482"/>
        <item x="477"/>
        <item x="710"/>
        <item x="280"/>
        <item x="533"/>
        <item x="100"/>
        <item x="60"/>
        <item x="23"/>
        <item x="764"/>
        <item x="186"/>
        <item x="331"/>
        <item x="621"/>
        <item x="813"/>
        <item x="171"/>
        <item x="662"/>
        <item x="686"/>
        <item x="450"/>
        <item x="767"/>
        <item x="153"/>
        <item x="805"/>
        <item x="462"/>
        <item x="435"/>
        <item x="268"/>
        <item x="824"/>
        <item x="499"/>
        <item x="155"/>
        <item x="277"/>
        <item x="633"/>
        <item x="307"/>
        <item x="818"/>
        <item x="495"/>
        <item x="652"/>
        <item x="179"/>
        <item x="424"/>
        <item x="365"/>
        <item x="47"/>
        <item x="466"/>
        <item x="742"/>
        <item x="707"/>
        <item x="573"/>
        <item x="670"/>
        <item x="325"/>
        <item x="438"/>
        <item x="158"/>
        <item x="459"/>
        <item x="170"/>
        <item x="545"/>
        <item x="709"/>
        <item x="341"/>
        <item x="716"/>
        <item x="304"/>
        <item x="313"/>
        <item x="584"/>
        <item x="785"/>
        <item x="503"/>
        <item x="116"/>
        <item x="758"/>
        <item x="607"/>
        <item x="273"/>
        <item x="132"/>
        <item x="540"/>
        <item x="283"/>
        <item x="474"/>
        <item x="279"/>
        <item x="64"/>
        <item x="608"/>
        <item x="65"/>
        <item x="651"/>
        <item x="31"/>
        <item x="389"/>
        <item x="29"/>
        <item x="99"/>
        <item x="494"/>
        <item x="191"/>
        <item x="507"/>
        <item x="112"/>
        <item x="669"/>
        <item x="379"/>
        <item x="143"/>
        <item x="913"/>
        <item x="335"/>
        <item x="618"/>
        <item x="896"/>
        <item x="295"/>
        <item x="823"/>
        <item x="34"/>
        <item x="700"/>
        <item x="698"/>
        <item x="715"/>
        <item x="291"/>
        <item x="724"/>
        <item x="159"/>
        <item x="485"/>
        <item x="678"/>
        <item x="514"/>
        <item x="645"/>
        <item x="595"/>
        <item x="746"/>
        <item x="671"/>
        <item x="129"/>
        <item x="501"/>
        <item x="139"/>
        <item x="556"/>
        <item x="906"/>
        <item x="859"/>
        <item x="287"/>
        <item x="26"/>
        <item x="765"/>
        <item x="768"/>
        <item x="689"/>
        <item x="854"/>
        <item x="825"/>
        <item x="37"/>
        <item x="39"/>
        <item x="830"/>
        <item x="855"/>
        <item x="415"/>
        <item x="615"/>
        <item x="0"/>
        <item x="576"/>
        <item x="235"/>
        <item x="88"/>
        <item x="195"/>
        <item x="882"/>
        <item x="928"/>
        <item x="646"/>
        <item x="560"/>
        <item x="90"/>
        <item x="851"/>
        <item x="8"/>
        <item x="16"/>
        <item x="677"/>
        <item x="927"/>
        <item x="433"/>
        <item x="648"/>
        <item x="517"/>
        <item x="508"/>
        <item x="920"/>
        <item x="884"/>
        <item x="25"/>
        <item x="352"/>
        <item x="938"/>
        <item x="445"/>
        <item x="133"/>
        <item x="789"/>
        <item x="256"/>
        <item x="2"/>
        <item x="577"/>
        <item x="43"/>
        <item x="741"/>
        <item x="657"/>
        <item x="63"/>
        <item x="392"/>
        <item x="102"/>
        <item x="492"/>
        <item x="229"/>
        <item x="567"/>
        <item x="15"/>
        <item x="185"/>
        <item x="373"/>
        <item x="85"/>
        <item x="782"/>
        <item x="519"/>
        <item x="850"/>
        <item x="558"/>
        <item x="221"/>
        <item x="907"/>
        <item x="727"/>
        <item x="697"/>
        <item x="416"/>
        <item x="486"/>
        <item x="661"/>
        <item x="663"/>
        <item x="528"/>
        <item x="682"/>
        <item x="865"/>
        <item x="557"/>
        <item x="298"/>
        <item x="243"/>
        <item x="4"/>
        <item x="72"/>
        <item x="719"/>
        <item x="908"/>
        <item x="563"/>
        <item x="520"/>
        <item x="555"/>
        <item x="629"/>
        <item x="267"/>
        <item x="127"/>
        <item x="371"/>
        <item x="688"/>
        <item x="244"/>
        <item x="89"/>
        <item x="422"/>
        <item x="772"/>
        <item x="45"/>
        <item x="297"/>
        <item x="842"/>
        <item x="119"/>
        <item x="265"/>
        <item x="632"/>
        <item x="943"/>
        <item x="505"/>
        <item x="203"/>
        <item x="14"/>
        <item x="320"/>
        <item x="94"/>
        <item x="547"/>
        <item x="847"/>
        <item x="800"/>
        <item x="35"/>
        <item x="169"/>
        <item x="272"/>
        <item x="232"/>
        <item x="899"/>
        <item x="128"/>
        <item x="569"/>
        <item x="692"/>
        <item x="702"/>
        <item x="157"/>
        <item x="799"/>
        <item x="650"/>
        <item x="344"/>
        <item x="453"/>
        <item x="309"/>
        <item x="68"/>
        <item x="787"/>
        <item x="905"/>
        <item x="643"/>
        <item x="863"/>
        <item x="631"/>
        <item x="471"/>
        <item x="571"/>
        <item x="95"/>
        <item x="398"/>
        <item x="725"/>
        <item x="903"/>
        <item x="370"/>
        <item x="123"/>
        <item x="317"/>
        <item x="634"/>
        <item x="794"/>
        <item x="783"/>
        <item x="604"/>
        <item x="624"/>
        <item x="612"/>
        <item x="748"/>
        <item x="238"/>
        <item x="93"/>
        <item x="236"/>
        <item x="56"/>
        <item x="49"/>
        <item x="915"/>
        <item x="815"/>
        <item x="198"/>
        <item x="254"/>
        <item x="189"/>
        <item x="945"/>
        <item x="13"/>
        <item x="117"/>
        <item x="887"/>
        <item x="390"/>
        <item x="223"/>
        <item x="472"/>
        <item x="728"/>
        <item x="311"/>
        <item x="512"/>
        <item x="401"/>
        <item x="902"/>
        <item x="862"/>
        <item x="840"/>
        <item x="586"/>
        <item x="312"/>
        <item x="146"/>
        <item x="596"/>
        <item x="735"/>
        <item x="36"/>
        <item x="97"/>
        <item x="598"/>
        <item x="460"/>
        <item x="214"/>
        <item x="894"/>
        <item x="240"/>
        <item x="827"/>
        <item x="212"/>
        <item x="421"/>
        <item x="46"/>
        <item x="448"/>
        <item x="411"/>
        <item x="310"/>
        <item x="497"/>
        <item x="115"/>
        <item x="526"/>
        <item x="561"/>
        <item x="550"/>
        <item x="483"/>
        <item x="763"/>
        <item x="626"/>
        <item x="361"/>
        <item x="199"/>
        <item x="720"/>
        <item x="937"/>
        <item x="50"/>
        <item x="630"/>
        <item x="461"/>
        <item x="479"/>
        <item x="356"/>
        <item x="834"/>
        <item x="708"/>
        <item x="407"/>
        <item x="848"/>
        <item x="751"/>
        <item x="130"/>
        <item x="744"/>
        <item x="135"/>
        <item x="797"/>
        <item x="549"/>
        <item x="879"/>
        <item x="876"/>
        <item x="776"/>
        <item x="500"/>
        <item x="656"/>
        <item x="167"/>
        <item x="202"/>
        <item x="616"/>
        <item x="452"/>
        <item x="430"/>
        <item x="27"/>
        <item x="120"/>
        <item x="206"/>
        <item x="145"/>
        <item x="131"/>
        <item x="498"/>
        <item x="147"/>
        <item x="73"/>
        <item x="856"/>
        <item x="375"/>
        <item x="432"/>
        <item x="575"/>
        <item x="322"/>
        <item x="522"/>
        <item x="737"/>
        <item x="428"/>
        <item x="108"/>
        <item x="355"/>
        <item x="883"/>
        <item x="828"/>
        <item x="601"/>
        <item x="138"/>
        <item x="84"/>
        <item x="554"/>
        <item x="532"/>
        <item x="496"/>
        <item x="773"/>
        <item x="638"/>
        <item x="200"/>
        <item x="6"/>
        <item x="423"/>
        <item x="125"/>
        <item x="126"/>
        <item x="289"/>
        <item x="627"/>
        <item x="242"/>
        <item x="936"/>
        <item x="104"/>
        <item x="17"/>
        <item x="559"/>
        <item x="19"/>
        <item x="588"/>
        <item x="372"/>
        <item x="79"/>
        <item x="869"/>
        <item x="174"/>
        <item x="248"/>
        <item x="572"/>
        <item x="875"/>
        <item x="246"/>
        <item x="864"/>
        <item x="580"/>
        <item x="225"/>
        <item x="933"/>
        <item x="886"/>
        <item x="22"/>
        <item x="86"/>
        <item x="380"/>
        <item x="841"/>
        <item x="484"/>
        <item x="314"/>
        <item x="733"/>
        <item x="761"/>
        <item x="413"/>
        <item x="806"/>
        <item x="419"/>
        <item x="885"/>
        <item x="641"/>
        <item x="718"/>
        <item x="205"/>
        <item x="187"/>
        <item x="359"/>
        <item x="180"/>
        <item x="870"/>
        <item x="536"/>
        <item x="405"/>
        <item x="833"/>
        <item x="487"/>
        <item x="383"/>
        <item x="923"/>
        <item x="165"/>
        <item x="300"/>
        <item x="426"/>
        <item x="838"/>
        <item x="605"/>
        <item x="333"/>
        <item x="888"/>
        <item x="255"/>
        <item x="564"/>
        <item x="861"/>
        <item x="893"/>
        <item x="469"/>
        <item x="12"/>
        <item x="217"/>
        <item x="654"/>
        <item x="409"/>
        <item x="431"/>
        <item x="635"/>
        <item x="578"/>
        <item x="48"/>
        <item x="490"/>
        <item x="264"/>
        <item x="771"/>
        <item x="270"/>
        <item x="163"/>
        <item x="781"/>
        <item x="54"/>
        <item x="745"/>
        <item x="803"/>
        <item x="38"/>
        <item x="814"/>
        <item x="463"/>
        <item x="811"/>
        <item x="184"/>
        <item x="912"/>
        <item x="429"/>
        <item x="711"/>
        <item x="739"/>
        <item x="75"/>
        <item x="680"/>
        <item x="467"/>
        <item x="548"/>
        <item x="181"/>
        <item x="443"/>
        <item x="675"/>
        <item x="152"/>
        <item x="465"/>
        <item x="332"/>
        <item x="478"/>
        <item x="839"/>
        <item x="434"/>
        <item x="345"/>
        <item x="293"/>
        <item x="44"/>
        <item x="439"/>
        <item x="665"/>
        <item x="444"/>
        <item x="259"/>
        <item x="425"/>
        <item x="674"/>
        <item x="704"/>
        <item x="947"/>
        <item t="default"/>
      </items>
    </pivotField>
    <pivotField showAll="0"/>
    <pivotField showAll="0">
      <items count="7">
        <item x="2"/>
        <item x="0"/>
        <item x="1"/>
        <item x="4"/>
        <item x="3"/>
        <item x="5"/>
        <item t="default"/>
      </items>
    </pivotField>
    <pivotField showAll="0" measureFilter="1" sortType="descending">
      <items count="22">
        <item x="7"/>
        <item x="16"/>
        <item x="9"/>
        <item x="14"/>
        <item x="5"/>
        <item x="11"/>
        <item x="12"/>
        <item x="19"/>
        <item x="8"/>
        <item x="4"/>
        <item x="18"/>
        <item x="17"/>
        <item x="0"/>
        <item x="1"/>
        <item x="10"/>
        <item x="2"/>
        <item x="13"/>
        <item x="15"/>
        <item x="6"/>
        <item x="3"/>
        <item x="20"/>
        <item t="default"/>
      </items>
      <autoSortScope>
        <pivotArea dataOnly="0" outline="0" fieldPosition="0">
          <references count="1">
            <reference field="4294967294" count="1" selected="0">
              <x v="0"/>
            </reference>
          </references>
        </pivotArea>
      </autoSortScope>
    </pivotField>
    <pivotField axis="axisRow" showAll="0" sortType="descending">
      <items count="6">
        <item x="3"/>
        <item x="2"/>
        <item x="0"/>
        <item x="1"/>
        <item h="1" x="4"/>
        <item t="default"/>
      </items>
      <autoSortScope>
        <pivotArea dataOnly="0" outline="0" fieldPosition="0">
          <references count="1">
            <reference field="4294967294" count="1" selected="0">
              <x v="0"/>
            </reference>
          </references>
        </pivotArea>
      </autoSortScope>
    </pivotField>
    <pivotField showAll="0">
      <items count="7">
        <item x="4"/>
        <item x="2"/>
        <item x="1"/>
        <item x="0"/>
        <item x="3"/>
        <item x="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44">
        <item x="28"/>
        <item x="27"/>
        <item x="2"/>
        <item x="23"/>
        <item x="24"/>
        <item x="32"/>
        <item x="31"/>
        <item x="30"/>
        <item x="41"/>
        <item x="12"/>
        <item x="4"/>
        <item x="14"/>
        <item x="13"/>
        <item x="39"/>
        <item x="8"/>
        <item x="16"/>
        <item x="35"/>
        <item x="33"/>
        <item x="25"/>
        <item x="5"/>
        <item x="18"/>
        <item x="15"/>
        <item x="29"/>
        <item x="19"/>
        <item x="17"/>
        <item x="1"/>
        <item x="21"/>
        <item x="38"/>
        <item x="3"/>
        <item x="9"/>
        <item x="36"/>
        <item x="10"/>
        <item x="42"/>
        <item x="7"/>
        <item x="34"/>
        <item x="6"/>
        <item x="40"/>
        <item x="26"/>
        <item x="37"/>
        <item x="22"/>
        <item x="11"/>
        <item x="20"/>
        <item x="0"/>
        <item t="default"/>
      </items>
    </pivotField>
    <pivotField showAll="0">
      <items count="44">
        <item x="28"/>
        <item x="27"/>
        <item x="2"/>
        <item x="23"/>
        <item x="24"/>
        <item x="32"/>
        <item x="31"/>
        <item x="30"/>
        <item x="41"/>
        <item x="12"/>
        <item x="4"/>
        <item x="14"/>
        <item x="13"/>
        <item x="39"/>
        <item x="8"/>
        <item x="16"/>
        <item x="35"/>
        <item x="33"/>
        <item x="25"/>
        <item x="5"/>
        <item x="18"/>
        <item x="15"/>
        <item x="29"/>
        <item x="19"/>
        <item x="17"/>
        <item x="1"/>
        <item x="21"/>
        <item x="38"/>
        <item x="3"/>
        <item x="9"/>
        <item x="36"/>
        <item x="10"/>
        <item x="42"/>
        <item x="7"/>
        <item x="34"/>
        <item x="6"/>
        <item x="40"/>
        <item x="26"/>
        <item x="37"/>
        <item x="22"/>
        <item x="11"/>
        <item x="20"/>
        <item x="0"/>
        <item t="default"/>
      </items>
    </pivotField>
    <pivotField showAll="0" measureFilter="1" sortType="ascending">
      <items count="12">
        <item x="5"/>
        <item x="4"/>
        <item x="8"/>
        <item x="1"/>
        <item x="0"/>
        <item x="3"/>
        <item x="9"/>
        <item x="6"/>
        <item x="2"/>
        <item x="7"/>
        <item x="10"/>
        <item t="default"/>
      </items>
      <autoSortScope>
        <pivotArea dataOnly="0" outline="0" fieldPosition="0">
          <references count="1">
            <reference field="4294967294" count="1" selected="0">
              <x v="0"/>
            </reference>
          </references>
        </pivotArea>
      </autoSortScope>
    </pivotField>
    <pivotField showAll="0"/>
    <pivotField showAll="0">
      <items count="9">
        <item x="6"/>
        <item x="2"/>
        <item x="4"/>
        <item x="5"/>
        <item x="0"/>
        <item x="1"/>
        <item x="3"/>
        <item x="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5">
    <i>
      <x v="2"/>
    </i>
    <i>
      <x v="3"/>
    </i>
    <i>
      <x/>
    </i>
    <i>
      <x v="1"/>
    </i>
    <i t="grand">
      <x/>
    </i>
  </rowItems>
  <colItems count="1">
    <i/>
  </colItems>
  <dataFields count="1">
    <dataField name="Sum of TotalAmount" fld="17" baseField="0" baseItem="0" numFmtId="165"/>
  </dataFields>
  <formats count="1">
    <format dxfId="23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5" type="count" evalOrder="-1" id="1" iMeasureFld="0">
      <autoFilter ref="A1">
        <filterColumn colId="0">
          <top10 val="10" filterVal="10"/>
        </filterColumn>
      </autoFilter>
    </filter>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EA8F14-140A-40FD-B3A1-013138AD62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B13" firstHeaderRow="1" firstDataRow="1" firstDataCol="1"/>
  <pivotFields count="37">
    <pivotField showAll="0"/>
    <pivotField showAll="0">
      <items count="949">
        <item x="916"/>
        <item x="793"/>
        <item x="667"/>
        <item x="684"/>
        <item x="620"/>
        <item x="691"/>
        <item x="103"/>
        <item x="342"/>
        <item x="148"/>
        <item x="395"/>
        <item x="729"/>
        <item x="600"/>
        <item x="597"/>
        <item x="137"/>
        <item x="599"/>
        <item x="107"/>
        <item x="162"/>
        <item x="699"/>
        <item x="286"/>
        <item x="568"/>
        <item x="511"/>
        <item x="757"/>
        <item x="551"/>
        <item x="625"/>
        <item x="354"/>
        <item x="343"/>
        <item x="387"/>
        <item x="269"/>
        <item x="353"/>
        <item x="141"/>
        <item x="845"/>
        <item x="821"/>
        <item x="302"/>
        <item x="82"/>
        <item x="910"/>
        <item x="222"/>
        <item x="239"/>
        <item x="534"/>
        <item x="412"/>
        <item x="418"/>
        <item x="779"/>
        <item x="900"/>
        <item x="113"/>
        <item x="807"/>
        <item x="318"/>
        <item x="892"/>
        <item x="321"/>
        <item x="374"/>
        <item x="59"/>
        <item x="866"/>
        <item x="81"/>
        <item x="3"/>
        <item x="481"/>
        <item x="368"/>
        <item x="77"/>
        <item x="51"/>
        <item x="160"/>
        <item x="315"/>
        <item x="529"/>
        <item x="722"/>
        <item x="183"/>
        <item x="640"/>
        <item x="930"/>
        <item x="397"/>
        <item x="57"/>
        <item x="216"/>
        <item x="891"/>
        <item x="858"/>
        <item x="196"/>
        <item x="683"/>
        <item x="714"/>
        <item x="867"/>
        <item x="523"/>
        <item x="347"/>
        <item x="262"/>
        <item x="301"/>
        <item x="323"/>
        <item x="150"/>
        <item x="134"/>
        <item x="327"/>
        <item x="417"/>
        <item x="491"/>
        <item x="377"/>
        <item x="721"/>
        <item x="364"/>
        <item x="98"/>
        <item x="795"/>
        <item x="149"/>
        <item x="525"/>
        <item x="122"/>
        <item x="614"/>
        <item x="274"/>
        <item x="404"/>
        <item x="151"/>
        <item x="921"/>
        <item x="752"/>
        <item x="844"/>
        <item x="881"/>
        <item x="188"/>
        <item x="319"/>
        <item x="860"/>
        <item x="258"/>
        <item x="946"/>
        <item x="570"/>
        <item x="326"/>
        <item x="581"/>
        <item x="685"/>
        <item x="506"/>
        <item x="775"/>
        <item x="329"/>
        <item x="144"/>
        <item x="736"/>
        <item x="874"/>
        <item x="877"/>
        <item x="552"/>
        <item x="276"/>
        <item x="28"/>
        <item x="786"/>
        <item x="446"/>
        <item x="30"/>
        <item x="275"/>
        <item x="91"/>
        <item x="817"/>
        <item x="454"/>
        <item x="292"/>
        <item x="74"/>
        <item x="791"/>
        <item x="801"/>
        <item x="810"/>
        <item x="285"/>
        <item x="69"/>
        <item x="770"/>
        <item x="5"/>
        <item x="193"/>
        <item x="897"/>
        <item x="299"/>
        <item x="348"/>
        <item x="837"/>
        <item x="941"/>
        <item x="55"/>
        <item x="835"/>
        <item x="831"/>
        <item x="619"/>
        <item x="531"/>
        <item x="932"/>
        <item x="24"/>
        <item x="227"/>
        <item x="904"/>
        <item x="740"/>
        <item x="457"/>
        <item x="11"/>
        <item x="427"/>
        <item x="408"/>
        <item x="346"/>
        <item x="917"/>
        <item x="574"/>
        <item x="546"/>
        <item x="393"/>
        <item x="164"/>
        <item x="316"/>
        <item x="9"/>
        <item x="843"/>
        <item x="935"/>
        <item x="544"/>
        <item x="538"/>
        <item x="396"/>
        <item x="705"/>
        <item x="610"/>
        <item x="328"/>
        <item x="40"/>
        <item x="585"/>
        <item x="245"/>
        <item x="931"/>
        <item x="87"/>
        <item x="456"/>
        <item x="537"/>
        <item x="369"/>
        <item x="808"/>
        <item x="822"/>
        <item x="218"/>
        <item x="750"/>
        <item x="611"/>
        <item x="278"/>
        <item x="53"/>
        <item x="687"/>
        <item x="582"/>
        <item x="488"/>
        <item x="926"/>
        <item x="182"/>
        <item x="71"/>
        <item x="852"/>
        <item x="136"/>
        <item x="942"/>
        <item x="263"/>
        <item x="251"/>
        <item x="504"/>
        <item x="83"/>
        <item x="230"/>
        <item x="211"/>
        <item x="220"/>
        <item x="790"/>
        <item x="703"/>
        <item x="857"/>
        <item x="940"/>
        <item x="204"/>
        <item x="509"/>
        <item x="476"/>
        <item x="330"/>
        <item x="642"/>
        <item x="61"/>
        <item x="388"/>
        <item x="755"/>
        <item x="303"/>
        <item x="349"/>
        <item x="440"/>
        <item x="694"/>
        <item x="730"/>
        <item x="111"/>
        <item x="176"/>
        <item x="644"/>
        <item x="247"/>
        <item x="215"/>
        <item x="901"/>
        <item x="253"/>
        <item x="441"/>
        <item x="929"/>
        <item x="566"/>
        <item x="637"/>
        <item x="732"/>
        <item x="679"/>
        <item x="154"/>
        <item x="257"/>
        <item x="623"/>
        <item x="535"/>
        <item x="747"/>
        <item x="713"/>
        <item x="919"/>
        <item x="846"/>
        <item x="583"/>
        <item x="717"/>
        <item x="653"/>
        <item x="192"/>
        <item x="832"/>
        <item x="402"/>
        <item x="41"/>
        <item x="288"/>
        <item x="414"/>
        <item x="156"/>
        <item x="385"/>
        <item x="340"/>
        <item x="21"/>
        <item x="249"/>
        <item x="451"/>
        <item x="213"/>
        <item x="42"/>
        <item x="281"/>
        <item x="939"/>
        <item x="579"/>
        <item x="219"/>
        <item x="140"/>
        <item x="394"/>
        <item x="271"/>
        <item x="124"/>
        <item x="367"/>
        <item x="792"/>
        <item x="234"/>
        <item x="357"/>
        <item x="731"/>
        <item x="658"/>
        <item x="106"/>
        <item x="530"/>
        <item x="447"/>
        <item x="911"/>
        <item x="197"/>
        <item x="363"/>
        <item x="527"/>
        <item x="101"/>
        <item x="543"/>
        <item x="224"/>
        <item x="695"/>
        <item x="819"/>
        <item x="168"/>
        <item x="233"/>
        <item x="381"/>
        <item x="541"/>
        <item x="829"/>
        <item x="96"/>
        <item x="802"/>
        <item x="890"/>
        <item x="760"/>
        <item x="420"/>
        <item x="350"/>
        <item x="753"/>
        <item x="166"/>
        <item x="62"/>
        <item x="110"/>
        <item x="109"/>
        <item x="449"/>
        <item x="659"/>
        <item x="690"/>
        <item x="76"/>
        <item x="726"/>
        <item x="878"/>
        <item x="734"/>
        <item x="826"/>
        <item x="337"/>
        <item x="676"/>
        <item x="7"/>
        <item x="1"/>
        <item x="324"/>
        <item x="636"/>
        <item x="723"/>
        <item x="944"/>
        <item x="493"/>
        <item x="774"/>
        <item x="360"/>
        <item x="655"/>
        <item x="296"/>
        <item x="502"/>
        <item x="231"/>
        <item x="609"/>
        <item x="788"/>
        <item x="226"/>
        <item x="178"/>
        <item x="80"/>
        <item x="587"/>
        <item x="334"/>
        <item x="403"/>
        <item x="756"/>
        <item x="105"/>
        <item x="66"/>
        <item x="925"/>
        <item x="458"/>
        <item x="696"/>
        <item x="306"/>
        <item x="118"/>
        <item x="32"/>
        <item x="384"/>
        <item x="175"/>
        <item x="871"/>
        <item x="480"/>
        <item x="351"/>
        <item x="872"/>
        <item x="816"/>
        <item x="617"/>
        <item x="382"/>
        <item x="777"/>
        <item x="177"/>
        <item x="853"/>
        <item x="473"/>
        <item x="386"/>
        <item x="252"/>
        <item x="410"/>
        <item x="208"/>
        <item x="261"/>
        <item x="92"/>
        <item x="294"/>
        <item x="780"/>
        <item x="305"/>
        <item x="121"/>
        <item x="562"/>
        <item x="489"/>
        <item x="266"/>
        <item x="513"/>
        <item x="510"/>
        <item x="754"/>
        <item x="237"/>
        <item x="647"/>
        <item x="515"/>
        <item x="672"/>
        <item x="628"/>
        <item x="681"/>
        <item x="924"/>
        <item x="376"/>
        <item x="516"/>
        <item x="475"/>
        <item x="338"/>
        <item x="798"/>
        <item x="565"/>
        <item x="282"/>
        <item x="820"/>
        <item x="228"/>
        <item x="889"/>
        <item x="201"/>
        <item x="766"/>
        <item x="706"/>
        <item x="553"/>
        <item x="836"/>
        <item x="873"/>
        <item x="778"/>
        <item x="749"/>
        <item x="70"/>
        <item x="521"/>
        <item x="194"/>
        <item x="712"/>
        <item x="849"/>
        <item x="58"/>
        <item x="172"/>
        <item x="613"/>
        <item x="33"/>
        <item x="161"/>
        <item x="622"/>
        <item x="406"/>
        <item x="542"/>
        <item x="518"/>
        <item x="260"/>
        <item x="114"/>
        <item x="701"/>
        <item x="173"/>
        <item x="78"/>
        <item x="589"/>
        <item x="366"/>
        <item x="668"/>
        <item x="442"/>
        <item x="738"/>
        <item x="437"/>
        <item x="594"/>
        <item x="603"/>
        <item x="590"/>
        <item x="336"/>
        <item x="759"/>
        <item x="880"/>
        <item x="290"/>
        <item x="812"/>
        <item x="743"/>
        <item x="52"/>
        <item x="20"/>
        <item x="593"/>
        <item x="693"/>
        <item x="207"/>
        <item x="591"/>
        <item x="250"/>
        <item x="190"/>
        <item x="868"/>
        <item x="362"/>
        <item x="470"/>
        <item x="602"/>
        <item x="809"/>
        <item x="455"/>
        <item x="464"/>
        <item x="784"/>
        <item x="898"/>
        <item x="18"/>
        <item x="468"/>
        <item x="399"/>
        <item x="592"/>
        <item x="922"/>
        <item x="606"/>
        <item x="895"/>
        <item x="67"/>
        <item x="666"/>
        <item x="639"/>
        <item x="209"/>
        <item x="539"/>
        <item x="664"/>
        <item x="673"/>
        <item x="10"/>
        <item x="284"/>
        <item x="210"/>
        <item x="909"/>
        <item x="934"/>
        <item x="762"/>
        <item x="918"/>
        <item x="804"/>
        <item x="308"/>
        <item x="339"/>
        <item x="660"/>
        <item x="914"/>
        <item x="400"/>
        <item x="241"/>
        <item x="769"/>
        <item x="358"/>
        <item x="436"/>
        <item x="649"/>
        <item x="378"/>
        <item x="524"/>
        <item x="142"/>
        <item x="796"/>
        <item x="391"/>
        <item x="482"/>
        <item x="477"/>
        <item x="710"/>
        <item x="280"/>
        <item x="533"/>
        <item x="100"/>
        <item x="60"/>
        <item x="23"/>
        <item x="764"/>
        <item x="186"/>
        <item x="331"/>
        <item x="621"/>
        <item x="813"/>
        <item x="171"/>
        <item x="662"/>
        <item x="686"/>
        <item x="450"/>
        <item x="767"/>
        <item x="153"/>
        <item x="805"/>
        <item x="462"/>
        <item x="435"/>
        <item x="268"/>
        <item x="824"/>
        <item x="499"/>
        <item x="155"/>
        <item x="277"/>
        <item x="633"/>
        <item x="307"/>
        <item x="818"/>
        <item x="495"/>
        <item x="652"/>
        <item x="179"/>
        <item x="424"/>
        <item x="365"/>
        <item x="47"/>
        <item x="466"/>
        <item x="742"/>
        <item x="707"/>
        <item x="573"/>
        <item x="670"/>
        <item x="325"/>
        <item x="438"/>
        <item x="158"/>
        <item x="459"/>
        <item x="170"/>
        <item x="545"/>
        <item x="709"/>
        <item x="341"/>
        <item x="716"/>
        <item x="304"/>
        <item x="313"/>
        <item x="584"/>
        <item x="785"/>
        <item x="503"/>
        <item x="116"/>
        <item x="758"/>
        <item x="607"/>
        <item x="273"/>
        <item x="132"/>
        <item x="540"/>
        <item x="283"/>
        <item x="474"/>
        <item x="279"/>
        <item x="64"/>
        <item x="608"/>
        <item x="65"/>
        <item x="651"/>
        <item x="31"/>
        <item x="389"/>
        <item x="29"/>
        <item x="99"/>
        <item x="494"/>
        <item x="191"/>
        <item x="507"/>
        <item x="112"/>
        <item x="669"/>
        <item x="379"/>
        <item x="143"/>
        <item x="913"/>
        <item x="335"/>
        <item x="618"/>
        <item x="896"/>
        <item x="295"/>
        <item x="823"/>
        <item x="34"/>
        <item x="700"/>
        <item x="698"/>
        <item x="715"/>
        <item x="291"/>
        <item x="724"/>
        <item x="159"/>
        <item x="485"/>
        <item x="678"/>
        <item x="514"/>
        <item x="645"/>
        <item x="595"/>
        <item x="746"/>
        <item x="671"/>
        <item x="129"/>
        <item x="501"/>
        <item x="139"/>
        <item x="556"/>
        <item x="906"/>
        <item x="859"/>
        <item x="287"/>
        <item x="26"/>
        <item x="765"/>
        <item x="768"/>
        <item x="689"/>
        <item x="854"/>
        <item x="825"/>
        <item x="37"/>
        <item x="39"/>
        <item x="830"/>
        <item x="855"/>
        <item x="415"/>
        <item x="615"/>
        <item x="0"/>
        <item x="576"/>
        <item x="235"/>
        <item x="88"/>
        <item x="195"/>
        <item x="882"/>
        <item x="928"/>
        <item x="646"/>
        <item x="560"/>
        <item x="90"/>
        <item x="851"/>
        <item x="8"/>
        <item x="16"/>
        <item x="677"/>
        <item x="927"/>
        <item x="433"/>
        <item x="648"/>
        <item x="517"/>
        <item x="508"/>
        <item x="920"/>
        <item x="884"/>
        <item x="25"/>
        <item x="352"/>
        <item x="938"/>
        <item x="445"/>
        <item x="133"/>
        <item x="789"/>
        <item x="256"/>
        <item x="2"/>
        <item x="577"/>
        <item x="43"/>
        <item x="741"/>
        <item x="657"/>
        <item x="63"/>
        <item x="392"/>
        <item x="102"/>
        <item x="492"/>
        <item x="229"/>
        <item x="567"/>
        <item x="15"/>
        <item x="185"/>
        <item x="373"/>
        <item x="85"/>
        <item x="782"/>
        <item x="519"/>
        <item x="850"/>
        <item x="558"/>
        <item x="221"/>
        <item x="907"/>
        <item x="727"/>
        <item x="697"/>
        <item x="416"/>
        <item x="486"/>
        <item x="661"/>
        <item x="663"/>
        <item x="528"/>
        <item x="682"/>
        <item x="865"/>
        <item x="557"/>
        <item x="298"/>
        <item x="243"/>
        <item x="4"/>
        <item x="72"/>
        <item x="719"/>
        <item x="908"/>
        <item x="563"/>
        <item x="520"/>
        <item x="555"/>
        <item x="629"/>
        <item x="267"/>
        <item x="127"/>
        <item x="371"/>
        <item x="688"/>
        <item x="244"/>
        <item x="89"/>
        <item x="422"/>
        <item x="772"/>
        <item x="45"/>
        <item x="297"/>
        <item x="842"/>
        <item x="119"/>
        <item x="265"/>
        <item x="632"/>
        <item x="943"/>
        <item x="505"/>
        <item x="203"/>
        <item x="14"/>
        <item x="320"/>
        <item x="94"/>
        <item x="547"/>
        <item x="847"/>
        <item x="800"/>
        <item x="35"/>
        <item x="169"/>
        <item x="272"/>
        <item x="232"/>
        <item x="899"/>
        <item x="128"/>
        <item x="569"/>
        <item x="692"/>
        <item x="702"/>
        <item x="157"/>
        <item x="799"/>
        <item x="650"/>
        <item x="344"/>
        <item x="453"/>
        <item x="309"/>
        <item x="68"/>
        <item x="787"/>
        <item x="905"/>
        <item x="643"/>
        <item x="863"/>
        <item x="631"/>
        <item x="471"/>
        <item x="571"/>
        <item x="95"/>
        <item x="398"/>
        <item x="725"/>
        <item x="903"/>
        <item x="370"/>
        <item x="123"/>
        <item x="317"/>
        <item x="634"/>
        <item x="794"/>
        <item x="783"/>
        <item x="604"/>
        <item x="624"/>
        <item x="612"/>
        <item x="748"/>
        <item x="238"/>
        <item x="93"/>
        <item x="236"/>
        <item x="56"/>
        <item x="49"/>
        <item x="915"/>
        <item x="815"/>
        <item x="198"/>
        <item x="254"/>
        <item x="189"/>
        <item x="945"/>
        <item x="13"/>
        <item x="117"/>
        <item x="887"/>
        <item x="390"/>
        <item x="223"/>
        <item x="472"/>
        <item x="728"/>
        <item x="311"/>
        <item x="512"/>
        <item x="401"/>
        <item x="902"/>
        <item x="862"/>
        <item x="840"/>
        <item x="586"/>
        <item x="312"/>
        <item x="146"/>
        <item x="596"/>
        <item x="735"/>
        <item x="36"/>
        <item x="97"/>
        <item x="598"/>
        <item x="460"/>
        <item x="214"/>
        <item x="894"/>
        <item x="240"/>
        <item x="827"/>
        <item x="212"/>
        <item x="421"/>
        <item x="46"/>
        <item x="448"/>
        <item x="411"/>
        <item x="310"/>
        <item x="497"/>
        <item x="115"/>
        <item x="526"/>
        <item x="561"/>
        <item x="550"/>
        <item x="483"/>
        <item x="763"/>
        <item x="626"/>
        <item x="361"/>
        <item x="199"/>
        <item x="720"/>
        <item x="937"/>
        <item x="50"/>
        <item x="630"/>
        <item x="461"/>
        <item x="479"/>
        <item x="356"/>
        <item x="834"/>
        <item x="708"/>
        <item x="407"/>
        <item x="848"/>
        <item x="751"/>
        <item x="130"/>
        <item x="744"/>
        <item x="135"/>
        <item x="797"/>
        <item x="549"/>
        <item x="879"/>
        <item x="876"/>
        <item x="776"/>
        <item x="500"/>
        <item x="656"/>
        <item x="167"/>
        <item x="202"/>
        <item x="616"/>
        <item x="452"/>
        <item x="430"/>
        <item x="27"/>
        <item x="120"/>
        <item x="206"/>
        <item x="145"/>
        <item x="131"/>
        <item x="498"/>
        <item x="147"/>
        <item x="73"/>
        <item x="856"/>
        <item x="375"/>
        <item x="432"/>
        <item x="575"/>
        <item x="322"/>
        <item x="522"/>
        <item x="737"/>
        <item x="428"/>
        <item x="108"/>
        <item x="355"/>
        <item x="883"/>
        <item x="828"/>
        <item x="601"/>
        <item x="138"/>
        <item x="84"/>
        <item x="554"/>
        <item x="532"/>
        <item x="496"/>
        <item x="773"/>
        <item x="638"/>
        <item x="200"/>
        <item x="6"/>
        <item x="423"/>
        <item x="125"/>
        <item x="126"/>
        <item x="289"/>
        <item x="627"/>
        <item x="242"/>
        <item x="936"/>
        <item x="104"/>
        <item x="17"/>
        <item x="559"/>
        <item x="19"/>
        <item x="588"/>
        <item x="372"/>
        <item x="79"/>
        <item x="869"/>
        <item x="174"/>
        <item x="248"/>
        <item x="572"/>
        <item x="875"/>
        <item x="246"/>
        <item x="864"/>
        <item x="580"/>
        <item x="225"/>
        <item x="933"/>
        <item x="886"/>
        <item x="22"/>
        <item x="86"/>
        <item x="380"/>
        <item x="841"/>
        <item x="484"/>
        <item x="314"/>
        <item x="733"/>
        <item x="761"/>
        <item x="413"/>
        <item x="806"/>
        <item x="419"/>
        <item x="885"/>
        <item x="641"/>
        <item x="718"/>
        <item x="205"/>
        <item x="187"/>
        <item x="359"/>
        <item x="180"/>
        <item x="870"/>
        <item x="536"/>
        <item x="405"/>
        <item x="833"/>
        <item x="487"/>
        <item x="383"/>
        <item x="923"/>
        <item x="165"/>
        <item x="300"/>
        <item x="426"/>
        <item x="838"/>
        <item x="605"/>
        <item x="333"/>
        <item x="888"/>
        <item x="255"/>
        <item x="564"/>
        <item x="861"/>
        <item x="893"/>
        <item x="469"/>
        <item x="12"/>
        <item x="217"/>
        <item x="654"/>
        <item x="409"/>
        <item x="431"/>
        <item x="635"/>
        <item x="578"/>
        <item x="48"/>
        <item x="490"/>
        <item x="264"/>
        <item x="771"/>
        <item x="270"/>
        <item x="163"/>
        <item x="781"/>
        <item x="54"/>
        <item x="745"/>
        <item x="803"/>
        <item x="38"/>
        <item x="814"/>
        <item x="463"/>
        <item x="811"/>
        <item x="184"/>
        <item x="912"/>
        <item x="429"/>
        <item x="711"/>
        <item x="739"/>
        <item x="75"/>
        <item x="680"/>
        <item x="467"/>
        <item x="548"/>
        <item x="181"/>
        <item x="443"/>
        <item x="675"/>
        <item x="152"/>
        <item x="465"/>
        <item x="332"/>
        <item x="478"/>
        <item x="839"/>
        <item x="434"/>
        <item x="345"/>
        <item x="293"/>
        <item x="44"/>
        <item x="439"/>
        <item x="665"/>
        <item x="444"/>
        <item x="259"/>
        <item x="425"/>
        <item x="674"/>
        <item x="704"/>
        <item x="947"/>
        <item t="default"/>
      </items>
    </pivotField>
    <pivotField showAll="0"/>
    <pivotField showAll="0">
      <items count="7">
        <item x="2"/>
        <item x="0"/>
        <item x="1"/>
        <item x="4"/>
        <item x="3"/>
        <item x="5"/>
        <item t="default"/>
      </items>
    </pivotField>
    <pivotField showAll="0"/>
    <pivotField showAll="0"/>
    <pivotField showAll="0">
      <items count="7">
        <item x="4"/>
        <item x="2"/>
        <item x="1"/>
        <item x="0"/>
        <item x="3"/>
        <item x="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44">
        <item x="28"/>
        <item x="27"/>
        <item x="2"/>
        <item x="23"/>
        <item x="24"/>
        <item x="32"/>
        <item x="31"/>
        <item x="30"/>
        <item x="41"/>
        <item x="12"/>
        <item x="4"/>
        <item x="14"/>
        <item x="13"/>
        <item x="39"/>
        <item x="8"/>
        <item x="16"/>
        <item x="35"/>
        <item x="33"/>
        <item x="25"/>
        <item x="5"/>
        <item x="18"/>
        <item x="15"/>
        <item x="29"/>
        <item x="19"/>
        <item x="17"/>
        <item x="1"/>
        <item x="21"/>
        <item x="38"/>
        <item x="3"/>
        <item x="9"/>
        <item x="36"/>
        <item x="10"/>
        <item x="42"/>
        <item x="7"/>
        <item x="34"/>
        <item x="6"/>
        <item x="40"/>
        <item x="26"/>
        <item x="37"/>
        <item x="22"/>
        <item x="11"/>
        <item x="20"/>
        <item x="0"/>
        <item t="default"/>
      </items>
    </pivotField>
    <pivotField showAll="0">
      <items count="44">
        <item x="28"/>
        <item x="27"/>
        <item x="2"/>
        <item x="23"/>
        <item x="24"/>
        <item x="32"/>
        <item x="31"/>
        <item x="30"/>
        <item x="41"/>
        <item x="12"/>
        <item x="4"/>
        <item x="14"/>
        <item x="13"/>
        <item x="39"/>
        <item x="8"/>
        <item x="16"/>
        <item x="35"/>
        <item x="33"/>
        <item x="25"/>
        <item x="5"/>
        <item x="18"/>
        <item x="15"/>
        <item x="29"/>
        <item x="19"/>
        <item x="17"/>
        <item x="1"/>
        <item x="21"/>
        <item x="38"/>
        <item x="3"/>
        <item x="9"/>
        <item x="36"/>
        <item x="10"/>
        <item x="42"/>
        <item x="7"/>
        <item x="34"/>
        <item x="6"/>
        <item x="40"/>
        <item x="26"/>
        <item x="37"/>
        <item x="22"/>
        <item x="11"/>
        <item x="20"/>
        <item x="0"/>
        <item t="default"/>
      </items>
    </pivotField>
    <pivotField axis="axisRow" showAll="0">
      <items count="12">
        <item x="5"/>
        <item x="4"/>
        <item x="8"/>
        <item x="1"/>
        <item x="0"/>
        <item x="3"/>
        <item x="9"/>
        <item x="6"/>
        <item x="2"/>
        <item x="7"/>
        <item h="1" x="1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5"/>
  </rowFields>
  <rowItems count="11">
    <i>
      <x/>
    </i>
    <i>
      <x v="1"/>
    </i>
    <i>
      <x v="2"/>
    </i>
    <i>
      <x v="3"/>
    </i>
    <i>
      <x v="4"/>
    </i>
    <i>
      <x v="5"/>
    </i>
    <i>
      <x v="6"/>
    </i>
    <i>
      <x v="7"/>
    </i>
    <i>
      <x v="8"/>
    </i>
    <i>
      <x v="9"/>
    </i>
    <i t="grand">
      <x/>
    </i>
  </rowItems>
  <colItems count="1">
    <i/>
  </colItems>
  <dataFields count="1">
    <dataField name="Sum of TotalAmount" fld="17" baseField="0" baseItem="0"/>
  </dataFields>
  <formats count="1">
    <format dxfId="231">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9EADB1-071A-445A-AD97-8CEB155CFCE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93:B106" firstHeaderRow="1" firstDataRow="1" firstDataCol="1"/>
  <pivotFields count="37">
    <pivotField showAll="0"/>
    <pivotField showAll="0">
      <items count="949">
        <item x="916"/>
        <item x="793"/>
        <item x="667"/>
        <item x="684"/>
        <item x="620"/>
        <item x="691"/>
        <item x="103"/>
        <item x="342"/>
        <item x="148"/>
        <item x="395"/>
        <item x="729"/>
        <item x="600"/>
        <item x="597"/>
        <item x="137"/>
        <item x="599"/>
        <item x="107"/>
        <item x="162"/>
        <item x="699"/>
        <item x="286"/>
        <item x="568"/>
        <item x="511"/>
        <item x="757"/>
        <item x="551"/>
        <item x="625"/>
        <item x="354"/>
        <item x="343"/>
        <item x="387"/>
        <item x="269"/>
        <item x="353"/>
        <item x="141"/>
        <item x="845"/>
        <item x="821"/>
        <item x="302"/>
        <item x="82"/>
        <item x="910"/>
        <item x="222"/>
        <item x="239"/>
        <item x="534"/>
        <item x="412"/>
        <item x="418"/>
        <item x="779"/>
        <item x="900"/>
        <item x="113"/>
        <item x="807"/>
        <item x="318"/>
        <item x="892"/>
        <item x="321"/>
        <item x="374"/>
        <item x="59"/>
        <item x="866"/>
        <item x="81"/>
        <item x="3"/>
        <item x="481"/>
        <item x="368"/>
        <item x="77"/>
        <item x="51"/>
        <item x="160"/>
        <item x="315"/>
        <item x="529"/>
        <item x="722"/>
        <item x="183"/>
        <item x="640"/>
        <item x="930"/>
        <item x="397"/>
        <item x="57"/>
        <item x="216"/>
        <item x="891"/>
        <item x="858"/>
        <item x="196"/>
        <item x="683"/>
        <item x="714"/>
        <item x="867"/>
        <item x="523"/>
        <item x="347"/>
        <item x="262"/>
        <item x="301"/>
        <item x="323"/>
        <item x="150"/>
        <item x="134"/>
        <item x="327"/>
        <item x="417"/>
        <item x="491"/>
        <item x="377"/>
        <item x="721"/>
        <item x="364"/>
        <item x="98"/>
        <item x="795"/>
        <item x="149"/>
        <item x="525"/>
        <item x="122"/>
        <item x="614"/>
        <item x="274"/>
        <item x="404"/>
        <item x="151"/>
        <item x="921"/>
        <item x="752"/>
        <item x="844"/>
        <item x="881"/>
        <item x="188"/>
        <item x="319"/>
        <item x="860"/>
        <item x="258"/>
        <item x="946"/>
        <item x="570"/>
        <item x="326"/>
        <item x="581"/>
        <item x="685"/>
        <item x="506"/>
        <item x="775"/>
        <item x="329"/>
        <item x="144"/>
        <item x="736"/>
        <item x="874"/>
        <item x="877"/>
        <item x="552"/>
        <item x="276"/>
        <item x="28"/>
        <item x="786"/>
        <item x="446"/>
        <item x="30"/>
        <item x="275"/>
        <item x="91"/>
        <item x="817"/>
        <item x="454"/>
        <item x="292"/>
        <item x="74"/>
        <item x="791"/>
        <item x="801"/>
        <item x="810"/>
        <item x="285"/>
        <item x="69"/>
        <item x="770"/>
        <item x="5"/>
        <item x="193"/>
        <item x="897"/>
        <item x="299"/>
        <item x="348"/>
        <item x="837"/>
        <item x="941"/>
        <item x="55"/>
        <item x="835"/>
        <item x="831"/>
        <item x="619"/>
        <item x="531"/>
        <item x="932"/>
        <item x="24"/>
        <item x="227"/>
        <item x="904"/>
        <item x="740"/>
        <item x="457"/>
        <item x="11"/>
        <item x="427"/>
        <item x="408"/>
        <item x="346"/>
        <item x="917"/>
        <item x="574"/>
        <item x="546"/>
        <item x="393"/>
        <item x="164"/>
        <item x="316"/>
        <item x="9"/>
        <item x="843"/>
        <item x="935"/>
        <item x="544"/>
        <item x="538"/>
        <item x="396"/>
        <item x="705"/>
        <item x="610"/>
        <item x="328"/>
        <item x="40"/>
        <item x="585"/>
        <item x="245"/>
        <item x="931"/>
        <item x="87"/>
        <item x="456"/>
        <item x="537"/>
        <item x="369"/>
        <item x="808"/>
        <item x="822"/>
        <item x="218"/>
        <item x="750"/>
        <item x="611"/>
        <item x="278"/>
        <item x="53"/>
        <item x="687"/>
        <item x="582"/>
        <item x="488"/>
        <item x="926"/>
        <item x="182"/>
        <item x="71"/>
        <item x="852"/>
        <item x="136"/>
        <item x="942"/>
        <item x="263"/>
        <item x="251"/>
        <item x="504"/>
        <item x="83"/>
        <item x="230"/>
        <item x="211"/>
        <item x="220"/>
        <item x="790"/>
        <item x="703"/>
        <item x="857"/>
        <item x="940"/>
        <item x="204"/>
        <item x="509"/>
        <item x="476"/>
        <item x="330"/>
        <item x="642"/>
        <item x="61"/>
        <item x="388"/>
        <item x="755"/>
        <item x="303"/>
        <item x="349"/>
        <item x="440"/>
        <item x="694"/>
        <item x="730"/>
        <item x="111"/>
        <item x="176"/>
        <item x="644"/>
        <item x="247"/>
        <item x="215"/>
        <item x="901"/>
        <item x="253"/>
        <item x="441"/>
        <item x="929"/>
        <item x="566"/>
        <item x="637"/>
        <item x="732"/>
        <item x="679"/>
        <item x="154"/>
        <item x="257"/>
        <item x="623"/>
        <item x="535"/>
        <item x="747"/>
        <item x="713"/>
        <item x="919"/>
        <item x="846"/>
        <item x="583"/>
        <item x="717"/>
        <item x="653"/>
        <item x="192"/>
        <item x="832"/>
        <item x="402"/>
        <item x="41"/>
        <item x="288"/>
        <item x="414"/>
        <item x="156"/>
        <item x="385"/>
        <item x="340"/>
        <item x="21"/>
        <item x="249"/>
        <item x="451"/>
        <item x="213"/>
        <item x="42"/>
        <item x="281"/>
        <item x="939"/>
        <item x="579"/>
        <item x="219"/>
        <item x="140"/>
        <item x="394"/>
        <item x="271"/>
        <item x="124"/>
        <item x="367"/>
        <item x="792"/>
        <item x="234"/>
        <item x="357"/>
        <item x="731"/>
        <item x="658"/>
        <item x="106"/>
        <item x="530"/>
        <item x="447"/>
        <item x="911"/>
        <item x="197"/>
        <item x="363"/>
        <item x="527"/>
        <item x="101"/>
        <item x="543"/>
        <item x="224"/>
        <item x="695"/>
        <item x="819"/>
        <item x="168"/>
        <item x="233"/>
        <item x="381"/>
        <item x="541"/>
        <item x="829"/>
        <item x="96"/>
        <item x="802"/>
        <item x="890"/>
        <item x="760"/>
        <item x="420"/>
        <item x="350"/>
        <item x="753"/>
        <item x="166"/>
        <item x="62"/>
        <item x="110"/>
        <item x="109"/>
        <item x="449"/>
        <item x="659"/>
        <item x="690"/>
        <item x="76"/>
        <item x="726"/>
        <item x="878"/>
        <item x="734"/>
        <item x="826"/>
        <item x="337"/>
        <item x="676"/>
        <item x="7"/>
        <item x="1"/>
        <item x="324"/>
        <item x="636"/>
        <item x="723"/>
        <item x="944"/>
        <item x="493"/>
        <item x="774"/>
        <item x="360"/>
        <item x="655"/>
        <item x="296"/>
        <item x="502"/>
        <item x="231"/>
        <item x="609"/>
        <item x="788"/>
        <item x="226"/>
        <item x="178"/>
        <item x="80"/>
        <item x="587"/>
        <item x="334"/>
        <item x="403"/>
        <item x="756"/>
        <item x="105"/>
        <item x="66"/>
        <item x="925"/>
        <item x="458"/>
        <item x="696"/>
        <item x="306"/>
        <item x="118"/>
        <item x="32"/>
        <item x="384"/>
        <item x="175"/>
        <item x="871"/>
        <item x="480"/>
        <item x="351"/>
        <item x="872"/>
        <item x="816"/>
        <item x="617"/>
        <item x="382"/>
        <item x="777"/>
        <item x="177"/>
        <item x="853"/>
        <item x="473"/>
        <item x="386"/>
        <item x="252"/>
        <item x="410"/>
        <item x="208"/>
        <item x="261"/>
        <item x="92"/>
        <item x="294"/>
        <item x="780"/>
        <item x="305"/>
        <item x="121"/>
        <item x="562"/>
        <item x="489"/>
        <item x="266"/>
        <item x="513"/>
        <item x="510"/>
        <item x="754"/>
        <item x="237"/>
        <item x="647"/>
        <item x="515"/>
        <item x="672"/>
        <item x="628"/>
        <item x="681"/>
        <item x="924"/>
        <item x="376"/>
        <item x="516"/>
        <item x="475"/>
        <item x="338"/>
        <item x="798"/>
        <item x="565"/>
        <item x="282"/>
        <item x="820"/>
        <item x="228"/>
        <item x="889"/>
        <item x="201"/>
        <item x="766"/>
        <item x="706"/>
        <item x="553"/>
        <item x="836"/>
        <item x="873"/>
        <item x="778"/>
        <item x="749"/>
        <item x="70"/>
        <item x="521"/>
        <item x="194"/>
        <item x="712"/>
        <item x="849"/>
        <item x="58"/>
        <item x="172"/>
        <item x="613"/>
        <item x="33"/>
        <item x="161"/>
        <item x="622"/>
        <item x="406"/>
        <item x="542"/>
        <item x="518"/>
        <item x="260"/>
        <item x="114"/>
        <item x="701"/>
        <item x="173"/>
        <item x="78"/>
        <item x="589"/>
        <item x="366"/>
        <item x="668"/>
        <item x="442"/>
        <item x="738"/>
        <item x="437"/>
        <item x="594"/>
        <item x="603"/>
        <item x="590"/>
        <item x="336"/>
        <item x="759"/>
        <item x="880"/>
        <item x="290"/>
        <item x="812"/>
        <item x="743"/>
        <item x="52"/>
        <item x="20"/>
        <item x="593"/>
        <item x="693"/>
        <item x="207"/>
        <item x="591"/>
        <item x="250"/>
        <item x="190"/>
        <item x="868"/>
        <item x="362"/>
        <item x="470"/>
        <item x="602"/>
        <item x="809"/>
        <item x="455"/>
        <item x="464"/>
        <item x="784"/>
        <item x="898"/>
        <item x="18"/>
        <item x="468"/>
        <item x="399"/>
        <item x="592"/>
        <item x="922"/>
        <item x="606"/>
        <item x="895"/>
        <item x="67"/>
        <item x="666"/>
        <item x="639"/>
        <item x="209"/>
        <item x="539"/>
        <item x="664"/>
        <item x="673"/>
        <item x="10"/>
        <item x="284"/>
        <item x="210"/>
        <item x="909"/>
        <item x="934"/>
        <item x="762"/>
        <item x="918"/>
        <item x="804"/>
        <item x="308"/>
        <item x="339"/>
        <item x="660"/>
        <item x="914"/>
        <item x="400"/>
        <item x="241"/>
        <item x="769"/>
        <item x="358"/>
        <item x="436"/>
        <item x="649"/>
        <item x="378"/>
        <item x="524"/>
        <item x="142"/>
        <item x="796"/>
        <item x="391"/>
        <item x="482"/>
        <item x="477"/>
        <item x="710"/>
        <item x="280"/>
        <item x="533"/>
        <item x="100"/>
        <item x="60"/>
        <item x="23"/>
        <item x="764"/>
        <item x="186"/>
        <item x="331"/>
        <item x="621"/>
        <item x="813"/>
        <item x="171"/>
        <item x="662"/>
        <item x="686"/>
        <item x="450"/>
        <item x="767"/>
        <item x="153"/>
        <item x="805"/>
        <item x="462"/>
        <item x="435"/>
        <item x="268"/>
        <item x="824"/>
        <item x="499"/>
        <item x="155"/>
        <item x="277"/>
        <item x="633"/>
        <item x="307"/>
        <item x="818"/>
        <item x="495"/>
        <item x="652"/>
        <item x="179"/>
        <item x="424"/>
        <item x="365"/>
        <item x="47"/>
        <item x="466"/>
        <item x="742"/>
        <item x="707"/>
        <item x="573"/>
        <item x="670"/>
        <item x="325"/>
        <item x="438"/>
        <item x="158"/>
        <item x="459"/>
        <item x="170"/>
        <item x="545"/>
        <item x="709"/>
        <item x="341"/>
        <item x="716"/>
        <item x="304"/>
        <item x="313"/>
        <item x="584"/>
        <item x="785"/>
        <item x="503"/>
        <item x="116"/>
        <item x="758"/>
        <item x="607"/>
        <item x="273"/>
        <item x="132"/>
        <item x="540"/>
        <item x="283"/>
        <item x="474"/>
        <item x="279"/>
        <item x="64"/>
        <item x="608"/>
        <item x="65"/>
        <item x="651"/>
        <item x="31"/>
        <item x="389"/>
        <item x="29"/>
        <item x="99"/>
        <item x="494"/>
        <item x="191"/>
        <item x="507"/>
        <item x="112"/>
        <item x="669"/>
        <item x="379"/>
        <item x="143"/>
        <item x="913"/>
        <item x="335"/>
        <item x="618"/>
        <item x="896"/>
        <item x="295"/>
        <item x="823"/>
        <item x="34"/>
        <item x="700"/>
        <item x="698"/>
        <item x="715"/>
        <item x="291"/>
        <item x="724"/>
        <item x="159"/>
        <item x="485"/>
        <item x="678"/>
        <item x="514"/>
        <item x="645"/>
        <item x="595"/>
        <item x="746"/>
        <item x="671"/>
        <item x="129"/>
        <item x="501"/>
        <item x="139"/>
        <item x="556"/>
        <item x="906"/>
        <item x="859"/>
        <item x="287"/>
        <item x="26"/>
        <item x="765"/>
        <item x="768"/>
        <item x="689"/>
        <item x="854"/>
        <item x="825"/>
        <item x="37"/>
        <item x="39"/>
        <item x="830"/>
        <item x="855"/>
        <item x="415"/>
        <item x="615"/>
        <item x="0"/>
        <item x="576"/>
        <item x="235"/>
        <item x="88"/>
        <item x="195"/>
        <item x="882"/>
        <item x="928"/>
        <item x="646"/>
        <item x="560"/>
        <item x="90"/>
        <item x="851"/>
        <item x="8"/>
        <item x="16"/>
        <item x="677"/>
        <item x="927"/>
        <item x="433"/>
        <item x="648"/>
        <item x="517"/>
        <item x="508"/>
        <item x="920"/>
        <item x="884"/>
        <item x="25"/>
        <item x="352"/>
        <item x="938"/>
        <item x="445"/>
        <item x="133"/>
        <item x="789"/>
        <item x="256"/>
        <item x="2"/>
        <item x="577"/>
        <item x="43"/>
        <item x="741"/>
        <item x="657"/>
        <item x="63"/>
        <item x="392"/>
        <item x="102"/>
        <item x="492"/>
        <item x="229"/>
        <item x="567"/>
        <item x="15"/>
        <item x="185"/>
        <item x="373"/>
        <item x="85"/>
        <item x="782"/>
        <item x="519"/>
        <item x="850"/>
        <item x="558"/>
        <item x="221"/>
        <item x="907"/>
        <item x="727"/>
        <item x="697"/>
        <item x="416"/>
        <item x="486"/>
        <item x="661"/>
        <item x="663"/>
        <item x="528"/>
        <item x="682"/>
        <item x="865"/>
        <item x="557"/>
        <item x="298"/>
        <item x="243"/>
        <item x="4"/>
        <item x="72"/>
        <item x="719"/>
        <item x="908"/>
        <item x="563"/>
        <item x="520"/>
        <item x="555"/>
        <item x="629"/>
        <item x="267"/>
        <item x="127"/>
        <item x="371"/>
        <item x="688"/>
        <item x="244"/>
        <item x="89"/>
        <item x="422"/>
        <item x="772"/>
        <item x="45"/>
        <item x="297"/>
        <item x="842"/>
        <item x="119"/>
        <item x="265"/>
        <item x="632"/>
        <item x="943"/>
        <item x="505"/>
        <item x="203"/>
        <item x="14"/>
        <item x="320"/>
        <item x="94"/>
        <item x="547"/>
        <item x="847"/>
        <item x="800"/>
        <item x="35"/>
        <item x="169"/>
        <item x="272"/>
        <item x="232"/>
        <item x="899"/>
        <item x="128"/>
        <item x="569"/>
        <item x="692"/>
        <item x="702"/>
        <item x="157"/>
        <item x="799"/>
        <item x="650"/>
        <item x="344"/>
        <item x="453"/>
        <item x="309"/>
        <item x="68"/>
        <item x="787"/>
        <item x="905"/>
        <item x="643"/>
        <item x="863"/>
        <item x="631"/>
        <item x="471"/>
        <item x="571"/>
        <item x="95"/>
        <item x="398"/>
        <item x="725"/>
        <item x="903"/>
        <item x="370"/>
        <item x="123"/>
        <item x="317"/>
        <item x="634"/>
        <item x="794"/>
        <item x="783"/>
        <item x="604"/>
        <item x="624"/>
        <item x="612"/>
        <item x="748"/>
        <item x="238"/>
        <item x="93"/>
        <item x="236"/>
        <item x="56"/>
        <item x="49"/>
        <item x="915"/>
        <item x="815"/>
        <item x="198"/>
        <item x="254"/>
        <item x="189"/>
        <item x="945"/>
        <item x="13"/>
        <item x="117"/>
        <item x="887"/>
        <item x="390"/>
        <item x="223"/>
        <item x="472"/>
        <item x="728"/>
        <item x="311"/>
        <item x="512"/>
        <item x="401"/>
        <item x="902"/>
        <item x="862"/>
        <item x="840"/>
        <item x="586"/>
        <item x="312"/>
        <item x="146"/>
        <item x="596"/>
        <item x="735"/>
        <item x="36"/>
        <item x="97"/>
        <item x="598"/>
        <item x="460"/>
        <item x="214"/>
        <item x="894"/>
        <item x="240"/>
        <item x="827"/>
        <item x="212"/>
        <item x="421"/>
        <item x="46"/>
        <item x="448"/>
        <item x="411"/>
        <item x="310"/>
        <item x="497"/>
        <item x="115"/>
        <item x="526"/>
        <item x="561"/>
        <item x="550"/>
        <item x="483"/>
        <item x="763"/>
        <item x="626"/>
        <item x="361"/>
        <item x="199"/>
        <item x="720"/>
        <item x="937"/>
        <item x="50"/>
        <item x="630"/>
        <item x="461"/>
        <item x="479"/>
        <item x="356"/>
        <item x="834"/>
        <item x="708"/>
        <item x="407"/>
        <item x="848"/>
        <item x="751"/>
        <item x="130"/>
        <item x="744"/>
        <item x="135"/>
        <item x="797"/>
        <item x="549"/>
        <item x="879"/>
        <item x="876"/>
        <item x="776"/>
        <item x="500"/>
        <item x="656"/>
        <item x="167"/>
        <item x="202"/>
        <item x="616"/>
        <item x="452"/>
        <item x="430"/>
        <item x="27"/>
        <item x="120"/>
        <item x="206"/>
        <item x="145"/>
        <item x="131"/>
        <item x="498"/>
        <item x="147"/>
        <item x="73"/>
        <item x="856"/>
        <item x="375"/>
        <item x="432"/>
        <item x="575"/>
        <item x="322"/>
        <item x="522"/>
        <item x="737"/>
        <item x="428"/>
        <item x="108"/>
        <item x="355"/>
        <item x="883"/>
        <item x="828"/>
        <item x="601"/>
        <item x="138"/>
        <item x="84"/>
        <item x="554"/>
        <item x="532"/>
        <item x="496"/>
        <item x="773"/>
        <item x="638"/>
        <item x="200"/>
        <item x="6"/>
        <item x="423"/>
        <item x="125"/>
        <item x="126"/>
        <item x="289"/>
        <item x="627"/>
        <item x="242"/>
        <item x="936"/>
        <item x="104"/>
        <item x="17"/>
        <item x="559"/>
        <item x="19"/>
        <item x="588"/>
        <item x="372"/>
        <item x="79"/>
        <item x="869"/>
        <item x="174"/>
        <item x="248"/>
        <item x="572"/>
        <item x="875"/>
        <item x="246"/>
        <item x="864"/>
        <item x="580"/>
        <item x="225"/>
        <item x="933"/>
        <item x="886"/>
        <item x="22"/>
        <item x="86"/>
        <item x="380"/>
        <item x="841"/>
        <item x="484"/>
        <item x="314"/>
        <item x="733"/>
        <item x="761"/>
        <item x="413"/>
        <item x="806"/>
        <item x="419"/>
        <item x="885"/>
        <item x="641"/>
        <item x="718"/>
        <item x="205"/>
        <item x="187"/>
        <item x="359"/>
        <item x="180"/>
        <item x="870"/>
        <item x="536"/>
        <item x="405"/>
        <item x="833"/>
        <item x="487"/>
        <item x="383"/>
        <item x="923"/>
        <item x="165"/>
        <item x="300"/>
        <item x="426"/>
        <item x="838"/>
        <item x="605"/>
        <item x="333"/>
        <item x="888"/>
        <item x="255"/>
        <item x="564"/>
        <item x="861"/>
        <item x="893"/>
        <item x="469"/>
        <item x="12"/>
        <item x="217"/>
        <item x="654"/>
        <item x="409"/>
        <item x="431"/>
        <item x="635"/>
        <item x="578"/>
        <item x="48"/>
        <item x="490"/>
        <item x="264"/>
        <item x="771"/>
        <item x="270"/>
        <item x="163"/>
        <item x="781"/>
        <item x="54"/>
        <item x="745"/>
        <item x="803"/>
        <item x="38"/>
        <item x="814"/>
        <item x="463"/>
        <item x="811"/>
        <item x="184"/>
        <item x="912"/>
        <item x="429"/>
        <item x="711"/>
        <item x="739"/>
        <item x="75"/>
        <item x="680"/>
        <item x="467"/>
        <item x="548"/>
        <item x="181"/>
        <item x="443"/>
        <item x="675"/>
        <item x="152"/>
        <item x="465"/>
        <item x="332"/>
        <item x="478"/>
        <item x="839"/>
        <item x="434"/>
        <item x="345"/>
        <item x="293"/>
        <item x="44"/>
        <item x="439"/>
        <item x="665"/>
        <item x="444"/>
        <item x="259"/>
        <item x="425"/>
        <item x="674"/>
        <item x="704"/>
        <item x="947"/>
        <item t="default"/>
      </items>
    </pivotField>
    <pivotField showAll="0"/>
    <pivotField showAll="0">
      <items count="7">
        <item x="2"/>
        <item x="0"/>
        <item x="1"/>
        <item x="4"/>
        <item x="3"/>
        <item x="5"/>
        <item t="default"/>
      </items>
    </pivotField>
    <pivotField showAll="0">
      <items count="22">
        <item x="7"/>
        <item x="16"/>
        <item x="9"/>
        <item x="14"/>
        <item x="5"/>
        <item x="11"/>
        <item x="12"/>
        <item x="19"/>
        <item x="8"/>
        <item x="4"/>
        <item x="18"/>
        <item x="17"/>
        <item x="0"/>
        <item x="1"/>
        <item x="10"/>
        <item x="2"/>
        <item x="13"/>
        <item x="15"/>
        <item x="6"/>
        <item x="3"/>
        <item x="20"/>
        <item t="default"/>
      </items>
    </pivotField>
    <pivotField showAll="0">
      <items count="6">
        <item x="3"/>
        <item x="2"/>
        <item x="0"/>
        <item x="1"/>
        <item h="1" x="4"/>
        <item t="default"/>
      </items>
    </pivotField>
    <pivotField showAll="0">
      <items count="7">
        <item x="4"/>
        <item x="2"/>
        <item x="1"/>
        <item x="0"/>
        <item x="3"/>
        <item x="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44">
        <item x="28"/>
        <item x="27"/>
        <item x="2"/>
        <item x="23"/>
        <item x="24"/>
        <item x="32"/>
        <item x="31"/>
        <item x="30"/>
        <item x="41"/>
        <item x="12"/>
        <item x="4"/>
        <item x="14"/>
        <item x="13"/>
        <item x="39"/>
        <item x="8"/>
        <item x="16"/>
        <item x="35"/>
        <item x="33"/>
        <item x="25"/>
        <item x="5"/>
        <item x="18"/>
        <item x="15"/>
        <item x="29"/>
        <item x="19"/>
        <item x="17"/>
        <item x="1"/>
        <item x="21"/>
        <item x="38"/>
        <item x="3"/>
        <item x="9"/>
        <item x="36"/>
        <item x="10"/>
        <item x="42"/>
        <item x="7"/>
        <item x="34"/>
        <item x="6"/>
        <item x="40"/>
        <item x="26"/>
        <item x="37"/>
        <item x="22"/>
        <item x="11"/>
        <item x="20"/>
        <item x="0"/>
        <item t="default"/>
      </items>
    </pivotField>
    <pivotField showAll="0">
      <items count="44">
        <item x="28"/>
        <item x="27"/>
        <item x="2"/>
        <item x="23"/>
        <item x="24"/>
        <item x="32"/>
        <item x="31"/>
        <item x="30"/>
        <item x="41"/>
        <item x="12"/>
        <item x="4"/>
        <item x="14"/>
        <item x="13"/>
        <item x="39"/>
        <item x="8"/>
        <item x="16"/>
        <item x="35"/>
        <item x="33"/>
        <item x="25"/>
        <item x="5"/>
        <item x="18"/>
        <item x="15"/>
        <item x="29"/>
        <item x="19"/>
        <item x="17"/>
        <item x="1"/>
        <item x="21"/>
        <item x="38"/>
        <item x="3"/>
        <item x="9"/>
        <item x="36"/>
        <item x="10"/>
        <item x="42"/>
        <item x="7"/>
        <item x="34"/>
        <item x="6"/>
        <item x="40"/>
        <item x="26"/>
        <item x="37"/>
        <item x="22"/>
        <item x="11"/>
        <item x="20"/>
        <item x="0"/>
        <item t="default"/>
      </items>
    </pivotField>
    <pivotField showAll="0">
      <items count="12">
        <item x="5"/>
        <item x="4"/>
        <item x="8"/>
        <item x="1"/>
        <item x="0"/>
        <item x="3"/>
        <item x="9"/>
        <item x="6"/>
        <item x="2"/>
        <item x="7"/>
        <item x="10"/>
        <item t="default"/>
      </items>
    </pivotField>
    <pivotField showAll="0"/>
    <pivotField showAll="0">
      <items count="9">
        <item x="6"/>
        <item x="2"/>
        <item x="4"/>
        <item x="5"/>
        <item x="0"/>
        <item x="1"/>
        <item x="3"/>
        <item x="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axis="axisRow" showAll="0">
      <items count="15">
        <item h="1"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4"/>
  </rowFields>
  <rowItems count="13">
    <i>
      <x v="1"/>
    </i>
    <i>
      <x v="2"/>
    </i>
    <i>
      <x v="3"/>
    </i>
    <i>
      <x v="4"/>
    </i>
    <i>
      <x v="5"/>
    </i>
    <i>
      <x v="6"/>
    </i>
    <i>
      <x v="7"/>
    </i>
    <i>
      <x v="8"/>
    </i>
    <i>
      <x v="9"/>
    </i>
    <i>
      <x v="10"/>
    </i>
    <i>
      <x v="11"/>
    </i>
    <i>
      <x v="12"/>
    </i>
    <i t="grand">
      <x/>
    </i>
  </rowItems>
  <colItems count="1">
    <i/>
  </colItems>
  <dataFields count="1">
    <dataField name="Sum of TotalAmount" fld="17" baseField="0" baseItem="0"/>
  </dataFields>
  <formats count="1">
    <format dxfId="232">
      <pivotArea outline="0" collapsedLevelsAreSubtotals="1" fieldPosition="0"/>
    </format>
  </formats>
  <chartFormats count="2">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52242FD-D01F-4AF6-8227-EBAF7883EE2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9:A20" firstHeaderRow="1" firstDataRow="1" firstDataCol="0"/>
  <pivotFields count="37">
    <pivotField showAll="0"/>
    <pivotField showAll="0">
      <items count="949">
        <item x="916"/>
        <item x="793"/>
        <item x="667"/>
        <item x="684"/>
        <item x="620"/>
        <item x="691"/>
        <item x="103"/>
        <item x="342"/>
        <item x="148"/>
        <item x="395"/>
        <item x="729"/>
        <item x="600"/>
        <item x="597"/>
        <item x="137"/>
        <item x="599"/>
        <item x="107"/>
        <item x="162"/>
        <item x="699"/>
        <item x="286"/>
        <item x="568"/>
        <item x="511"/>
        <item x="757"/>
        <item x="551"/>
        <item x="625"/>
        <item x="354"/>
        <item x="343"/>
        <item x="387"/>
        <item x="269"/>
        <item x="353"/>
        <item x="141"/>
        <item x="845"/>
        <item x="821"/>
        <item x="302"/>
        <item x="82"/>
        <item x="910"/>
        <item x="222"/>
        <item x="239"/>
        <item x="534"/>
        <item x="412"/>
        <item x="418"/>
        <item x="779"/>
        <item x="900"/>
        <item x="113"/>
        <item x="807"/>
        <item x="318"/>
        <item x="892"/>
        <item x="321"/>
        <item x="374"/>
        <item x="59"/>
        <item x="866"/>
        <item x="81"/>
        <item x="3"/>
        <item x="481"/>
        <item x="368"/>
        <item x="77"/>
        <item x="51"/>
        <item x="160"/>
        <item x="315"/>
        <item x="529"/>
        <item x="722"/>
        <item x="183"/>
        <item x="640"/>
        <item x="930"/>
        <item x="397"/>
        <item x="57"/>
        <item x="216"/>
        <item x="891"/>
        <item x="858"/>
        <item x="196"/>
        <item x="683"/>
        <item x="714"/>
        <item x="867"/>
        <item x="523"/>
        <item x="347"/>
        <item x="262"/>
        <item x="301"/>
        <item x="323"/>
        <item x="150"/>
        <item x="134"/>
        <item x="327"/>
        <item x="417"/>
        <item x="491"/>
        <item x="377"/>
        <item x="721"/>
        <item x="364"/>
        <item x="98"/>
        <item x="795"/>
        <item x="149"/>
        <item x="525"/>
        <item x="122"/>
        <item x="614"/>
        <item x="274"/>
        <item x="404"/>
        <item x="151"/>
        <item x="921"/>
        <item x="752"/>
        <item x="844"/>
        <item x="881"/>
        <item x="188"/>
        <item x="319"/>
        <item x="860"/>
        <item x="258"/>
        <item x="946"/>
        <item x="570"/>
        <item x="326"/>
        <item x="581"/>
        <item x="685"/>
        <item x="506"/>
        <item x="775"/>
        <item x="329"/>
        <item x="144"/>
        <item x="736"/>
        <item x="874"/>
        <item x="877"/>
        <item x="552"/>
        <item x="276"/>
        <item x="28"/>
        <item x="786"/>
        <item x="446"/>
        <item x="30"/>
        <item x="275"/>
        <item x="91"/>
        <item x="817"/>
        <item x="454"/>
        <item x="292"/>
        <item x="74"/>
        <item x="791"/>
        <item x="801"/>
        <item x="810"/>
        <item x="285"/>
        <item x="69"/>
        <item x="770"/>
        <item x="5"/>
        <item x="193"/>
        <item x="897"/>
        <item x="299"/>
        <item x="348"/>
        <item x="837"/>
        <item x="941"/>
        <item x="55"/>
        <item x="835"/>
        <item x="831"/>
        <item x="619"/>
        <item x="531"/>
        <item x="932"/>
        <item x="24"/>
        <item x="227"/>
        <item x="904"/>
        <item x="740"/>
        <item x="457"/>
        <item x="11"/>
        <item x="427"/>
        <item x="408"/>
        <item x="346"/>
        <item x="917"/>
        <item x="574"/>
        <item x="546"/>
        <item x="393"/>
        <item x="164"/>
        <item x="316"/>
        <item x="9"/>
        <item x="843"/>
        <item x="935"/>
        <item x="544"/>
        <item x="538"/>
        <item x="396"/>
        <item x="705"/>
        <item x="610"/>
        <item x="328"/>
        <item x="40"/>
        <item x="585"/>
        <item x="245"/>
        <item x="931"/>
        <item x="87"/>
        <item x="456"/>
        <item x="537"/>
        <item x="369"/>
        <item x="808"/>
        <item x="822"/>
        <item x="218"/>
        <item x="750"/>
        <item x="611"/>
        <item x="278"/>
        <item x="53"/>
        <item x="687"/>
        <item x="582"/>
        <item x="488"/>
        <item x="926"/>
        <item x="182"/>
        <item x="71"/>
        <item x="852"/>
        <item x="136"/>
        <item x="942"/>
        <item x="263"/>
        <item x="251"/>
        <item x="504"/>
        <item x="83"/>
        <item x="230"/>
        <item x="211"/>
        <item x="220"/>
        <item x="790"/>
        <item x="703"/>
        <item x="857"/>
        <item x="940"/>
        <item x="204"/>
        <item x="509"/>
        <item x="476"/>
        <item x="330"/>
        <item x="642"/>
        <item x="61"/>
        <item x="388"/>
        <item x="755"/>
        <item x="303"/>
        <item x="349"/>
        <item x="440"/>
        <item x="694"/>
        <item x="730"/>
        <item x="111"/>
        <item x="176"/>
        <item x="644"/>
        <item x="247"/>
        <item x="215"/>
        <item x="901"/>
        <item x="253"/>
        <item x="441"/>
        <item x="929"/>
        <item x="566"/>
        <item x="637"/>
        <item x="732"/>
        <item x="679"/>
        <item x="154"/>
        <item x="257"/>
        <item x="623"/>
        <item x="535"/>
        <item x="747"/>
        <item x="713"/>
        <item x="919"/>
        <item x="846"/>
        <item x="583"/>
        <item x="717"/>
        <item x="653"/>
        <item x="192"/>
        <item x="832"/>
        <item x="402"/>
        <item x="41"/>
        <item x="288"/>
        <item x="414"/>
        <item x="156"/>
        <item x="385"/>
        <item x="340"/>
        <item x="21"/>
        <item x="249"/>
        <item x="451"/>
        <item x="213"/>
        <item x="42"/>
        <item x="281"/>
        <item x="939"/>
        <item x="579"/>
        <item x="219"/>
        <item x="140"/>
        <item x="394"/>
        <item x="271"/>
        <item x="124"/>
        <item x="367"/>
        <item x="792"/>
        <item x="234"/>
        <item x="357"/>
        <item x="731"/>
        <item x="658"/>
        <item x="106"/>
        <item x="530"/>
        <item x="447"/>
        <item x="911"/>
        <item x="197"/>
        <item x="363"/>
        <item x="527"/>
        <item x="101"/>
        <item x="543"/>
        <item x="224"/>
        <item x="695"/>
        <item x="819"/>
        <item x="168"/>
        <item x="233"/>
        <item x="381"/>
        <item x="541"/>
        <item x="829"/>
        <item x="96"/>
        <item x="802"/>
        <item x="890"/>
        <item x="760"/>
        <item x="420"/>
        <item x="350"/>
        <item x="753"/>
        <item x="166"/>
        <item x="62"/>
        <item x="110"/>
        <item x="109"/>
        <item x="449"/>
        <item x="659"/>
        <item x="690"/>
        <item x="76"/>
        <item x="726"/>
        <item x="878"/>
        <item x="734"/>
        <item x="826"/>
        <item x="337"/>
        <item x="676"/>
        <item x="7"/>
        <item x="1"/>
        <item x="324"/>
        <item x="636"/>
        <item x="723"/>
        <item x="944"/>
        <item x="493"/>
        <item x="774"/>
        <item x="360"/>
        <item x="655"/>
        <item x="296"/>
        <item x="502"/>
        <item x="231"/>
        <item x="609"/>
        <item x="788"/>
        <item x="226"/>
        <item x="178"/>
        <item x="80"/>
        <item x="587"/>
        <item x="334"/>
        <item x="403"/>
        <item x="756"/>
        <item x="105"/>
        <item x="66"/>
        <item x="925"/>
        <item x="458"/>
        <item x="696"/>
        <item x="306"/>
        <item x="118"/>
        <item x="32"/>
        <item x="384"/>
        <item x="175"/>
        <item x="871"/>
        <item x="480"/>
        <item x="351"/>
        <item x="872"/>
        <item x="816"/>
        <item x="617"/>
        <item x="382"/>
        <item x="777"/>
        <item x="177"/>
        <item x="853"/>
        <item x="473"/>
        <item x="386"/>
        <item x="252"/>
        <item x="410"/>
        <item x="208"/>
        <item x="261"/>
        <item x="92"/>
        <item x="294"/>
        <item x="780"/>
        <item x="305"/>
        <item x="121"/>
        <item x="562"/>
        <item x="489"/>
        <item x="266"/>
        <item x="513"/>
        <item x="510"/>
        <item x="754"/>
        <item x="237"/>
        <item x="647"/>
        <item x="515"/>
        <item x="672"/>
        <item x="628"/>
        <item x="681"/>
        <item x="924"/>
        <item x="376"/>
        <item x="516"/>
        <item x="475"/>
        <item x="338"/>
        <item x="798"/>
        <item x="565"/>
        <item x="282"/>
        <item x="820"/>
        <item x="228"/>
        <item x="889"/>
        <item x="201"/>
        <item x="766"/>
        <item x="706"/>
        <item x="553"/>
        <item x="836"/>
        <item x="873"/>
        <item x="778"/>
        <item x="749"/>
        <item x="70"/>
        <item x="521"/>
        <item x="194"/>
        <item x="712"/>
        <item x="849"/>
        <item x="58"/>
        <item x="172"/>
        <item x="613"/>
        <item x="33"/>
        <item x="161"/>
        <item x="622"/>
        <item x="406"/>
        <item x="542"/>
        <item x="518"/>
        <item x="260"/>
        <item x="114"/>
        <item x="701"/>
        <item x="173"/>
        <item x="78"/>
        <item x="589"/>
        <item x="366"/>
        <item x="668"/>
        <item x="442"/>
        <item x="738"/>
        <item x="437"/>
        <item x="594"/>
        <item x="603"/>
        <item x="590"/>
        <item x="336"/>
        <item x="759"/>
        <item x="880"/>
        <item x="290"/>
        <item x="812"/>
        <item x="743"/>
        <item x="52"/>
        <item x="20"/>
        <item x="593"/>
        <item x="693"/>
        <item x="207"/>
        <item x="591"/>
        <item x="250"/>
        <item x="190"/>
        <item x="868"/>
        <item x="362"/>
        <item x="470"/>
        <item x="602"/>
        <item x="809"/>
        <item x="455"/>
        <item x="464"/>
        <item x="784"/>
        <item x="898"/>
        <item x="18"/>
        <item x="468"/>
        <item x="399"/>
        <item x="592"/>
        <item x="922"/>
        <item x="606"/>
        <item x="895"/>
        <item x="67"/>
        <item x="666"/>
        <item x="639"/>
        <item x="209"/>
        <item x="539"/>
        <item x="664"/>
        <item x="673"/>
        <item x="10"/>
        <item x="284"/>
        <item x="210"/>
        <item x="909"/>
        <item x="934"/>
        <item x="762"/>
        <item x="918"/>
        <item x="804"/>
        <item x="308"/>
        <item x="339"/>
        <item x="660"/>
        <item x="914"/>
        <item x="400"/>
        <item x="241"/>
        <item x="769"/>
        <item x="358"/>
        <item x="436"/>
        <item x="649"/>
        <item x="378"/>
        <item x="524"/>
        <item x="142"/>
        <item x="796"/>
        <item x="391"/>
        <item x="482"/>
        <item x="477"/>
        <item x="710"/>
        <item x="280"/>
        <item x="533"/>
        <item x="100"/>
        <item x="60"/>
        <item x="23"/>
        <item x="764"/>
        <item x="186"/>
        <item x="331"/>
        <item x="621"/>
        <item x="813"/>
        <item x="171"/>
        <item x="662"/>
        <item x="686"/>
        <item x="450"/>
        <item x="767"/>
        <item x="153"/>
        <item x="805"/>
        <item x="462"/>
        <item x="435"/>
        <item x="268"/>
        <item x="824"/>
        <item x="499"/>
        <item x="155"/>
        <item x="277"/>
        <item x="633"/>
        <item x="307"/>
        <item x="818"/>
        <item x="495"/>
        <item x="652"/>
        <item x="179"/>
        <item x="424"/>
        <item x="365"/>
        <item x="47"/>
        <item x="466"/>
        <item x="742"/>
        <item x="707"/>
        <item x="573"/>
        <item x="670"/>
        <item x="325"/>
        <item x="438"/>
        <item x="158"/>
        <item x="459"/>
        <item x="170"/>
        <item x="545"/>
        <item x="709"/>
        <item x="341"/>
        <item x="716"/>
        <item x="304"/>
        <item x="313"/>
        <item x="584"/>
        <item x="785"/>
        <item x="503"/>
        <item x="116"/>
        <item x="758"/>
        <item x="607"/>
        <item x="273"/>
        <item x="132"/>
        <item x="540"/>
        <item x="283"/>
        <item x="474"/>
        <item x="279"/>
        <item x="64"/>
        <item x="608"/>
        <item x="65"/>
        <item x="651"/>
        <item x="31"/>
        <item x="389"/>
        <item x="29"/>
        <item x="99"/>
        <item x="494"/>
        <item x="191"/>
        <item x="507"/>
        <item x="112"/>
        <item x="669"/>
        <item x="379"/>
        <item x="143"/>
        <item x="913"/>
        <item x="335"/>
        <item x="618"/>
        <item x="896"/>
        <item x="295"/>
        <item x="823"/>
        <item x="34"/>
        <item x="700"/>
        <item x="698"/>
        <item x="715"/>
        <item x="291"/>
        <item x="724"/>
        <item x="159"/>
        <item x="485"/>
        <item x="678"/>
        <item x="514"/>
        <item x="645"/>
        <item x="595"/>
        <item x="746"/>
        <item x="671"/>
        <item x="129"/>
        <item x="501"/>
        <item x="139"/>
        <item x="556"/>
        <item x="906"/>
        <item x="859"/>
        <item x="287"/>
        <item x="26"/>
        <item x="765"/>
        <item x="768"/>
        <item x="689"/>
        <item x="854"/>
        <item x="825"/>
        <item x="37"/>
        <item x="39"/>
        <item x="830"/>
        <item x="855"/>
        <item x="415"/>
        <item x="615"/>
        <item x="0"/>
        <item x="576"/>
        <item x="235"/>
        <item x="88"/>
        <item x="195"/>
        <item x="882"/>
        <item x="928"/>
        <item x="646"/>
        <item x="560"/>
        <item x="90"/>
        <item x="851"/>
        <item x="8"/>
        <item x="16"/>
        <item x="677"/>
        <item x="927"/>
        <item x="433"/>
        <item x="648"/>
        <item x="517"/>
        <item x="508"/>
        <item x="920"/>
        <item x="884"/>
        <item x="25"/>
        <item x="352"/>
        <item x="938"/>
        <item x="445"/>
        <item x="133"/>
        <item x="789"/>
        <item x="256"/>
        <item x="2"/>
        <item x="577"/>
        <item x="43"/>
        <item x="741"/>
        <item x="657"/>
        <item x="63"/>
        <item x="392"/>
        <item x="102"/>
        <item x="492"/>
        <item x="229"/>
        <item x="567"/>
        <item x="15"/>
        <item x="185"/>
        <item x="373"/>
        <item x="85"/>
        <item x="782"/>
        <item x="519"/>
        <item x="850"/>
        <item x="558"/>
        <item x="221"/>
        <item x="907"/>
        <item x="727"/>
        <item x="697"/>
        <item x="416"/>
        <item x="486"/>
        <item x="661"/>
        <item x="663"/>
        <item x="528"/>
        <item x="682"/>
        <item x="865"/>
        <item x="557"/>
        <item x="298"/>
        <item x="243"/>
        <item x="4"/>
        <item x="72"/>
        <item x="719"/>
        <item x="908"/>
        <item x="563"/>
        <item x="520"/>
        <item x="555"/>
        <item x="629"/>
        <item x="267"/>
        <item x="127"/>
        <item x="371"/>
        <item x="688"/>
        <item x="244"/>
        <item x="89"/>
        <item x="422"/>
        <item x="772"/>
        <item x="45"/>
        <item x="297"/>
        <item x="842"/>
        <item x="119"/>
        <item x="265"/>
        <item x="632"/>
        <item x="943"/>
        <item x="505"/>
        <item x="203"/>
        <item x="14"/>
        <item x="320"/>
        <item x="94"/>
        <item x="547"/>
        <item x="847"/>
        <item x="800"/>
        <item x="35"/>
        <item x="169"/>
        <item x="272"/>
        <item x="232"/>
        <item x="899"/>
        <item x="128"/>
        <item x="569"/>
        <item x="692"/>
        <item x="702"/>
        <item x="157"/>
        <item x="799"/>
        <item x="650"/>
        <item x="344"/>
        <item x="453"/>
        <item x="309"/>
        <item x="68"/>
        <item x="787"/>
        <item x="905"/>
        <item x="643"/>
        <item x="863"/>
        <item x="631"/>
        <item x="471"/>
        <item x="571"/>
        <item x="95"/>
        <item x="398"/>
        <item x="725"/>
        <item x="903"/>
        <item x="370"/>
        <item x="123"/>
        <item x="317"/>
        <item x="634"/>
        <item x="794"/>
        <item x="783"/>
        <item x="604"/>
        <item x="624"/>
        <item x="612"/>
        <item x="748"/>
        <item x="238"/>
        <item x="93"/>
        <item x="236"/>
        <item x="56"/>
        <item x="49"/>
        <item x="915"/>
        <item x="815"/>
        <item x="198"/>
        <item x="254"/>
        <item x="189"/>
        <item x="945"/>
        <item x="13"/>
        <item x="117"/>
        <item x="887"/>
        <item x="390"/>
        <item x="223"/>
        <item x="472"/>
        <item x="728"/>
        <item x="311"/>
        <item x="512"/>
        <item x="401"/>
        <item x="902"/>
        <item x="862"/>
        <item x="840"/>
        <item x="586"/>
        <item x="312"/>
        <item x="146"/>
        <item x="596"/>
        <item x="735"/>
        <item x="36"/>
        <item x="97"/>
        <item x="598"/>
        <item x="460"/>
        <item x="214"/>
        <item x="894"/>
        <item x="240"/>
        <item x="827"/>
        <item x="212"/>
        <item x="421"/>
        <item x="46"/>
        <item x="448"/>
        <item x="411"/>
        <item x="310"/>
        <item x="497"/>
        <item x="115"/>
        <item x="526"/>
        <item x="561"/>
        <item x="550"/>
        <item x="483"/>
        <item x="763"/>
        <item x="626"/>
        <item x="361"/>
        <item x="199"/>
        <item x="720"/>
        <item x="937"/>
        <item x="50"/>
        <item x="630"/>
        <item x="461"/>
        <item x="479"/>
        <item x="356"/>
        <item x="834"/>
        <item x="708"/>
        <item x="407"/>
        <item x="848"/>
        <item x="751"/>
        <item x="130"/>
        <item x="744"/>
        <item x="135"/>
        <item x="797"/>
        <item x="549"/>
        <item x="879"/>
        <item x="876"/>
        <item x="776"/>
        <item x="500"/>
        <item x="656"/>
        <item x="167"/>
        <item x="202"/>
        <item x="616"/>
        <item x="452"/>
        <item x="430"/>
        <item x="27"/>
        <item x="120"/>
        <item x="206"/>
        <item x="145"/>
        <item x="131"/>
        <item x="498"/>
        <item x="147"/>
        <item x="73"/>
        <item x="856"/>
        <item x="375"/>
        <item x="432"/>
        <item x="575"/>
        <item x="322"/>
        <item x="522"/>
        <item x="737"/>
        <item x="428"/>
        <item x="108"/>
        <item x="355"/>
        <item x="883"/>
        <item x="828"/>
        <item x="601"/>
        <item x="138"/>
        <item x="84"/>
        <item x="554"/>
        <item x="532"/>
        <item x="496"/>
        <item x="773"/>
        <item x="638"/>
        <item x="200"/>
        <item x="6"/>
        <item x="423"/>
        <item x="125"/>
        <item x="126"/>
        <item x="289"/>
        <item x="627"/>
        <item x="242"/>
        <item x="936"/>
        <item x="104"/>
        <item x="17"/>
        <item x="559"/>
        <item x="19"/>
        <item x="588"/>
        <item x="372"/>
        <item x="79"/>
        <item x="869"/>
        <item x="174"/>
        <item x="248"/>
        <item x="572"/>
        <item x="875"/>
        <item x="246"/>
        <item x="864"/>
        <item x="580"/>
        <item x="225"/>
        <item x="933"/>
        <item x="886"/>
        <item x="22"/>
        <item x="86"/>
        <item x="380"/>
        <item x="841"/>
        <item x="484"/>
        <item x="314"/>
        <item x="733"/>
        <item x="761"/>
        <item x="413"/>
        <item x="806"/>
        <item x="419"/>
        <item x="885"/>
        <item x="641"/>
        <item x="718"/>
        <item x="205"/>
        <item x="187"/>
        <item x="359"/>
        <item x="180"/>
        <item x="870"/>
        <item x="536"/>
        <item x="405"/>
        <item x="833"/>
        <item x="487"/>
        <item x="383"/>
        <item x="923"/>
        <item x="165"/>
        <item x="300"/>
        <item x="426"/>
        <item x="838"/>
        <item x="605"/>
        <item x="333"/>
        <item x="888"/>
        <item x="255"/>
        <item x="564"/>
        <item x="861"/>
        <item x="893"/>
        <item x="469"/>
        <item x="12"/>
        <item x="217"/>
        <item x="654"/>
        <item x="409"/>
        <item x="431"/>
        <item x="635"/>
        <item x="578"/>
        <item x="48"/>
        <item x="490"/>
        <item x="264"/>
        <item x="771"/>
        <item x="270"/>
        <item x="163"/>
        <item x="781"/>
        <item x="54"/>
        <item x="745"/>
        <item x="803"/>
        <item x="38"/>
        <item x="814"/>
        <item x="463"/>
        <item x="811"/>
        <item x="184"/>
        <item x="912"/>
        <item x="429"/>
        <item x="711"/>
        <item x="739"/>
        <item x="75"/>
        <item x="680"/>
        <item x="467"/>
        <item x="548"/>
        <item x="181"/>
        <item x="443"/>
        <item x="675"/>
        <item x="152"/>
        <item x="465"/>
        <item x="332"/>
        <item x="478"/>
        <item x="839"/>
        <item x="434"/>
        <item x="345"/>
        <item x="293"/>
        <item x="44"/>
        <item x="439"/>
        <item x="665"/>
        <item x="444"/>
        <item x="259"/>
        <item x="425"/>
        <item x="674"/>
        <item x="704"/>
        <item x="947"/>
        <item t="default"/>
      </items>
    </pivotField>
    <pivotField showAll="0"/>
    <pivotField showAll="0">
      <items count="7">
        <item x="2"/>
        <item x="0"/>
        <item x="1"/>
        <item x="4"/>
        <item x="3"/>
        <item x="5"/>
        <item t="default"/>
      </items>
    </pivotField>
    <pivotField showAll="0"/>
    <pivotField showAll="0"/>
    <pivotField showAll="0">
      <items count="7">
        <item x="4"/>
        <item x="2"/>
        <item x="1"/>
        <item x="0"/>
        <item x="3"/>
        <item x="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44">
        <item x="28"/>
        <item x="27"/>
        <item x="2"/>
        <item x="23"/>
        <item x="24"/>
        <item x="32"/>
        <item x="31"/>
        <item x="30"/>
        <item x="41"/>
        <item x="12"/>
        <item x="4"/>
        <item x="14"/>
        <item x="13"/>
        <item x="39"/>
        <item x="8"/>
        <item x="16"/>
        <item x="35"/>
        <item x="33"/>
        <item x="25"/>
        <item x="5"/>
        <item x="18"/>
        <item x="15"/>
        <item x="29"/>
        <item x="19"/>
        <item x="17"/>
        <item x="1"/>
        <item x="21"/>
        <item x="38"/>
        <item x="3"/>
        <item x="9"/>
        <item x="36"/>
        <item x="10"/>
        <item x="42"/>
        <item x="7"/>
        <item x="34"/>
        <item x="6"/>
        <item x="40"/>
        <item x="26"/>
        <item x="37"/>
        <item x="22"/>
        <item x="11"/>
        <item x="20"/>
        <item x="0"/>
        <item t="default"/>
      </items>
    </pivotField>
    <pivotField showAll="0">
      <items count="44">
        <item x="28"/>
        <item x="27"/>
        <item x="2"/>
        <item x="23"/>
        <item x="24"/>
        <item x="32"/>
        <item x="31"/>
        <item x="30"/>
        <item x="41"/>
        <item x="12"/>
        <item x="4"/>
        <item x="14"/>
        <item x="13"/>
        <item x="39"/>
        <item x="8"/>
        <item x="16"/>
        <item x="35"/>
        <item x="33"/>
        <item x="25"/>
        <item x="5"/>
        <item x="18"/>
        <item x="15"/>
        <item x="29"/>
        <item x="19"/>
        <item x="17"/>
        <item x="1"/>
        <item x="21"/>
        <item x="38"/>
        <item x="3"/>
        <item x="9"/>
        <item x="36"/>
        <item x="10"/>
        <item x="42"/>
        <item x="7"/>
        <item x="34"/>
        <item x="6"/>
        <item x="40"/>
        <item x="26"/>
        <item x="37"/>
        <item x="22"/>
        <item x="11"/>
        <item x="20"/>
        <item x="0"/>
        <item t="default"/>
      </items>
    </pivotField>
    <pivotField showAll="0" measureFilter="1" sortType="descending">
      <items count="12">
        <item x="5"/>
        <item x="4"/>
        <item x="8"/>
        <item x="1"/>
        <item x="0"/>
        <item x="3"/>
        <item x="9"/>
        <item x="6"/>
        <item x="2"/>
        <item x="7"/>
        <item x="10"/>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Amount" fld="17" baseField="0" baseItem="0" numFmtId="165"/>
  </dataFields>
  <formats count="1">
    <format dxfId="22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Time" xr10:uid="{D3466216-C8DE-4FB1-A761-1EBD6EADAB8B}" sourceName="Years (OrderDateTime)">
  <pivotTables>
    <pivotTable tabId="2" name="PivotTable1"/>
    <pivotTable tabId="2" name="PivotTable3"/>
    <pivotTable tabId="2" name="PivotTable13"/>
    <pivotTable tabId="2" name="PivotTable15"/>
    <pivotTable tabId="2" name="PivotTable5"/>
    <pivotTable tabId="2" name="PivotTable2"/>
    <pivotTable tabId="2" name="PivotTable7"/>
    <pivotTable tabId="2" name="PivotTable8"/>
    <pivotTable tabId="2" name="PivotTable6"/>
    <pivotTable tabId="2" name="PivotTable4"/>
  </pivotTables>
  <data>
    <tabular pivotCacheId="826754532">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Time" xr10:uid="{E95CD458-065F-4982-B60F-E0C97A6E5215}" sourceName="Months (OrderDateTime)">
  <pivotTables>
    <pivotTable tabId="2" name="PivotTable7"/>
    <pivotTable tabId="2" name="PivotTable13"/>
    <pivotTable tabId="2" name="PivotTable8"/>
    <pivotTable tabId="2" name="PivotTable6"/>
    <pivotTable tabId="2" name="PivotTable15"/>
    <pivotTable tabId="2" name="PivotTable1"/>
    <pivotTable tabId="2" name="PivotTable2"/>
    <pivotTable tabId="2" name="PivotTable4"/>
    <pivotTable tabId="2" name="PivotTable3"/>
  </pivotTables>
  <data>
    <tabular pivotCacheId="826754532">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5D09478-AE2E-4AB8-BFDD-25888FE60591}" sourceName="Category">
  <pivotTables>
    <pivotTable tabId="2" name="PivotTable7"/>
    <pivotTable tabId="2" name="PivotTable5"/>
    <pivotTable tabId="2" name="PivotTable1"/>
    <pivotTable tabId="2" name="PivotTable13"/>
    <pivotTable tabId="2" name="PivotTable15"/>
    <pivotTable tabId="2" name="PivotTable2"/>
    <pivotTable tabId="2" name="PivotTable3"/>
    <pivotTable tabId="2" name="PivotTable8"/>
    <pivotTable tabId="2" name="PivotTable4"/>
    <pivotTable tabId="2" name="PivotTable6"/>
  </pivotTables>
  <data>
    <tabular pivotCacheId="826754532">
      <items count="6">
        <i x="4" s="1"/>
        <i x="2" s="1"/>
        <i x="1" s="1"/>
        <i x="0" s="1"/>
        <i x="3" s="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DateTime) 1" xr10:uid="{704C94D1-5B03-49BF-BEA6-F343615639E1}" cache="Slicer_Years__OrderDateTime" caption="   Years" style="SlicerStyleDark1" rowHeight="247650"/>
  <slicer name="Months (OrderDateTime) 1" xr10:uid="{F3CF97B7-D036-4A41-B493-4CD866D5C150}" cache="Slicer_Months__OrderDateTime" caption="    Months" style="SlicerStyleDark1" rowHeight="247650"/>
  <slicer name="Category 1" xr10:uid="{B91DAD92-7941-4EE5-A8F4-17A62FC0C156}" cache="Slicer_Category" caption="    Category"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DateTime)" xr10:uid="{93E720BD-084F-4146-B569-BC3B369DDEB9}" cache="Slicer_Years__OrderDateTime" caption="Years (OrderDateTime)" rowHeight="247650"/>
  <slicer name="Months (OrderDateTime)" xr10:uid="{95FD600B-239A-4FC3-93F4-EFDBCD607C5E}" cache="Slicer_Months__OrderDateTime" caption="            Months" rowHeight="247650"/>
  <slicer name="Category" xr10:uid="{035E19C8-B55E-46BE-BEB1-4F4C4AF0C93D}"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B8D1B3-2607-43C1-8DCF-086D0FD19CFD}" name="Table3" displayName="Table3" ref="A3:AB954" totalsRowShown="0">
  <autoFilter ref="A3:AB954" xr:uid="{5EB8D1B3-2607-43C1-8DCF-086D0FD19CFD}"/>
  <tableColumns count="28">
    <tableColumn id="1" xr3:uid="{64643194-1D0F-4CAA-9C1C-9C25536F10D9}" name="OrderID"/>
    <tableColumn id="2" xr3:uid="{FFC495CF-DCE0-4B46-9F35-CDB533ABCF00}" name="OrderDateTime" dataDxfId="374"/>
    <tableColumn id="3" xr3:uid="{9C240C49-21D7-4980-98DE-3121F27B6624}" name="CustomerID"/>
    <tableColumn id="4" xr3:uid="{474B0AA4-97E7-43DA-BCA4-530E73DF15BD}" name="Region"/>
    <tableColumn id="5" xr3:uid="{15907BD1-4793-4945-AD62-B35A1F7FEAA0}" name="City"/>
    <tableColumn id="6" xr3:uid="{AD75F446-08CE-4865-8FB5-FAD626D4615F}" name="SalesChannel"/>
    <tableColumn id="7" xr3:uid="{C3A85386-8656-479B-96B4-43D42DC785FC}" name="Category"/>
    <tableColumn id="8" xr3:uid="{329A08D2-9D44-47D7-A750-87DB5E2C6B45}" name="SubCategory"/>
    <tableColumn id="9" xr3:uid="{2F612D0F-23B1-480F-AAD1-8A931ECE7DD7}" name="ProductID"/>
    <tableColumn id="10" xr3:uid="{4ABE6DB6-FCC2-4740-B5B4-E19E621EAE26}" name="ProductName"/>
    <tableColumn id="11" xr3:uid="{2A2A7C46-CFF6-49E3-88D9-1FF91DADE7A8}" name="Quantity"/>
    <tableColumn id="12" xr3:uid="{D537B7ED-6824-458D-9C38-98C45C7E5BD2}" name="UnitPrice"/>
    <tableColumn id="13" xr3:uid="{81B1D1E1-DD26-4CF9-8943-D0CA96251DBB}" name="DiscountRate"/>
    <tableColumn id="14" xr3:uid="{A06F179C-0AC1-45C9-BD5F-BA5D54A96C93}" name="NetUnitPrice"/>
    <tableColumn id="15" xr3:uid="{0513F1A9-A8BA-45BB-AD43-169FC25C1FCF}" name="TaxRate"/>
    <tableColumn id="16" xr3:uid="{05CB1B66-5F00-4FA6-A8D4-B44008D4C3CE}" name="SubTotal"/>
    <tableColumn id="17" xr3:uid="{FCD99187-0249-48E6-AB37-291DC7D72191}" name="TaxAmount"/>
    <tableColumn id="18" xr3:uid="{A0107634-C917-4A17-BBDA-58ECCBBA7E1C}" name="TotalAmount"/>
    <tableColumn id="19" xr3:uid="{61B2DD55-BE6C-4E71-9330-0E14CC93B6BB}" name="PaymentMethod"/>
    <tableColumn id="20" xr3:uid="{987A1E39-CBB9-4C89-B677-CA8E790173B2}" name="DeliveryStatus"/>
    <tableColumn id="21" xr3:uid="{76880552-0C25-4215-B221-102E3125B084}" name="ShipDate" dataDxfId="373"/>
    <tableColumn id="22" xr3:uid="{149993CA-08F6-4B36-AC6C-3D34476F6A70}" name="DeliveryDate" dataDxfId="372"/>
    <tableColumn id="23" xr3:uid="{CAED5DA6-7E3C-42A2-99C5-5A897607D1CB}" name="IsReturned"/>
    <tableColumn id="24" xr3:uid="{4E1C33F4-2326-4BD0-A584-21DA66346912}" name="ReturnDate"/>
    <tableColumn id="25" xr3:uid="{1CB46E27-DAC2-42C7-8001-259BA98E7047}" name="ReturnReason"/>
    <tableColumn id="26" xr3:uid="{EC9F34BD-DEDB-47EC-A502-C34D4B794D62}" name="SalesRep"/>
    <tableColumn id="27" xr3:uid="{67405579-153F-45C6-BC36-BC3302536AE2}" name="Campaign"/>
    <tableColumn id="28" xr3:uid="{2C3D6420-66B4-4FD5-81FF-B676776FCA44}" name="Sour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E584B2-36EB-4C06-B6A0-CC61E158CFDE}" name="Table1" displayName="Table1" ref="A1:M951" totalsRowShown="0" headerRowDxfId="371" headerRowBorderDxfId="370" tableBorderDxfId="369">
  <autoFilter ref="A1:M951" xr:uid="{DDE584B2-36EB-4C06-B6A0-CC61E158CFDE}"/>
  <tableColumns count="13">
    <tableColumn id="1" xr3:uid="{15AB8FC3-1C2E-4EFF-B1E5-1F2AB1F5C7A6}" name="OrderID"/>
    <tableColumn id="2" xr3:uid="{86CD5023-7D79-45F7-8DF1-9C313AD80FFF}" name="OrderDateTime" dataDxfId="368"/>
    <tableColumn id="3" xr3:uid="{43F0DB8C-052C-45AA-AE56-87739BB36FCC}" name="CustomerID"/>
    <tableColumn id="4" xr3:uid="{4ACEA94E-C969-42B9-BEDC-D79D9EE9D2A3}" name="Region"/>
    <tableColumn id="5" xr3:uid="{F920B1F1-D384-4490-B3D5-3D1AF7116CAB}" name="City"/>
    <tableColumn id="13" xr3:uid="{F233177F-9AF9-42D9-AD82-18BCA2492136}" name="state" dataDxfId="367">
      <calculatedColumnFormula array="1">_xlfn.IFS(
E2="Ahmedabad","Gujarat",
E2="Bengaluru","Karnataka",
E2="Bhopal","Madhya Pradesh",
E2="Bhubaneswar","Odisha",
E2="Chandigarh","Chandigarh",
E2="Chennai","Tamil Nadu",
E2="Delhi","Delhi",
E2="Guwahati","Assam",
E2="Hyderabad","Telangana",
E2="Indore","Madhya Pradesh",
E2="Jaipur","Rajasthan",
E2="Kochi","Kerala",
E2="Kolkata","West Bengal",
E2="Lucknow","Uttar Pradesh",
E2="Mumbai","Maharashtra",
E2="Nagpur","Maharashtra",
E2="Patna","Bihar",
E2="Pune","Maharashtra",
E2="Raipur","Chhattisgarh",
E2="Surat","Gujarat",
TRUE,"Not Found"
)</calculatedColumnFormula>
    </tableColumn>
    <tableColumn id="6" xr3:uid="{BECE03B3-8E23-4C14-BE58-E831BAF129AA}" name="SalesChannel"/>
    <tableColumn id="7" xr3:uid="{E908B449-E3DB-47F9-8D72-7EFBB444F0A9}" name="Category"/>
    <tableColumn id="8" xr3:uid="{FD47FBA4-B1BC-431E-8A5B-DB7FAF8359ED}" name="SubCategory"/>
    <tableColumn id="9" xr3:uid="{4E11AC59-EE45-4626-BD8D-06AB198933F8}" name="ProductID"/>
    <tableColumn id="10" xr3:uid="{7FD60803-5A0C-4BC3-805D-F663C2B2BDFC}" name="ProductName"/>
    <tableColumn id="11" xr3:uid="{603481BB-9224-43AF-9645-A7BC277C45D2}" name="Quantity"/>
    <tableColumn id="12" xr3:uid="{D311E386-0FFA-49BD-A148-8180149A6E10}" name="UnitPri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7CDC49-3537-4F3D-B44A-D1D1D6B61BBD}" name="Table2" displayName="Table2" ref="N1:AE951" totalsRowShown="0" headerRowDxfId="366" headerRowBorderDxfId="365" tableBorderDxfId="364">
  <autoFilter ref="N1:AE951" xr:uid="{0D7CDC49-3537-4F3D-B44A-D1D1D6B61BBD}"/>
  <tableColumns count="18">
    <tableColumn id="1" xr3:uid="{763708C2-569C-4B85-8C11-55DA0A055EA7}" name="DiscountRate"/>
    <tableColumn id="2" xr3:uid="{C8F84BDD-0082-4138-A38B-13F0D7D3FA22}" name="NetUnitPrice"/>
    <tableColumn id="3" xr3:uid="{4E1E3AB4-1FFD-48AE-AA66-3292CE12ABDC}" name="TaxRate"/>
    <tableColumn id="4" xr3:uid="{60A9E855-2632-4658-9CCC-DBD620816BD5}" name="SubTotal"/>
    <tableColumn id="5" xr3:uid="{C384FAF5-D966-49E3-A126-A7FE0F7ADBDB}" name="TaxAmount"/>
    <tableColumn id="6" xr3:uid="{70236DE1-DFB9-42B1-8ABA-0A614E9D1A34}" name="TotalAmount"/>
    <tableColumn id="18" xr3:uid="{4907AB73-60F0-4E8D-9387-98813E16D6CA}" name="revanue" dataDxfId="363">
      <calculatedColumnFormula>ROUND(Table2[[#This Row],[TotalAmount]],0)</calculatedColumnFormula>
    </tableColumn>
    <tableColumn id="7" xr3:uid="{B9FE0F58-32F6-4C4F-9291-565B6B7E4954}" name="PaymentMethod"/>
    <tableColumn id="8" xr3:uid="{0BD93214-0555-40B9-8711-6D19B4655957}" name="DeliveryStatus"/>
    <tableColumn id="9" xr3:uid="{D8E0A97A-5E6A-4E0D-8E1E-41433E09C4F1}" name="ShipDate" dataDxfId="362"/>
    <tableColumn id="10" xr3:uid="{3CF0D23C-BFC3-4E1F-8F10-125B4B73D689}" name="DeliveryDate" dataDxfId="361"/>
    <tableColumn id="11" xr3:uid="{76A59EF8-A5CB-4149-804F-59C6E6F8B6C9}" name="IsReturned"/>
    <tableColumn id="12" xr3:uid="{C4485EA5-94AB-458D-9935-8FFA02F23BFE}" name="ReturnDate"/>
    <tableColumn id="13" xr3:uid="{731397A9-9377-467A-8E59-A45A2FC020D1}" name="ReturnReason"/>
    <tableColumn id="17" xr3:uid="{961D16E2-3C61-4010-A88D-3B335F435242}" name="Column1"/>
    <tableColumn id="14" xr3:uid="{9A4DC088-298D-499D-AECC-E339CA7A8707}" name="SalesRep"/>
    <tableColumn id="15" xr3:uid="{DEC6E6C4-2E1A-429E-AF08-7413FFC9A1C1}" name="Campaign"/>
    <tableColumn id="16" xr3:uid="{7D174374-0B01-4C1E-A300-9EF6290430DC}" name="Sourc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microsoft.com/office/2007/relationships/slicer" Target="../slicers/slicer2.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rinterSettings" Target="../printerSettings/printerSettings1.bin"/><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7BA40-011C-4811-B2D2-3F6F64428354}">
  <dimension ref="A1:AB953"/>
  <sheetViews>
    <sheetView topLeftCell="A5" workbookViewId="0">
      <selection activeCell="E9" sqref="E9"/>
    </sheetView>
  </sheetViews>
  <sheetFormatPr defaultRowHeight="14.4" x14ac:dyDescent="0.3"/>
  <cols>
    <col min="1" max="1" width="9.77734375" bestFit="1" customWidth="1"/>
    <col min="2" max="2" width="16.109375" bestFit="1" customWidth="1"/>
    <col min="3" max="3" width="13.109375" bestFit="1" customWidth="1"/>
    <col min="4" max="4" width="9" bestFit="1" customWidth="1"/>
    <col min="5" max="5" width="12" bestFit="1" customWidth="1"/>
    <col min="6" max="6" width="14.5546875" bestFit="1" customWidth="1"/>
    <col min="7" max="7" width="10.5546875" bestFit="1" customWidth="1"/>
    <col min="8" max="8" width="13.77734375" bestFit="1" customWidth="1"/>
    <col min="9" max="9" width="11.5546875" bestFit="1" customWidth="1"/>
    <col min="10" max="10" width="18.88671875" bestFit="1" customWidth="1"/>
    <col min="11" max="11" width="10.33203125" bestFit="1" customWidth="1"/>
    <col min="12" max="12" width="11" bestFit="1" customWidth="1"/>
    <col min="13" max="13" width="14.33203125" bestFit="1" customWidth="1"/>
    <col min="14" max="14" width="14" bestFit="1" customWidth="1"/>
    <col min="15" max="15" width="9.77734375" bestFit="1" customWidth="1"/>
    <col min="16" max="16" width="10.5546875" bestFit="1" customWidth="1"/>
    <col min="17" max="17" width="12.44140625" bestFit="1" customWidth="1"/>
    <col min="18" max="18" width="13.77734375" bestFit="1" customWidth="1"/>
    <col min="19" max="19" width="16.88671875" bestFit="1" customWidth="1"/>
    <col min="20" max="20" width="15.44140625" bestFit="1" customWidth="1"/>
    <col min="21" max="21" width="10.88671875" bestFit="1" customWidth="1"/>
    <col min="22" max="22" width="13.88671875" bestFit="1" customWidth="1"/>
    <col min="23" max="23" width="12.21875" bestFit="1" customWidth="1"/>
    <col min="24" max="24" width="12.5546875" bestFit="1" customWidth="1"/>
    <col min="25" max="25" width="14.6640625" bestFit="1" customWidth="1"/>
    <col min="26" max="26" width="11" bestFit="1" customWidth="1"/>
    <col min="27" max="27" width="13.6640625" bestFit="1" customWidth="1"/>
    <col min="28" max="28" width="10" bestFit="1" customWidth="1"/>
  </cols>
  <sheetData>
    <row r="1" spans="1:28" x14ac:dyDescent="0.3">
      <c r="A1" s="7" t="s">
        <v>1409</v>
      </c>
    </row>
    <row r="3" spans="1:28" x14ac:dyDescent="0.3">
      <c r="A3" t="s">
        <v>0</v>
      </c>
      <c r="B3" t="s">
        <v>1</v>
      </c>
      <c r="C3" t="s">
        <v>2</v>
      </c>
      <c r="D3" t="s">
        <v>1132</v>
      </c>
      <c r="E3" t="s">
        <v>1133</v>
      </c>
      <c r="F3" t="s">
        <v>1134</v>
      </c>
      <c r="G3" t="s">
        <v>1135</v>
      </c>
      <c r="H3" t="s">
        <v>1136</v>
      </c>
      <c r="I3" t="s">
        <v>1137</v>
      </c>
      <c r="J3" t="s">
        <v>1138</v>
      </c>
      <c r="K3" t="s">
        <v>1139</v>
      </c>
      <c r="L3" t="s">
        <v>1140</v>
      </c>
      <c r="M3" t="s">
        <v>1350</v>
      </c>
      <c r="N3" t="s">
        <v>1351</v>
      </c>
      <c r="O3" t="s">
        <v>1352</v>
      </c>
      <c r="P3" t="s">
        <v>1353</v>
      </c>
      <c r="Q3" t="s">
        <v>1354</v>
      </c>
      <c r="R3" t="s">
        <v>1355</v>
      </c>
      <c r="S3" t="s">
        <v>1356</v>
      </c>
      <c r="T3" t="s">
        <v>1357</v>
      </c>
      <c r="U3" t="s">
        <v>1358</v>
      </c>
      <c r="V3" t="s">
        <v>1359</v>
      </c>
      <c r="W3" t="s">
        <v>1370</v>
      </c>
      <c r="X3" t="s">
        <v>1371</v>
      </c>
      <c r="Y3" t="s">
        <v>1372</v>
      </c>
      <c r="Z3" t="s">
        <v>1373</v>
      </c>
      <c r="AA3" t="s">
        <v>1374</v>
      </c>
      <c r="AB3" t="s">
        <v>1375</v>
      </c>
    </row>
    <row r="4" spans="1:28" x14ac:dyDescent="0.3">
      <c r="A4" t="s">
        <v>52</v>
      </c>
      <c r="B4" s="6">
        <v>45590.61041666667</v>
      </c>
      <c r="C4" t="s">
        <v>53</v>
      </c>
      <c r="D4" t="s">
        <v>1141</v>
      </c>
      <c r="E4" t="s">
        <v>1227</v>
      </c>
      <c r="F4" t="s">
        <v>1228</v>
      </c>
      <c r="G4" t="s">
        <v>1172</v>
      </c>
      <c r="H4" t="s">
        <v>1204</v>
      </c>
      <c r="I4" t="s">
        <v>1205</v>
      </c>
      <c r="J4" t="s">
        <v>1206</v>
      </c>
      <c r="K4">
        <v>2</v>
      </c>
      <c r="L4">
        <v>5106</v>
      </c>
      <c r="M4">
        <v>0</v>
      </c>
      <c r="N4">
        <v>5106</v>
      </c>
      <c r="O4">
        <v>0.12</v>
      </c>
      <c r="P4">
        <v>10212</v>
      </c>
      <c r="Q4">
        <v>1225.44</v>
      </c>
      <c r="R4">
        <v>11437.44</v>
      </c>
      <c r="S4" t="s">
        <v>1360</v>
      </c>
      <c r="T4" t="s">
        <v>1361</v>
      </c>
      <c r="U4" s="4">
        <v>45592</v>
      </c>
      <c r="V4" s="4">
        <v>45594</v>
      </c>
      <c r="W4" t="b">
        <v>0</v>
      </c>
      <c r="Z4" t="s">
        <v>1384</v>
      </c>
      <c r="AA4" t="s">
        <v>1377</v>
      </c>
      <c r="AB4" t="s">
        <v>1393</v>
      </c>
    </row>
    <row r="5" spans="1:28" x14ac:dyDescent="0.3">
      <c r="A5" t="s">
        <v>125</v>
      </c>
      <c r="B5" s="6">
        <v>45525.48333333333</v>
      </c>
      <c r="C5" t="s">
        <v>81</v>
      </c>
      <c r="D5" t="s">
        <v>1148</v>
      </c>
      <c r="E5" t="s">
        <v>1149</v>
      </c>
      <c r="F5" t="s">
        <v>1228</v>
      </c>
      <c r="G5" t="s">
        <v>1163</v>
      </c>
      <c r="H5" t="s">
        <v>1240</v>
      </c>
      <c r="I5" t="s">
        <v>1247</v>
      </c>
      <c r="J5" t="s">
        <v>1248</v>
      </c>
      <c r="K5">
        <v>2</v>
      </c>
      <c r="L5">
        <v>352</v>
      </c>
      <c r="M5">
        <v>0.05</v>
      </c>
      <c r="N5">
        <v>334.4</v>
      </c>
      <c r="O5">
        <v>0.18</v>
      </c>
      <c r="P5">
        <v>668.8</v>
      </c>
      <c r="Q5">
        <v>120.384</v>
      </c>
      <c r="R5">
        <v>789.18399999999997</v>
      </c>
      <c r="S5" t="s">
        <v>1365</v>
      </c>
      <c r="T5" t="s">
        <v>1364</v>
      </c>
      <c r="U5" s="4">
        <v>45526</v>
      </c>
      <c r="W5" t="b">
        <v>1</v>
      </c>
      <c r="X5" s="4">
        <v>45535</v>
      </c>
      <c r="Y5" s="4">
        <v>45535</v>
      </c>
      <c r="Z5" t="s">
        <v>1386</v>
      </c>
      <c r="AA5" t="s">
        <v>1399</v>
      </c>
      <c r="AB5" t="s">
        <v>1393</v>
      </c>
    </row>
    <row r="6" spans="1:28" x14ac:dyDescent="0.3">
      <c r="A6" t="s">
        <v>133</v>
      </c>
      <c r="B6" s="6">
        <v>45627.527777777781</v>
      </c>
      <c r="C6" t="s">
        <v>67</v>
      </c>
      <c r="D6" t="s">
        <v>1148</v>
      </c>
      <c r="E6" t="s">
        <v>1149</v>
      </c>
      <c r="F6" t="s">
        <v>1228</v>
      </c>
      <c r="G6" t="s">
        <v>1167</v>
      </c>
      <c r="H6" t="s">
        <v>1208</v>
      </c>
      <c r="I6" t="s">
        <v>1291</v>
      </c>
      <c r="J6" t="s">
        <v>1292</v>
      </c>
      <c r="K6">
        <v>4</v>
      </c>
      <c r="L6">
        <v>21315</v>
      </c>
      <c r="M6">
        <v>0</v>
      </c>
      <c r="N6">
        <v>21315</v>
      </c>
      <c r="O6">
        <v>0.05</v>
      </c>
      <c r="P6">
        <v>85260</v>
      </c>
      <c r="Q6">
        <v>4263</v>
      </c>
      <c r="R6">
        <v>89523</v>
      </c>
      <c r="S6" t="s">
        <v>1360</v>
      </c>
      <c r="T6" t="s">
        <v>1361</v>
      </c>
      <c r="U6" s="4">
        <v>45627</v>
      </c>
      <c r="V6" s="4">
        <v>45630</v>
      </c>
      <c r="W6" t="b">
        <v>0</v>
      </c>
      <c r="Z6" t="s">
        <v>1382</v>
      </c>
      <c r="AA6" t="s">
        <v>1394</v>
      </c>
      <c r="AB6" t="s">
        <v>1380</v>
      </c>
    </row>
    <row r="7" spans="1:28" x14ac:dyDescent="0.3">
      <c r="A7" t="s">
        <v>144</v>
      </c>
      <c r="B7" s="6">
        <v>45505.515972222223</v>
      </c>
      <c r="C7" t="s">
        <v>22</v>
      </c>
      <c r="D7" t="s">
        <v>1182</v>
      </c>
      <c r="E7" t="s">
        <v>1183</v>
      </c>
      <c r="F7" t="s">
        <v>1228</v>
      </c>
      <c r="G7" t="s">
        <v>1167</v>
      </c>
      <c r="H7" t="s">
        <v>1211</v>
      </c>
      <c r="I7" t="s">
        <v>1212</v>
      </c>
      <c r="J7" t="s">
        <v>1213</v>
      </c>
      <c r="K7">
        <v>5</v>
      </c>
      <c r="L7">
        <v>10885</v>
      </c>
      <c r="M7">
        <v>0.1</v>
      </c>
      <c r="N7">
        <v>9796.5</v>
      </c>
      <c r="O7">
        <v>0.12</v>
      </c>
      <c r="P7">
        <v>48982.5</v>
      </c>
      <c r="Q7">
        <v>5877.9</v>
      </c>
      <c r="R7">
        <v>54860.4</v>
      </c>
      <c r="S7" t="s">
        <v>1366</v>
      </c>
      <c r="T7" t="s">
        <v>1369</v>
      </c>
      <c r="W7" t="b">
        <v>0</v>
      </c>
      <c r="Z7" t="s">
        <v>1384</v>
      </c>
      <c r="AA7" t="s">
        <v>1399</v>
      </c>
      <c r="AB7" t="s">
        <v>1383</v>
      </c>
    </row>
    <row r="8" spans="1:28" x14ac:dyDescent="0.3">
      <c r="A8" t="s">
        <v>149</v>
      </c>
      <c r="B8" s="6">
        <v>45317.692361111112</v>
      </c>
      <c r="C8" t="s">
        <v>150</v>
      </c>
      <c r="D8" t="s">
        <v>1141</v>
      </c>
      <c r="E8" t="s">
        <v>1239</v>
      </c>
      <c r="F8" t="s">
        <v>1228</v>
      </c>
      <c r="G8" t="s">
        <v>1167</v>
      </c>
      <c r="H8" t="s">
        <v>1208</v>
      </c>
      <c r="I8" t="s">
        <v>1291</v>
      </c>
      <c r="J8" t="s">
        <v>1292</v>
      </c>
      <c r="K8">
        <v>1</v>
      </c>
      <c r="L8">
        <v>34295</v>
      </c>
      <c r="M8">
        <v>0.15</v>
      </c>
      <c r="N8">
        <v>29150.75</v>
      </c>
      <c r="O8">
        <v>0.18</v>
      </c>
      <c r="P8">
        <v>29150.75</v>
      </c>
      <c r="Q8">
        <v>5247.1350000000002</v>
      </c>
      <c r="R8">
        <v>34397.885000000002</v>
      </c>
      <c r="S8" t="s">
        <v>1360</v>
      </c>
      <c r="T8" t="s">
        <v>1367</v>
      </c>
      <c r="U8" s="4">
        <v>45319</v>
      </c>
      <c r="W8" t="b">
        <v>0</v>
      </c>
      <c r="Z8" t="s">
        <v>1388</v>
      </c>
      <c r="AA8" t="s">
        <v>1387</v>
      </c>
      <c r="AB8" t="s">
        <v>1378</v>
      </c>
    </row>
    <row r="9" spans="1:28" x14ac:dyDescent="0.3">
      <c r="A9" t="s">
        <v>178</v>
      </c>
      <c r="B9" s="6">
        <v>45542.602083333331</v>
      </c>
      <c r="C9" t="s">
        <v>179</v>
      </c>
      <c r="D9" t="s">
        <v>1141</v>
      </c>
      <c r="E9" t="s">
        <v>1239</v>
      </c>
      <c r="F9" t="s">
        <v>1228</v>
      </c>
      <c r="G9" t="s">
        <v>1167</v>
      </c>
      <c r="H9" t="s">
        <v>1211</v>
      </c>
      <c r="I9" t="s">
        <v>1299</v>
      </c>
      <c r="J9" t="s">
        <v>1300</v>
      </c>
      <c r="K9">
        <v>1</v>
      </c>
      <c r="L9">
        <v>25775</v>
      </c>
      <c r="M9">
        <v>0.1</v>
      </c>
      <c r="N9">
        <v>23197.5</v>
      </c>
      <c r="O9">
        <v>0.05</v>
      </c>
      <c r="P9">
        <v>23197.5</v>
      </c>
      <c r="Q9">
        <v>1159.875</v>
      </c>
      <c r="R9">
        <v>24357.375</v>
      </c>
      <c r="S9" t="s">
        <v>1360</v>
      </c>
      <c r="T9" t="s">
        <v>1369</v>
      </c>
      <c r="W9" t="b">
        <v>0</v>
      </c>
      <c r="Z9" t="s">
        <v>1386</v>
      </c>
      <c r="AA9" t="s">
        <v>1397</v>
      </c>
      <c r="AB9" t="s">
        <v>1383</v>
      </c>
    </row>
    <row r="10" spans="1:28" x14ac:dyDescent="0.3">
      <c r="A10" t="s">
        <v>196</v>
      </c>
      <c r="B10" s="6">
        <v>45445.518750000003</v>
      </c>
      <c r="C10" t="s">
        <v>197</v>
      </c>
      <c r="D10" t="s">
        <v>1148</v>
      </c>
      <c r="E10" t="s">
        <v>1262</v>
      </c>
      <c r="F10" t="s">
        <v>1228</v>
      </c>
      <c r="G10" t="s">
        <v>1172</v>
      </c>
      <c r="H10" t="s">
        <v>1229</v>
      </c>
      <c r="I10" t="s">
        <v>1230</v>
      </c>
      <c r="J10" t="s">
        <v>1231</v>
      </c>
      <c r="K10">
        <v>1</v>
      </c>
      <c r="L10">
        <v>5854</v>
      </c>
      <c r="M10">
        <v>0</v>
      </c>
      <c r="N10">
        <v>5854</v>
      </c>
      <c r="O10">
        <v>0.18</v>
      </c>
      <c r="P10">
        <v>5854</v>
      </c>
      <c r="Q10">
        <v>1053.72</v>
      </c>
      <c r="R10">
        <v>6907.72</v>
      </c>
      <c r="S10" t="s">
        <v>1365</v>
      </c>
      <c r="T10" t="s">
        <v>1367</v>
      </c>
      <c r="U10" s="4">
        <v>45446</v>
      </c>
      <c r="W10" t="b">
        <v>0</v>
      </c>
      <c r="Z10" t="s">
        <v>1388</v>
      </c>
      <c r="AA10" t="s">
        <v>1397</v>
      </c>
      <c r="AB10" t="s">
        <v>1389</v>
      </c>
    </row>
    <row r="11" spans="1:28" x14ac:dyDescent="0.3">
      <c r="A11" t="s">
        <v>240</v>
      </c>
      <c r="B11" s="6">
        <v>45712.553472222222</v>
      </c>
      <c r="C11" t="s">
        <v>241</v>
      </c>
      <c r="D11" t="s">
        <v>1182</v>
      </c>
      <c r="E11" t="s">
        <v>1183</v>
      </c>
      <c r="F11" t="s">
        <v>1228</v>
      </c>
      <c r="G11" t="s">
        <v>1177</v>
      </c>
      <c r="H11" t="s">
        <v>1195</v>
      </c>
      <c r="I11" t="s">
        <v>1202</v>
      </c>
      <c r="J11" t="s">
        <v>1203</v>
      </c>
      <c r="K11">
        <v>1</v>
      </c>
      <c r="L11">
        <v>2547</v>
      </c>
      <c r="M11">
        <v>0.05</v>
      </c>
      <c r="N11">
        <v>2419.65</v>
      </c>
      <c r="O11">
        <v>0.18</v>
      </c>
      <c r="P11">
        <v>2419.65</v>
      </c>
      <c r="Q11">
        <v>435.53699999999998</v>
      </c>
      <c r="R11">
        <v>2855.1869999999999</v>
      </c>
      <c r="S11" t="s">
        <v>1362</v>
      </c>
      <c r="T11" t="s">
        <v>1361</v>
      </c>
      <c r="U11" s="4">
        <v>45714</v>
      </c>
      <c r="V11" s="4">
        <v>45717</v>
      </c>
      <c r="W11" t="b">
        <v>0</v>
      </c>
      <c r="Z11" t="s">
        <v>1388</v>
      </c>
      <c r="AA11" t="s">
        <v>1394</v>
      </c>
      <c r="AB11" t="s">
        <v>1391</v>
      </c>
    </row>
    <row r="12" spans="1:28" x14ac:dyDescent="0.3">
      <c r="A12" t="s">
        <v>249</v>
      </c>
      <c r="B12" s="6">
        <v>45582.355555555558</v>
      </c>
      <c r="C12" t="s">
        <v>124</v>
      </c>
      <c r="D12" t="s">
        <v>1153</v>
      </c>
      <c r="E12" t="s">
        <v>1191</v>
      </c>
      <c r="F12" t="s">
        <v>1228</v>
      </c>
      <c r="G12" t="s">
        <v>1177</v>
      </c>
      <c r="H12" t="s">
        <v>1195</v>
      </c>
      <c r="I12" t="s">
        <v>1218</v>
      </c>
      <c r="J12" t="s">
        <v>1219</v>
      </c>
      <c r="K12">
        <v>3</v>
      </c>
      <c r="L12">
        <v>2988</v>
      </c>
      <c r="M12">
        <v>0.1</v>
      </c>
      <c r="N12">
        <v>2689.2</v>
      </c>
      <c r="O12">
        <v>0.12</v>
      </c>
      <c r="P12">
        <v>8067.6</v>
      </c>
      <c r="Q12">
        <v>968.11199999999997</v>
      </c>
      <c r="R12">
        <v>9035.7119999999995</v>
      </c>
      <c r="S12" t="s">
        <v>1365</v>
      </c>
      <c r="T12" t="s">
        <v>1361</v>
      </c>
      <c r="U12" s="4">
        <v>45584</v>
      </c>
      <c r="V12" s="4">
        <v>45587</v>
      </c>
      <c r="W12" t="b">
        <v>0</v>
      </c>
      <c r="Z12" t="s">
        <v>1382</v>
      </c>
      <c r="AA12" t="s">
        <v>1377</v>
      </c>
      <c r="AB12" t="s">
        <v>1378</v>
      </c>
    </row>
    <row r="13" spans="1:28" x14ac:dyDescent="0.3">
      <c r="A13" t="s">
        <v>261</v>
      </c>
      <c r="B13" s="6">
        <v>45550.582638888889</v>
      </c>
      <c r="C13" t="s">
        <v>262</v>
      </c>
      <c r="D13" t="s">
        <v>1141</v>
      </c>
      <c r="E13" t="s">
        <v>1142</v>
      </c>
      <c r="F13" t="s">
        <v>1228</v>
      </c>
      <c r="G13" t="s">
        <v>1172</v>
      </c>
      <c r="H13" t="s">
        <v>1204</v>
      </c>
      <c r="I13" t="s">
        <v>1297</v>
      </c>
      <c r="J13" t="s">
        <v>1298</v>
      </c>
      <c r="K13">
        <v>1</v>
      </c>
      <c r="L13">
        <v>9109</v>
      </c>
      <c r="M13">
        <v>0</v>
      </c>
      <c r="N13">
        <v>9109</v>
      </c>
      <c r="O13">
        <v>0.18</v>
      </c>
      <c r="P13">
        <v>9109</v>
      </c>
      <c r="Q13">
        <v>1639.62</v>
      </c>
      <c r="R13">
        <v>10748.62</v>
      </c>
      <c r="S13" t="s">
        <v>1363</v>
      </c>
      <c r="T13" t="s">
        <v>1361</v>
      </c>
      <c r="U13" s="4">
        <v>45550</v>
      </c>
      <c r="V13" s="4">
        <v>45554</v>
      </c>
      <c r="W13" t="b">
        <v>0</v>
      </c>
      <c r="Z13" t="s">
        <v>1386</v>
      </c>
      <c r="AA13" t="s">
        <v>1377</v>
      </c>
      <c r="AB13" t="s">
        <v>1391</v>
      </c>
    </row>
    <row r="14" spans="1:28" x14ac:dyDescent="0.3">
      <c r="A14" t="s">
        <v>263</v>
      </c>
      <c r="B14" s="6">
        <v>45410.572916666664</v>
      </c>
      <c r="C14" t="s">
        <v>264</v>
      </c>
      <c r="D14" t="s">
        <v>1153</v>
      </c>
      <c r="E14" t="s">
        <v>1162</v>
      </c>
      <c r="F14" t="s">
        <v>1228</v>
      </c>
      <c r="G14" t="s">
        <v>1144</v>
      </c>
      <c r="H14" t="s">
        <v>1214</v>
      </c>
      <c r="I14" t="s">
        <v>1215</v>
      </c>
      <c r="J14" t="s">
        <v>1216</v>
      </c>
      <c r="K14">
        <v>2</v>
      </c>
      <c r="L14">
        <v>2379</v>
      </c>
      <c r="M14">
        <v>0</v>
      </c>
      <c r="N14">
        <v>2379</v>
      </c>
      <c r="O14">
        <v>0.05</v>
      </c>
      <c r="P14">
        <v>4758</v>
      </c>
      <c r="Q14">
        <v>237.9</v>
      </c>
      <c r="R14">
        <v>4995.8999999999996</v>
      </c>
      <c r="S14" t="s">
        <v>1362</v>
      </c>
      <c r="T14" t="s">
        <v>1361</v>
      </c>
      <c r="U14" s="4">
        <v>45412</v>
      </c>
      <c r="V14" s="4">
        <v>45415</v>
      </c>
      <c r="W14" t="b">
        <v>0</v>
      </c>
      <c r="Z14" t="s">
        <v>1379</v>
      </c>
      <c r="AA14" t="s">
        <v>1399</v>
      </c>
      <c r="AB14" t="s">
        <v>1393</v>
      </c>
    </row>
    <row r="15" spans="1:28" x14ac:dyDescent="0.3">
      <c r="A15" t="s">
        <v>338</v>
      </c>
      <c r="B15" s="6">
        <v>45528.60833333333</v>
      </c>
      <c r="C15" t="s">
        <v>339</v>
      </c>
      <c r="D15" t="s">
        <v>1157</v>
      </c>
      <c r="E15" t="s">
        <v>1249</v>
      </c>
      <c r="F15" t="s">
        <v>1228</v>
      </c>
      <c r="G15" t="s">
        <v>1172</v>
      </c>
      <c r="H15" t="s">
        <v>1204</v>
      </c>
      <c r="I15" t="s">
        <v>1234</v>
      </c>
      <c r="J15" t="s">
        <v>1235</v>
      </c>
      <c r="K15">
        <v>4</v>
      </c>
      <c r="L15">
        <v>9965</v>
      </c>
      <c r="M15">
        <v>0.1</v>
      </c>
      <c r="N15">
        <v>8968.5</v>
      </c>
      <c r="O15">
        <v>0.18</v>
      </c>
      <c r="P15">
        <v>35874</v>
      </c>
      <c r="Q15">
        <v>6457.32</v>
      </c>
      <c r="R15">
        <v>42331.32</v>
      </c>
      <c r="S15" t="s">
        <v>1366</v>
      </c>
      <c r="T15" t="s">
        <v>1367</v>
      </c>
      <c r="U15" s="4">
        <v>45529</v>
      </c>
      <c r="W15" t="b">
        <v>0</v>
      </c>
      <c r="Z15" t="s">
        <v>1382</v>
      </c>
      <c r="AA15" t="s">
        <v>1385</v>
      </c>
      <c r="AB15" t="s">
        <v>1378</v>
      </c>
    </row>
    <row r="16" spans="1:28" x14ac:dyDescent="0.3">
      <c r="A16" t="s">
        <v>350</v>
      </c>
      <c r="B16" s="6">
        <v>45751.465277777781</v>
      </c>
      <c r="C16" t="s">
        <v>28</v>
      </c>
      <c r="D16" t="s">
        <v>1153</v>
      </c>
      <c r="E16" t="s">
        <v>1162</v>
      </c>
      <c r="F16" t="s">
        <v>1228</v>
      </c>
      <c r="G16" t="s">
        <v>1144</v>
      </c>
      <c r="H16" t="s">
        <v>1276</v>
      </c>
      <c r="I16" t="s">
        <v>1286</v>
      </c>
      <c r="J16" t="s">
        <v>1287</v>
      </c>
      <c r="K16">
        <v>1</v>
      </c>
      <c r="L16">
        <v>3203</v>
      </c>
      <c r="M16">
        <v>0</v>
      </c>
      <c r="N16">
        <v>3203</v>
      </c>
      <c r="O16">
        <v>0.18</v>
      </c>
      <c r="P16">
        <v>3203</v>
      </c>
      <c r="Q16">
        <v>576.54</v>
      </c>
      <c r="R16">
        <v>3779.54</v>
      </c>
      <c r="S16" t="s">
        <v>1365</v>
      </c>
      <c r="T16" t="s">
        <v>1368</v>
      </c>
      <c r="U16" s="4">
        <v>45752</v>
      </c>
      <c r="W16" t="b">
        <v>0</v>
      </c>
      <c r="Z16" t="s">
        <v>1398</v>
      </c>
      <c r="AA16" t="s">
        <v>1377</v>
      </c>
      <c r="AB16" t="s">
        <v>1393</v>
      </c>
    </row>
    <row r="17" spans="1:28" x14ac:dyDescent="0.3">
      <c r="A17" t="s">
        <v>372</v>
      </c>
      <c r="B17" s="6">
        <v>45597.587500000001</v>
      </c>
      <c r="C17" t="s">
        <v>71</v>
      </c>
      <c r="D17" t="s">
        <v>1157</v>
      </c>
      <c r="E17" t="s">
        <v>1249</v>
      </c>
      <c r="F17" t="s">
        <v>1228</v>
      </c>
      <c r="G17" t="s">
        <v>1177</v>
      </c>
      <c r="H17" t="s">
        <v>1309</v>
      </c>
      <c r="I17" t="s">
        <v>1328</v>
      </c>
      <c r="J17" t="s">
        <v>1329</v>
      </c>
      <c r="K17">
        <v>3</v>
      </c>
      <c r="L17">
        <v>2164</v>
      </c>
      <c r="M17">
        <v>0.05</v>
      </c>
      <c r="N17">
        <v>2055.8000000000002</v>
      </c>
      <c r="O17">
        <v>0.18</v>
      </c>
      <c r="P17">
        <v>6167.4</v>
      </c>
      <c r="Q17">
        <v>1110.1320000000001</v>
      </c>
      <c r="R17">
        <v>7277.5319999999992</v>
      </c>
      <c r="S17" t="s">
        <v>1365</v>
      </c>
      <c r="T17" t="s">
        <v>1361</v>
      </c>
      <c r="U17" s="4">
        <v>45598</v>
      </c>
      <c r="V17" s="4">
        <v>45603</v>
      </c>
      <c r="W17" t="b">
        <v>0</v>
      </c>
      <c r="Z17" t="s">
        <v>1379</v>
      </c>
      <c r="AA17" t="s">
        <v>1385</v>
      </c>
      <c r="AB17" t="s">
        <v>1391</v>
      </c>
    </row>
    <row r="18" spans="1:28" x14ac:dyDescent="0.3">
      <c r="A18" t="s">
        <v>416</v>
      </c>
      <c r="B18" s="6">
        <v>45305.570138888892</v>
      </c>
      <c r="C18" t="s">
        <v>206</v>
      </c>
      <c r="D18" t="s">
        <v>1153</v>
      </c>
      <c r="E18" t="s">
        <v>1191</v>
      </c>
      <c r="F18" t="s">
        <v>1228</v>
      </c>
      <c r="G18" t="s">
        <v>1172</v>
      </c>
      <c r="H18" t="s">
        <v>1173</v>
      </c>
      <c r="I18" t="s">
        <v>1342</v>
      </c>
      <c r="J18" t="s">
        <v>1343</v>
      </c>
      <c r="K18">
        <v>1</v>
      </c>
      <c r="L18">
        <v>5147</v>
      </c>
      <c r="M18">
        <v>0.15</v>
      </c>
      <c r="N18">
        <v>4374.95</v>
      </c>
      <c r="O18">
        <v>0.05</v>
      </c>
      <c r="P18">
        <v>4374.95</v>
      </c>
      <c r="Q18">
        <v>218.7475</v>
      </c>
      <c r="R18">
        <v>4593.6975000000002</v>
      </c>
      <c r="S18" t="s">
        <v>1366</v>
      </c>
      <c r="T18" t="s">
        <v>1361</v>
      </c>
      <c r="U18" s="4">
        <v>45307</v>
      </c>
      <c r="V18" s="4">
        <v>45310</v>
      </c>
      <c r="W18" t="b">
        <v>0</v>
      </c>
      <c r="Z18" t="s">
        <v>1376</v>
      </c>
      <c r="AA18" t="s">
        <v>1387</v>
      </c>
      <c r="AB18" t="s">
        <v>1383</v>
      </c>
    </row>
    <row r="19" spans="1:28" x14ac:dyDescent="0.3">
      <c r="A19" t="s">
        <v>431</v>
      </c>
      <c r="B19" s="6">
        <v>45490.543055555558</v>
      </c>
      <c r="C19" t="s">
        <v>211</v>
      </c>
      <c r="D19" t="s">
        <v>1157</v>
      </c>
      <c r="E19" t="s">
        <v>1181</v>
      </c>
      <c r="F19" t="s">
        <v>1228</v>
      </c>
      <c r="G19" t="s">
        <v>1177</v>
      </c>
      <c r="H19" t="s">
        <v>1192</v>
      </c>
      <c r="I19" t="s">
        <v>1193</v>
      </c>
      <c r="J19" t="s">
        <v>1194</v>
      </c>
      <c r="K19">
        <v>4</v>
      </c>
      <c r="L19">
        <v>1779</v>
      </c>
      <c r="M19">
        <v>0.05</v>
      </c>
      <c r="N19">
        <v>1690.05</v>
      </c>
      <c r="O19">
        <v>0.18</v>
      </c>
      <c r="P19">
        <v>6760.2</v>
      </c>
      <c r="Q19">
        <v>1216.836</v>
      </c>
      <c r="R19">
        <v>7977.0360000000001</v>
      </c>
      <c r="S19" t="s">
        <v>1363</v>
      </c>
      <c r="T19" t="s">
        <v>1361</v>
      </c>
      <c r="U19" s="4">
        <v>45490</v>
      </c>
      <c r="V19" s="4">
        <v>45493</v>
      </c>
      <c r="W19" t="b">
        <v>0</v>
      </c>
      <c r="Z19" t="s">
        <v>1392</v>
      </c>
      <c r="AA19" t="s">
        <v>1385</v>
      </c>
      <c r="AB19" t="s">
        <v>1395</v>
      </c>
    </row>
    <row r="20" spans="1:28" x14ac:dyDescent="0.3">
      <c r="A20" t="s">
        <v>432</v>
      </c>
      <c r="B20" s="6">
        <v>45572.505555555559</v>
      </c>
      <c r="C20" t="s">
        <v>318</v>
      </c>
      <c r="D20" t="s">
        <v>1153</v>
      </c>
      <c r="E20" t="s">
        <v>1176</v>
      </c>
      <c r="F20" t="s">
        <v>1228</v>
      </c>
      <c r="G20" t="s">
        <v>1144</v>
      </c>
      <c r="H20" t="s">
        <v>1145</v>
      </c>
      <c r="I20" t="s">
        <v>1155</v>
      </c>
      <c r="J20" t="s">
        <v>1156</v>
      </c>
      <c r="K20">
        <v>1</v>
      </c>
      <c r="L20">
        <v>5595</v>
      </c>
      <c r="M20">
        <v>0</v>
      </c>
      <c r="N20">
        <v>5595</v>
      </c>
      <c r="O20">
        <v>0.05</v>
      </c>
      <c r="P20">
        <v>5595</v>
      </c>
      <c r="Q20">
        <v>279.75</v>
      </c>
      <c r="R20">
        <v>5874.75</v>
      </c>
      <c r="S20" t="s">
        <v>1363</v>
      </c>
      <c r="T20" t="s">
        <v>1361</v>
      </c>
      <c r="U20" s="4">
        <v>45574</v>
      </c>
      <c r="V20" s="4">
        <v>45577</v>
      </c>
      <c r="W20" t="b">
        <v>0</v>
      </c>
      <c r="Z20" t="s">
        <v>1396</v>
      </c>
      <c r="AA20" t="s">
        <v>1399</v>
      </c>
      <c r="AB20" t="s">
        <v>1389</v>
      </c>
    </row>
    <row r="21" spans="1:28" x14ac:dyDescent="0.3">
      <c r="A21" t="s">
        <v>435</v>
      </c>
      <c r="B21" s="6">
        <v>45301.477083333331</v>
      </c>
      <c r="C21" t="s">
        <v>107</v>
      </c>
      <c r="D21" t="s">
        <v>1153</v>
      </c>
      <c r="E21" t="s">
        <v>1176</v>
      </c>
      <c r="F21" t="s">
        <v>1228</v>
      </c>
      <c r="G21" t="s">
        <v>1177</v>
      </c>
      <c r="H21" t="s">
        <v>1192</v>
      </c>
      <c r="I21" t="s">
        <v>1193</v>
      </c>
      <c r="J21" t="s">
        <v>1194</v>
      </c>
      <c r="K21">
        <v>3</v>
      </c>
      <c r="L21">
        <v>2230</v>
      </c>
      <c r="M21">
        <v>0.1</v>
      </c>
      <c r="N21">
        <v>2007</v>
      </c>
      <c r="O21">
        <v>0.18</v>
      </c>
      <c r="P21">
        <v>6021</v>
      </c>
      <c r="Q21">
        <v>1083.78</v>
      </c>
      <c r="R21">
        <v>7104.78</v>
      </c>
      <c r="S21" t="s">
        <v>1363</v>
      </c>
      <c r="T21" t="s">
        <v>1361</v>
      </c>
      <c r="U21" s="4">
        <v>45303</v>
      </c>
      <c r="V21" s="4">
        <v>45304</v>
      </c>
      <c r="W21" t="b">
        <v>0</v>
      </c>
      <c r="Z21" t="s">
        <v>1379</v>
      </c>
      <c r="AA21" t="s">
        <v>1385</v>
      </c>
      <c r="AB21" t="s">
        <v>1389</v>
      </c>
    </row>
    <row r="22" spans="1:28" x14ac:dyDescent="0.3">
      <c r="A22" t="s">
        <v>452</v>
      </c>
      <c r="B22" s="6">
        <v>45306.616666666669</v>
      </c>
      <c r="C22" t="s">
        <v>176</v>
      </c>
      <c r="D22" t="s">
        <v>1148</v>
      </c>
      <c r="E22" t="s">
        <v>1262</v>
      </c>
      <c r="F22" t="s">
        <v>1228</v>
      </c>
      <c r="G22" t="s">
        <v>1167</v>
      </c>
      <c r="H22" t="s">
        <v>1208</v>
      </c>
      <c r="I22" t="s">
        <v>1291</v>
      </c>
      <c r="J22" t="s">
        <v>1292</v>
      </c>
      <c r="K22">
        <v>2</v>
      </c>
      <c r="L22">
        <v>17694</v>
      </c>
      <c r="M22">
        <v>0.1</v>
      </c>
      <c r="N22">
        <v>15924.6</v>
      </c>
      <c r="O22">
        <v>0.05</v>
      </c>
      <c r="P22">
        <v>31849.200000000001</v>
      </c>
      <c r="Q22">
        <v>1592.46</v>
      </c>
      <c r="R22">
        <v>33441.660000000003</v>
      </c>
      <c r="S22" t="s">
        <v>1360</v>
      </c>
      <c r="T22" t="s">
        <v>1361</v>
      </c>
      <c r="U22" s="4">
        <v>45307</v>
      </c>
      <c r="V22" s="4">
        <v>45308</v>
      </c>
      <c r="W22" t="b">
        <v>0</v>
      </c>
      <c r="Z22" t="s">
        <v>1388</v>
      </c>
      <c r="AA22" t="s">
        <v>1377</v>
      </c>
      <c r="AB22" t="s">
        <v>1391</v>
      </c>
    </row>
    <row r="23" spans="1:28" x14ac:dyDescent="0.3">
      <c r="A23" t="s">
        <v>455</v>
      </c>
      <c r="B23" s="6">
        <v>45477.52847222222</v>
      </c>
      <c r="C23" t="s">
        <v>61</v>
      </c>
      <c r="D23" t="s">
        <v>1153</v>
      </c>
      <c r="E23" t="s">
        <v>1176</v>
      </c>
      <c r="F23" t="s">
        <v>1228</v>
      </c>
      <c r="G23" t="s">
        <v>1177</v>
      </c>
      <c r="H23" t="s">
        <v>1309</v>
      </c>
      <c r="I23" t="s">
        <v>1328</v>
      </c>
      <c r="J23" t="s">
        <v>1329</v>
      </c>
      <c r="K23">
        <v>2</v>
      </c>
      <c r="L23">
        <v>1663</v>
      </c>
      <c r="M23">
        <v>0.15</v>
      </c>
      <c r="N23">
        <v>1413.55</v>
      </c>
      <c r="O23">
        <v>0.12</v>
      </c>
      <c r="P23">
        <v>2827.1</v>
      </c>
      <c r="Q23">
        <v>339.25200000000001</v>
      </c>
      <c r="R23">
        <v>3166.3519999999999</v>
      </c>
      <c r="S23" t="s">
        <v>1365</v>
      </c>
      <c r="T23" t="s">
        <v>1361</v>
      </c>
      <c r="U23" s="4">
        <v>45478</v>
      </c>
      <c r="V23" s="4">
        <v>45482</v>
      </c>
      <c r="W23" t="b">
        <v>0</v>
      </c>
      <c r="Z23" t="s">
        <v>1396</v>
      </c>
      <c r="AA23" t="s">
        <v>1394</v>
      </c>
      <c r="AB23" t="s">
        <v>1395</v>
      </c>
    </row>
    <row r="24" spans="1:28" x14ac:dyDescent="0.3">
      <c r="A24" t="s">
        <v>471</v>
      </c>
      <c r="B24" s="6">
        <v>45654.394444444442</v>
      </c>
      <c r="C24" t="s">
        <v>378</v>
      </c>
      <c r="D24" t="s">
        <v>1157</v>
      </c>
      <c r="E24" t="s">
        <v>1158</v>
      </c>
      <c r="F24" t="s">
        <v>1228</v>
      </c>
      <c r="G24" t="s">
        <v>1167</v>
      </c>
      <c r="H24" t="s">
        <v>1208</v>
      </c>
      <c r="I24" t="s">
        <v>1291</v>
      </c>
      <c r="J24" t="s">
        <v>1292</v>
      </c>
      <c r="K24">
        <v>1</v>
      </c>
      <c r="L24">
        <v>54414</v>
      </c>
      <c r="M24">
        <v>0</v>
      </c>
      <c r="N24">
        <v>54414</v>
      </c>
      <c r="O24">
        <v>0.12</v>
      </c>
      <c r="P24">
        <v>54414</v>
      </c>
      <c r="Q24">
        <v>6529.6799999999994</v>
      </c>
      <c r="R24">
        <v>60943.68</v>
      </c>
      <c r="S24" t="s">
        <v>1362</v>
      </c>
      <c r="T24" t="s">
        <v>1361</v>
      </c>
      <c r="U24" s="4">
        <v>45655</v>
      </c>
      <c r="V24" s="4">
        <v>45656</v>
      </c>
      <c r="W24" t="b">
        <v>0</v>
      </c>
      <c r="Z24" t="s">
        <v>1392</v>
      </c>
      <c r="AA24" t="s">
        <v>1397</v>
      </c>
      <c r="AB24" t="s">
        <v>1380</v>
      </c>
    </row>
    <row r="25" spans="1:28" x14ac:dyDescent="0.3">
      <c r="A25" t="s">
        <v>483</v>
      </c>
      <c r="B25" s="6">
        <v>45345.525000000001</v>
      </c>
      <c r="C25" t="s">
        <v>181</v>
      </c>
      <c r="D25" t="s">
        <v>1153</v>
      </c>
      <c r="E25" t="s">
        <v>1191</v>
      </c>
      <c r="F25" t="s">
        <v>1228</v>
      </c>
      <c r="G25" t="s">
        <v>1172</v>
      </c>
      <c r="H25" t="s">
        <v>1204</v>
      </c>
      <c r="I25" t="s">
        <v>1297</v>
      </c>
      <c r="J25" t="s">
        <v>1298</v>
      </c>
      <c r="K25">
        <v>2</v>
      </c>
      <c r="L25">
        <v>1875</v>
      </c>
      <c r="M25">
        <v>0</v>
      </c>
      <c r="N25">
        <v>1875</v>
      </c>
      <c r="O25">
        <v>0.12</v>
      </c>
      <c r="P25">
        <v>3750</v>
      </c>
      <c r="Q25">
        <v>450</v>
      </c>
      <c r="R25">
        <v>4200</v>
      </c>
      <c r="S25" t="s">
        <v>1362</v>
      </c>
      <c r="T25" t="s">
        <v>1368</v>
      </c>
      <c r="U25" s="4">
        <v>45347</v>
      </c>
      <c r="W25" t="b">
        <v>0</v>
      </c>
      <c r="Z25" t="s">
        <v>1388</v>
      </c>
      <c r="AA25" t="s">
        <v>1399</v>
      </c>
      <c r="AB25" t="s">
        <v>1395</v>
      </c>
    </row>
    <row r="26" spans="1:28" x14ac:dyDescent="0.3">
      <c r="A26" t="s">
        <v>485</v>
      </c>
      <c r="B26" s="6">
        <v>45545.426388888889</v>
      </c>
      <c r="C26" t="s">
        <v>40</v>
      </c>
      <c r="D26" t="s">
        <v>1141</v>
      </c>
      <c r="E26" t="s">
        <v>1142</v>
      </c>
      <c r="F26" t="s">
        <v>1228</v>
      </c>
      <c r="G26" t="s">
        <v>1172</v>
      </c>
      <c r="H26" t="s">
        <v>1188</v>
      </c>
      <c r="I26" t="s">
        <v>1258</v>
      </c>
      <c r="J26" t="s">
        <v>1259</v>
      </c>
      <c r="K26">
        <v>1</v>
      </c>
      <c r="L26">
        <v>9719</v>
      </c>
      <c r="M26">
        <v>0.15</v>
      </c>
      <c r="N26">
        <v>8261.15</v>
      </c>
      <c r="O26">
        <v>0.05</v>
      </c>
      <c r="P26">
        <v>8261.15</v>
      </c>
      <c r="Q26">
        <v>413.0575</v>
      </c>
      <c r="R26">
        <v>8674.2075000000004</v>
      </c>
      <c r="S26" t="s">
        <v>1360</v>
      </c>
      <c r="T26" t="s">
        <v>1361</v>
      </c>
      <c r="U26" s="4">
        <v>45545</v>
      </c>
      <c r="V26" s="4">
        <v>45550</v>
      </c>
      <c r="W26" t="b">
        <v>0</v>
      </c>
      <c r="Z26" t="s">
        <v>1390</v>
      </c>
      <c r="AA26" t="s">
        <v>1400</v>
      </c>
      <c r="AB26" t="s">
        <v>1393</v>
      </c>
    </row>
    <row r="27" spans="1:28" x14ac:dyDescent="0.3">
      <c r="A27" t="s">
        <v>489</v>
      </c>
      <c r="B27" s="6">
        <v>45582.53402777778</v>
      </c>
      <c r="C27" t="s">
        <v>83</v>
      </c>
      <c r="D27" t="s">
        <v>1141</v>
      </c>
      <c r="E27" t="s">
        <v>1239</v>
      </c>
      <c r="F27" t="s">
        <v>1228</v>
      </c>
      <c r="G27" t="s">
        <v>1177</v>
      </c>
      <c r="H27" t="s">
        <v>1192</v>
      </c>
      <c r="I27" t="s">
        <v>1193</v>
      </c>
      <c r="J27" t="s">
        <v>1194</v>
      </c>
      <c r="K27">
        <v>1</v>
      </c>
      <c r="L27">
        <v>2144</v>
      </c>
      <c r="M27">
        <v>0</v>
      </c>
      <c r="N27">
        <v>2144</v>
      </c>
      <c r="O27">
        <v>0.12</v>
      </c>
      <c r="P27">
        <v>2144</v>
      </c>
      <c r="Q27">
        <v>257.27999999999997</v>
      </c>
      <c r="R27">
        <v>2401.2800000000002</v>
      </c>
      <c r="S27" t="s">
        <v>1366</v>
      </c>
      <c r="T27" t="s">
        <v>1361</v>
      </c>
      <c r="U27" s="4">
        <v>45583</v>
      </c>
      <c r="V27" s="4">
        <v>45587</v>
      </c>
      <c r="W27" t="b">
        <v>0</v>
      </c>
      <c r="Z27" t="s">
        <v>1386</v>
      </c>
      <c r="AA27" t="s">
        <v>1394</v>
      </c>
      <c r="AB27" t="s">
        <v>1391</v>
      </c>
    </row>
    <row r="28" spans="1:28" x14ac:dyDescent="0.3">
      <c r="A28" t="s">
        <v>492</v>
      </c>
      <c r="B28" s="6">
        <v>45451.625694444447</v>
      </c>
      <c r="C28" t="s">
        <v>98</v>
      </c>
      <c r="D28" t="s">
        <v>1148</v>
      </c>
      <c r="E28" t="s">
        <v>1171</v>
      </c>
      <c r="F28" t="s">
        <v>1228</v>
      </c>
      <c r="G28" t="s">
        <v>1177</v>
      </c>
      <c r="H28" t="s">
        <v>1195</v>
      </c>
      <c r="I28" t="s">
        <v>1202</v>
      </c>
      <c r="J28" t="s">
        <v>1203</v>
      </c>
      <c r="K28">
        <v>2</v>
      </c>
      <c r="L28">
        <v>2373</v>
      </c>
      <c r="M28">
        <v>0</v>
      </c>
      <c r="N28">
        <v>2373</v>
      </c>
      <c r="O28">
        <v>0.18</v>
      </c>
      <c r="P28">
        <v>4746</v>
      </c>
      <c r="Q28">
        <v>854.28</v>
      </c>
      <c r="R28">
        <v>5600.28</v>
      </c>
      <c r="S28" t="s">
        <v>1362</v>
      </c>
      <c r="T28" t="s">
        <v>1361</v>
      </c>
      <c r="U28" s="4">
        <v>45453</v>
      </c>
      <c r="V28" s="4">
        <v>45454</v>
      </c>
      <c r="W28" t="b">
        <v>0</v>
      </c>
      <c r="Z28" t="s">
        <v>1392</v>
      </c>
      <c r="AA28" t="s">
        <v>1377</v>
      </c>
      <c r="AB28" t="s">
        <v>1378</v>
      </c>
    </row>
    <row r="29" spans="1:28" x14ac:dyDescent="0.3">
      <c r="A29" t="s">
        <v>495</v>
      </c>
      <c r="B29" s="6">
        <v>45533.541666666664</v>
      </c>
      <c r="C29" t="s">
        <v>460</v>
      </c>
      <c r="D29" t="s">
        <v>1182</v>
      </c>
      <c r="E29" t="s">
        <v>1256</v>
      </c>
      <c r="F29" t="s">
        <v>1228</v>
      </c>
      <c r="G29" t="s">
        <v>1177</v>
      </c>
      <c r="H29" t="s">
        <v>1195</v>
      </c>
      <c r="I29" t="s">
        <v>1202</v>
      </c>
      <c r="J29" t="s">
        <v>1203</v>
      </c>
      <c r="K29">
        <v>3</v>
      </c>
      <c r="L29">
        <v>2793</v>
      </c>
      <c r="M29">
        <v>0.05</v>
      </c>
      <c r="N29">
        <v>2653.35</v>
      </c>
      <c r="O29">
        <v>0.05</v>
      </c>
      <c r="P29">
        <v>7960.0499999999993</v>
      </c>
      <c r="Q29">
        <v>398.0025</v>
      </c>
      <c r="R29">
        <v>8358.0524999999998</v>
      </c>
      <c r="S29" t="s">
        <v>1366</v>
      </c>
      <c r="T29" t="s">
        <v>1367</v>
      </c>
      <c r="U29" s="4">
        <v>45534</v>
      </c>
      <c r="W29" t="b">
        <v>0</v>
      </c>
      <c r="Z29" t="s">
        <v>1392</v>
      </c>
      <c r="AA29" t="s">
        <v>1387</v>
      </c>
      <c r="AB29" t="s">
        <v>1378</v>
      </c>
    </row>
    <row r="30" spans="1:28" x14ac:dyDescent="0.3">
      <c r="A30" t="s">
        <v>500</v>
      </c>
      <c r="B30" s="6">
        <v>45303.51458333333</v>
      </c>
      <c r="C30" t="s">
        <v>341</v>
      </c>
      <c r="D30" t="s">
        <v>1141</v>
      </c>
      <c r="E30" t="s">
        <v>1142</v>
      </c>
      <c r="F30" t="s">
        <v>1228</v>
      </c>
      <c r="G30" t="s">
        <v>1167</v>
      </c>
      <c r="H30" t="s">
        <v>1288</v>
      </c>
      <c r="I30" t="s">
        <v>1336</v>
      </c>
      <c r="J30" t="s">
        <v>1337</v>
      </c>
      <c r="K30">
        <v>1</v>
      </c>
      <c r="L30">
        <v>38826</v>
      </c>
      <c r="M30">
        <v>0</v>
      </c>
      <c r="N30">
        <v>38826</v>
      </c>
      <c r="O30">
        <v>0.05</v>
      </c>
      <c r="P30">
        <v>38826</v>
      </c>
      <c r="Q30">
        <v>1941.3</v>
      </c>
      <c r="R30">
        <v>40767.300000000003</v>
      </c>
      <c r="S30" t="s">
        <v>1360</v>
      </c>
      <c r="T30" t="s">
        <v>1361</v>
      </c>
      <c r="U30" s="4">
        <v>45305</v>
      </c>
      <c r="V30" s="4">
        <v>45310</v>
      </c>
      <c r="W30" t="b">
        <v>0</v>
      </c>
      <c r="Z30" t="s">
        <v>1386</v>
      </c>
      <c r="AA30" t="s">
        <v>1394</v>
      </c>
      <c r="AB30" t="s">
        <v>1383</v>
      </c>
    </row>
    <row r="31" spans="1:28" x14ac:dyDescent="0.3">
      <c r="A31" t="s">
        <v>523</v>
      </c>
      <c r="B31" s="6">
        <v>45518.548611111109</v>
      </c>
      <c r="C31" t="s">
        <v>524</v>
      </c>
      <c r="D31" t="s">
        <v>1148</v>
      </c>
      <c r="E31" t="s">
        <v>1149</v>
      </c>
      <c r="F31" t="s">
        <v>1228</v>
      </c>
      <c r="G31" t="s">
        <v>1177</v>
      </c>
      <c r="H31" t="s">
        <v>1178</v>
      </c>
      <c r="I31" t="s">
        <v>1179</v>
      </c>
      <c r="J31" t="s">
        <v>1180</v>
      </c>
      <c r="K31">
        <v>2</v>
      </c>
      <c r="L31">
        <v>2562</v>
      </c>
      <c r="M31">
        <v>0</v>
      </c>
      <c r="N31">
        <v>2562</v>
      </c>
      <c r="O31">
        <v>0.12</v>
      </c>
      <c r="P31">
        <v>5124</v>
      </c>
      <c r="Q31">
        <v>614.88</v>
      </c>
      <c r="R31">
        <v>5738.88</v>
      </c>
      <c r="S31" t="s">
        <v>1366</v>
      </c>
      <c r="T31" t="s">
        <v>1361</v>
      </c>
      <c r="U31" s="4">
        <v>45520</v>
      </c>
      <c r="V31" s="4">
        <v>45522</v>
      </c>
      <c r="W31" t="b">
        <v>0</v>
      </c>
      <c r="Z31" t="s">
        <v>1390</v>
      </c>
      <c r="AA31" t="s">
        <v>1377</v>
      </c>
      <c r="AB31" t="s">
        <v>1389</v>
      </c>
    </row>
    <row r="32" spans="1:28" x14ac:dyDescent="0.3">
      <c r="A32" t="s">
        <v>526</v>
      </c>
      <c r="B32" s="6">
        <v>45337.428472222222</v>
      </c>
      <c r="C32" t="s">
        <v>59</v>
      </c>
      <c r="D32" t="s">
        <v>1148</v>
      </c>
      <c r="E32" t="s">
        <v>1217</v>
      </c>
      <c r="F32" t="s">
        <v>1228</v>
      </c>
      <c r="G32" t="s">
        <v>1177</v>
      </c>
      <c r="H32" t="s">
        <v>1192</v>
      </c>
      <c r="I32" t="s">
        <v>1193</v>
      </c>
      <c r="J32" t="s">
        <v>1194</v>
      </c>
      <c r="K32">
        <v>1</v>
      </c>
      <c r="L32">
        <v>1921</v>
      </c>
      <c r="M32">
        <v>0.05</v>
      </c>
      <c r="N32">
        <v>1824.95</v>
      </c>
      <c r="O32">
        <v>0.12</v>
      </c>
      <c r="P32">
        <v>1824.95</v>
      </c>
      <c r="Q32">
        <v>218.994</v>
      </c>
      <c r="R32">
        <v>2043.944</v>
      </c>
      <c r="S32" t="s">
        <v>1363</v>
      </c>
      <c r="T32" t="s">
        <v>1361</v>
      </c>
      <c r="U32" s="4">
        <v>45338</v>
      </c>
      <c r="V32" s="4">
        <v>45342</v>
      </c>
      <c r="W32" t="b">
        <v>0</v>
      </c>
      <c r="Z32" t="s">
        <v>1392</v>
      </c>
      <c r="AA32" t="s">
        <v>1377</v>
      </c>
      <c r="AB32" t="s">
        <v>1395</v>
      </c>
    </row>
    <row r="33" spans="1:28" x14ac:dyDescent="0.3">
      <c r="A33" t="s">
        <v>534</v>
      </c>
      <c r="B33" s="6">
        <v>45723.526388888888</v>
      </c>
      <c r="C33" t="s">
        <v>211</v>
      </c>
      <c r="D33" t="s">
        <v>1157</v>
      </c>
      <c r="E33" t="s">
        <v>1181</v>
      </c>
      <c r="F33" t="s">
        <v>1228</v>
      </c>
      <c r="G33" t="s">
        <v>1167</v>
      </c>
      <c r="H33" t="s">
        <v>1208</v>
      </c>
      <c r="I33" t="s">
        <v>1209</v>
      </c>
      <c r="J33" t="s">
        <v>1210</v>
      </c>
      <c r="K33">
        <v>3</v>
      </c>
      <c r="L33">
        <v>56260</v>
      </c>
      <c r="M33">
        <v>0</v>
      </c>
      <c r="N33">
        <v>56260</v>
      </c>
      <c r="O33">
        <v>0.12</v>
      </c>
      <c r="P33">
        <v>168780</v>
      </c>
      <c r="Q33">
        <v>20253.599999999999</v>
      </c>
      <c r="R33">
        <v>189033.60000000001</v>
      </c>
      <c r="S33" t="s">
        <v>1363</v>
      </c>
      <c r="T33" t="s">
        <v>1361</v>
      </c>
      <c r="U33" s="4">
        <v>45724</v>
      </c>
      <c r="V33" s="4">
        <v>45725</v>
      </c>
      <c r="W33" t="b">
        <v>0</v>
      </c>
      <c r="Z33" t="s">
        <v>1388</v>
      </c>
      <c r="AA33" t="s">
        <v>1377</v>
      </c>
      <c r="AB33" t="s">
        <v>1380</v>
      </c>
    </row>
    <row r="34" spans="1:28" x14ac:dyDescent="0.3">
      <c r="A34" t="s">
        <v>559</v>
      </c>
      <c r="B34" s="6">
        <v>45429.533333333333</v>
      </c>
      <c r="C34" t="s">
        <v>10</v>
      </c>
      <c r="D34" t="s">
        <v>1157</v>
      </c>
      <c r="E34" t="s">
        <v>1158</v>
      </c>
      <c r="F34" t="s">
        <v>1228</v>
      </c>
      <c r="G34" t="s">
        <v>1172</v>
      </c>
      <c r="H34" t="s">
        <v>1198</v>
      </c>
      <c r="I34" t="s">
        <v>1303</v>
      </c>
      <c r="J34" t="s">
        <v>1304</v>
      </c>
      <c r="K34">
        <v>1</v>
      </c>
      <c r="L34">
        <v>607</v>
      </c>
      <c r="M34">
        <v>0.15</v>
      </c>
      <c r="N34">
        <v>515.94999999999993</v>
      </c>
      <c r="O34">
        <v>0.05</v>
      </c>
      <c r="P34">
        <v>515.94999999999993</v>
      </c>
      <c r="Q34">
        <v>25.797499999999999</v>
      </c>
      <c r="R34">
        <v>541.74749999999995</v>
      </c>
      <c r="S34" t="s">
        <v>1360</v>
      </c>
      <c r="T34" t="s">
        <v>1361</v>
      </c>
      <c r="U34" s="4">
        <v>45429</v>
      </c>
      <c r="V34" s="4">
        <v>45434</v>
      </c>
      <c r="W34" t="b">
        <v>0</v>
      </c>
      <c r="Z34" t="s">
        <v>1392</v>
      </c>
      <c r="AA34" t="s">
        <v>1394</v>
      </c>
      <c r="AB34" t="s">
        <v>1391</v>
      </c>
    </row>
    <row r="35" spans="1:28" x14ac:dyDescent="0.3">
      <c r="A35" t="s">
        <v>578</v>
      </c>
      <c r="B35" s="6">
        <v>45309.624305555553</v>
      </c>
      <c r="C35" t="s">
        <v>368</v>
      </c>
      <c r="D35" t="s">
        <v>1153</v>
      </c>
      <c r="E35" t="s">
        <v>1191</v>
      </c>
      <c r="F35" t="s">
        <v>1228</v>
      </c>
      <c r="G35" t="s">
        <v>1144</v>
      </c>
      <c r="H35" t="s">
        <v>1145</v>
      </c>
      <c r="I35" t="s">
        <v>1146</v>
      </c>
      <c r="J35" t="s">
        <v>1147</v>
      </c>
      <c r="K35">
        <v>1</v>
      </c>
      <c r="L35">
        <v>13879</v>
      </c>
      <c r="M35">
        <v>0.15</v>
      </c>
      <c r="N35">
        <v>11797.15</v>
      </c>
      <c r="O35">
        <v>0.18</v>
      </c>
      <c r="P35">
        <v>11797.15</v>
      </c>
      <c r="Q35">
        <v>2123.4870000000001</v>
      </c>
      <c r="R35">
        <v>13920.637000000001</v>
      </c>
      <c r="S35" t="s">
        <v>1365</v>
      </c>
      <c r="T35" t="s">
        <v>1361</v>
      </c>
      <c r="U35" s="4">
        <v>45310</v>
      </c>
      <c r="V35" s="4">
        <v>45312</v>
      </c>
      <c r="W35" t="b">
        <v>0</v>
      </c>
      <c r="Z35" t="s">
        <v>1386</v>
      </c>
      <c r="AA35" t="s">
        <v>1385</v>
      </c>
      <c r="AB35" t="s">
        <v>1391</v>
      </c>
    </row>
    <row r="36" spans="1:28" x14ac:dyDescent="0.3">
      <c r="A36" t="s">
        <v>581</v>
      </c>
      <c r="B36" s="6">
        <v>45595.614583333336</v>
      </c>
      <c r="C36" t="s">
        <v>537</v>
      </c>
      <c r="D36" t="s">
        <v>1153</v>
      </c>
      <c r="E36" t="s">
        <v>1162</v>
      </c>
      <c r="F36" t="s">
        <v>1228</v>
      </c>
      <c r="G36" t="s">
        <v>1177</v>
      </c>
      <c r="H36" t="s">
        <v>1236</v>
      </c>
      <c r="I36" t="s">
        <v>1338</v>
      </c>
      <c r="J36" t="s">
        <v>1339</v>
      </c>
      <c r="K36">
        <v>1</v>
      </c>
      <c r="L36">
        <v>2203</v>
      </c>
      <c r="M36">
        <v>0</v>
      </c>
      <c r="N36">
        <v>2203</v>
      </c>
      <c r="O36">
        <v>0.12</v>
      </c>
      <c r="P36">
        <v>2203</v>
      </c>
      <c r="Q36">
        <v>264.36</v>
      </c>
      <c r="R36">
        <v>2467.36</v>
      </c>
      <c r="S36" t="s">
        <v>1362</v>
      </c>
      <c r="T36" t="s">
        <v>1361</v>
      </c>
      <c r="U36" s="4">
        <v>45595</v>
      </c>
      <c r="V36" s="4">
        <v>45597</v>
      </c>
      <c r="W36" t="b">
        <v>0</v>
      </c>
      <c r="Z36" t="s">
        <v>1398</v>
      </c>
      <c r="AA36" t="s">
        <v>1399</v>
      </c>
      <c r="AB36" t="s">
        <v>1380</v>
      </c>
    </row>
    <row r="37" spans="1:28" x14ac:dyDescent="0.3">
      <c r="A37" t="s">
        <v>584</v>
      </c>
      <c r="B37" s="6">
        <v>45310.523611111108</v>
      </c>
      <c r="C37" t="s">
        <v>40</v>
      </c>
      <c r="D37" t="s">
        <v>1141</v>
      </c>
      <c r="E37" t="s">
        <v>1142</v>
      </c>
      <c r="F37" t="s">
        <v>1228</v>
      </c>
      <c r="G37" t="s">
        <v>1167</v>
      </c>
      <c r="H37" t="s">
        <v>1211</v>
      </c>
      <c r="I37" t="s">
        <v>1279</v>
      </c>
      <c r="J37" t="s">
        <v>1280</v>
      </c>
      <c r="K37">
        <v>1</v>
      </c>
      <c r="L37">
        <v>6231</v>
      </c>
      <c r="M37">
        <v>0</v>
      </c>
      <c r="N37">
        <v>6231</v>
      </c>
      <c r="O37">
        <v>0.18</v>
      </c>
      <c r="P37">
        <v>6231</v>
      </c>
      <c r="Q37">
        <v>1121.58</v>
      </c>
      <c r="R37">
        <v>7352.58</v>
      </c>
      <c r="S37" t="s">
        <v>1360</v>
      </c>
      <c r="T37" t="s">
        <v>1361</v>
      </c>
      <c r="U37" s="4">
        <v>45310</v>
      </c>
      <c r="V37" s="4">
        <v>45314</v>
      </c>
      <c r="W37" t="b">
        <v>0</v>
      </c>
      <c r="Z37" t="s">
        <v>1390</v>
      </c>
      <c r="AA37" t="s">
        <v>1377</v>
      </c>
      <c r="AB37" t="s">
        <v>1383</v>
      </c>
    </row>
    <row r="38" spans="1:28" x14ac:dyDescent="0.3">
      <c r="A38" t="s">
        <v>587</v>
      </c>
      <c r="B38" s="6">
        <v>45672.552083333336</v>
      </c>
      <c r="C38" t="s">
        <v>16</v>
      </c>
      <c r="D38" t="s">
        <v>1148</v>
      </c>
      <c r="E38" t="s">
        <v>1171</v>
      </c>
      <c r="F38" t="s">
        <v>1228</v>
      </c>
      <c r="G38" t="s">
        <v>1144</v>
      </c>
      <c r="H38" t="s">
        <v>1145</v>
      </c>
      <c r="I38" t="s">
        <v>1146</v>
      </c>
      <c r="J38" t="s">
        <v>1147</v>
      </c>
      <c r="K38">
        <v>2</v>
      </c>
      <c r="L38">
        <v>3849</v>
      </c>
      <c r="M38">
        <v>0</v>
      </c>
      <c r="N38">
        <v>3849</v>
      </c>
      <c r="O38">
        <v>0.12</v>
      </c>
      <c r="P38">
        <v>7698</v>
      </c>
      <c r="Q38">
        <v>923.76</v>
      </c>
      <c r="R38">
        <v>8621.76</v>
      </c>
      <c r="S38" t="s">
        <v>1366</v>
      </c>
      <c r="T38" t="s">
        <v>1361</v>
      </c>
      <c r="U38" s="4">
        <v>45672</v>
      </c>
      <c r="V38" s="4">
        <v>45677</v>
      </c>
      <c r="W38" t="b">
        <v>0</v>
      </c>
      <c r="Z38" t="s">
        <v>1376</v>
      </c>
      <c r="AA38" t="s">
        <v>1394</v>
      </c>
      <c r="AB38" t="s">
        <v>1395</v>
      </c>
    </row>
    <row r="39" spans="1:28" x14ac:dyDescent="0.3">
      <c r="A39" t="s">
        <v>590</v>
      </c>
      <c r="B39" s="6">
        <v>45560.697916666664</v>
      </c>
      <c r="C39" t="s">
        <v>271</v>
      </c>
      <c r="D39" t="s">
        <v>1148</v>
      </c>
      <c r="E39" t="s">
        <v>1149</v>
      </c>
      <c r="F39" t="s">
        <v>1228</v>
      </c>
      <c r="G39" t="s">
        <v>1177</v>
      </c>
      <c r="H39" t="s">
        <v>1195</v>
      </c>
      <c r="I39" t="s">
        <v>1196</v>
      </c>
      <c r="J39" t="s">
        <v>1197</v>
      </c>
      <c r="K39">
        <v>3</v>
      </c>
      <c r="L39">
        <v>2725</v>
      </c>
      <c r="M39">
        <v>0</v>
      </c>
      <c r="N39">
        <v>2725</v>
      </c>
      <c r="O39">
        <v>0.05</v>
      </c>
      <c r="P39">
        <v>8175</v>
      </c>
      <c r="Q39">
        <v>408.75</v>
      </c>
      <c r="R39">
        <v>8583.75</v>
      </c>
      <c r="S39" t="s">
        <v>1363</v>
      </c>
      <c r="T39" t="s">
        <v>1361</v>
      </c>
      <c r="U39" s="4">
        <v>45561</v>
      </c>
      <c r="V39" s="4">
        <v>45563</v>
      </c>
      <c r="W39" t="b">
        <v>0</v>
      </c>
      <c r="Z39" t="s">
        <v>1390</v>
      </c>
      <c r="AA39" t="s">
        <v>1397</v>
      </c>
      <c r="AB39" t="s">
        <v>1393</v>
      </c>
    </row>
    <row r="40" spans="1:28" x14ac:dyDescent="0.3">
      <c r="A40" t="s">
        <v>595</v>
      </c>
      <c r="B40" s="6">
        <v>45760.472916666666</v>
      </c>
      <c r="C40" t="s">
        <v>115</v>
      </c>
      <c r="D40" t="s">
        <v>1157</v>
      </c>
      <c r="E40" t="s">
        <v>1249</v>
      </c>
      <c r="F40" t="s">
        <v>1228</v>
      </c>
      <c r="G40" t="s">
        <v>1172</v>
      </c>
      <c r="H40" t="s">
        <v>1204</v>
      </c>
      <c r="I40" t="s">
        <v>1234</v>
      </c>
      <c r="J40" t="s">
        <v>1235</v>
      </c>
      <c r="K40">
        <v>4</v>
      </c>
      <c r="L40">
        <v>3218</v>
      </c>
      <c r="M40">
        <v>0</v>
      </c>
      <c r="N40">
        <v>3218</v>
      </c>
      <c r="O40">
        <v>0.18</v>
      </c>
      <c r="P40">
        <v>12872</v>
      </c>
      <c r="Q40">
        <v>2316.96</v>
      </c>
      <c r="R40">
        <v>15188.96</v>
      </c>
      <c r="S40" t="s">
        <v>1360</v>
      </c>
      <c r="T40" t="s">
        <v>1361</v>
      </c>
      <c r="U40" s="4">
        <v>45760</v>
      </c>
      <c r="V40" s="4">
        <v>45764</v>
      </c>
      <c r="W40" t="b">
        <v>0</v>
      </c>
      <c r="Z40" t="s">
        <v>1379</v>
      </c>
      <c r="AA40" t="s">
        <v>1397</v>
      </c>
      <c r="AB40" t="s">
        <v>1391</v>
      </c>
    </row>
    <row r="41" spans="1:28" x14ac:dyDescent="0.3">
      <c r="A41" t="s">
        <v>638</v>
      </c>
      <c r="B41" s="6">
        <v>45762.57916666667</v>
      </c>
      <c r="C41" t="s">
        <v>614</v>
      </c>
      <c r="D41" t="s">
        <v>1141</v>
      </c>
      <c r="E41" t="s">
        <v>1285</v>
      </c>
      <c r="F41" t="s">
        <v>1228</v>
      </c>
      <c r="G41" t="s">
        <v>1144</v>
      </c>
      <c r="H41" t="s">
        <v>1214</v>
      </c>
      <c r="I41" t="s">
        <v>1215</v>
      </c>
      <c r="J41" t="s">
        <v>1216</v>
      </c>
      <c r="K41">
        <v>3</v>
      </c>
      <c r="L41">
        <v>2141</v>
      </c>
      <c r="M41">
        <v>0.05</v>
      </c>
      <c r="N41">
        <v>2033.95</v>
      </c>
      <c r="O41">
        <v>0.12</v>
      </c>
      <c r="P41">
        <v>6101.8499999999995</v>
      </c>
      <c r="Q41">
        <v>732.22199999999987</v>
      </c>
      <c r="R41">
        <v>6834.0719999999992</v>
      </c>
      <c r="S41" t="s">
        <v>1363</v>
      </c>
      <c r="T41" t="s">
        <v>1361</v>
      </c>
      <c r="U41" s="4">
        <v>45764</v>
      </c>
      <c r="V41" s="4">
        <v>45769</v>
      </c>
      <c r="W41" t="b">
        <v>0</v>
      </c>
      <c r="Z41" t="s">
        <v>1376</v>
      </c>
      <c r="AA41" t="s">
        <v>1377</v>
      </c>
      <c r="AB41" t="s">
        <v>1395</v>
      </c>
    </row>
    <row r="42" spans="1:28" x14ac:dyDescent="0.3">
      <c r="A42" t="s">
        <v>639</v>
      </c>
      <c r="B42" s="6">
        <v>45521.593055555553</v>
      </c>
      <c r="C42" t="s">
        <v>264</v>
      </c>
      <c r="D42" t="s">
        <v>1153</v>
      </c>
      <c r="E42" t="s">
        <v>1162</v>
      </c>
      <c r="F42" t="s">
        <v>1228</v>
      </c>
      <c r="G42" t="s">
        <v>1172</v>
      </c>
      <c r="H42" t="s">
        <v>1229</v>
      </c>
      <c r="I42" t="s">
        <v>1295</v>
      </c>
      <c r="J42" t="s">
        <v>1296</v>
      </c>
      <c r="K42">
        <v>3</v>
      </c>
      <c r="L42">
        <v>7391</v>
      </c>
      <c r="M42">
        <v>0</v>
      </c>
      <c r="N42">
        <v>7391</v>
      </c>
      <c r="O42">
        <v>0.12</v>
      </c>
      <c r="P42">
        <v>22173</v>
      </c>
      <c r="Q42">
        <v>2660.76</v>
      </c>
      <c r="R42">
        <v>24833.759999999998</v>
      </c>
      <c r="S42" t="s">
        <v>1360</v>
      </c>
      <c r="T42" t="s">
        <v>1368</v>
      </c>
      <c r="U42" s="4">
        <v>45521</v>
      </c>
      <c r="W42" t="b">
        <v>0</v>
      </c>
      <c r="Z42" t="s">
        <v>1388</v>
      </c>
      <c r="AA42" t="s">
        <v>1394</v>
      </c>
      <c r="AB42" t="s">
        <v>1393</v>
      </c>
    </row>
    <row r="43" spans="1:28" x14ac:dyDescent="0.3">
      <c r="A43" t="s">
        <v>648</v>
      </c>
      <c r="B43" s="6">
        <v>45541.348611111112</v>
      </c>
      <c r="C43" t="s">
        <v>83</v>
      </c>
      <c r="D43" t="s">
        <v>1141</v>
      </c>
      <c r="E43" t="s">
        <v>1239</v>
      </c>
      <c r="F43" t="s">
        <v>1228</v>
      </c>
      <c r="G43" t="s">
        <v>1172</v>
      </c>
      <c r="H43" t="s">
        <v>1173</v>
      </c>
      <c r="I43" t="s">
        <v>1174</v>
      </c>
      <c r="J43" t="s">
        <v>1175</v>
      </c>
      <c r="K43">
        <v>2</v>
      </c>
      <c r="L43">
        <v>2142</v>
      </c>
      <c r="M43">
        <v>0</v>
      </c>
      <c r="N43">
        <v>2142</v>
      </c>
      <c r="O43">
        <v>0.12</v>
      </c>
      <c r="P43">
        <v>4284</v>
      </c>
      <c r="Q43">
        <v>514.07999999999993</v>
      </c>
      <c r="R43">
        <v>4798.08</v>
      </c>
      <c r="S43" t="s">
        <v>1363</v>
      </c>
      <c r="T43" t="s">
        <v>1361</v>
      </c>
      <c r="U43" s="4">
        <v>45542</v>
      </c>
      <c r="V43" s="4">
        <v>45546</v>
      </c>
      <c r="W43" t="b">
        <v>0</v>
      </c>
      <c r="Z43" t="s">
        <v>1379</v>
      </c>
      <c r="AA43" t="s">
        <v>1377</v>
      </c>
      <c r="AB43" t="s">
        <v>1380</v>
      </c>
    </row>
    <row r="44" spans="1:28" x14ac:dyDescent="0.3">
      <c r="A44" t="s">
        <v>667</v>
      </c>
      <c r="B44" s="6">
        <v>45715.561111111114</v>
      </c>
      <c r="C44" t="s">
        <v>24</v>
      </c>
      <c r="D44" t="s">
        <v>1153</v>
      </c>
      <c r="E44" t="s">
        <v>1154</v>
      </c>
      <c r="F44" t="s">
        <v>1228</v>
      </c>
      <c r="G44" t="s">
        <v>1163</v>
      </c>
      <c r="H44" t="s">
        <v>1266</v>
      </c>
      <c r="I44" t="s">
        <v>1348</v>
      </c>
      <c r="J44" t="s">
        <v>1349</v>
      </c>
      <c r="K44">
        <v>1</v>
      </c>
      <c r="L44">
        <v>534</v>
      </c>
      <c r="M44">
        <v>0</v>
      </c>
      <c r="N44">
        <v>534</v>
      </c>
      <c r="O44">
        <v>0.12</v>
      </c>
      <c r="P44">
        <v>534</v>
      </c>
      <c r="Q44">
        <v>64.08</v>
      </c>
      <c r="R44">
        <v>598.08000000000004</v>
      </c>
      <c r="S44" t="s">
        <v>1366</v>
      </c>
      <c r="T44" t="s">
        <v>1361</v>
      </c>
      <c r="U44" s="4">
        <v>45716</v>
      </c>
      <c r="V44" s="4">
        <v>45719</v>
      </c>
      <c r="W44" t="b">
        <v>0</v>
      </c>
      <c r="Z44" t="s">
        <v>1390</v>
      </c>
      <c r="AA44" t="s">
        <v>1400</v>
      </c>
      <c r="AB44" t="s">
        <v>1395</v>
      </c>
    </row>
    <row r="45" spans="1:28" x14ac:dyDescent="0.3">
      <c r="A45" t="s">
        <v>679</v>
      </c>
      <c r="B45" s="6">
        <v>45579.493055555555</v>
      </c>
      <c r="C45" t="s">
        <v>241</v>
      </c>
      <c r="D45" t="s">
        <v>1182</v>
      </c>
      <c r="E45" t="s">
        <v>1183</v>
      </c>
      <c r="F45" t="s">
        <v>1228</v>
      </c>
      <c r="G45" t="s">
        <v>1163</v>
      </c>
      <c r="H45" t="s">
        <v>1164</v>
      </c>
      <c r="I45" t="s">
        <v>1165</v>
      </c>
      <c r="J45" t="s">
        <v>1166</v>
      </c>
      <c r="K45">
        <v>1</v>
      </c>
      <c r="L45">
        <v>695</v>
      </c>
      <c r="M45">
        <v>0.15</v>
      </c>
      <c r="N45">
        <v>590.75</v>
      </c>
      <c r="O45">
        <v>0.12</v>
      </c>
      <c r="P45">
        <v>590.75</v>
      </c>
      <c r="Q45">
        <v>70.89</v>
      </c>
      <c r="R45">
        <v>661.64</v>
      </c>
      <c r="S45" t="s">
        <v>1360</v>
      </c>
      <c r="T45" t="s">
        <v>1361</v>
      </c>
      <c r="U45" s="4">
        <v>45579</v>
      </c>
      <c r="V45" s="4">
        <v>45584</v>
      </c>
      <c r="W45" t="b">
        <v>0</v>
      </c>
      <c r="Z45" t="s">
        <v>1386</v>
      </c>
      <c r="AA45" t="s">
        <v>1385</v>
      </c>
      <c r="AB45" t="s">
        <v>1380</v>
      </c>
    </row>
    <row r="46" spans="1:28" x14ac:dyDescent="0.3">
      <c r="A46" t="s">
        <v>698</v>
      </c>
      <c r="B46" s="6">
        <v>45337.594444444447</v>
      </c>
      <c r="C46" t="s">
        <v>699</v>
      </c>
      <c r="D46" t="s">
        <v>1148</v>
      </c>
      <c r="E46" t="s">
        <v>1149</v>
      </c>
      <c r="F46" t="s">
        <v>1228</v>
      </c>
      <c r="G46" t="s">
        <v>1163</v>
      </c>
      <c r="H46" t="s">
        <v>1164</v>
      </c>
      <c r="I46" t="s">
        <v>1324</v>
      </c>
      <c r="J46" t="s">
        <v>1325</v>
      </c>
      <c r="K46">
        <v>3</v>
      </c>
      <c r="L46">
        <v>1081</v>
      </c>
      <c r="M46">
        <v>0</v>
      </c>
      <c r="N46">
        <v>1081</v>
      </c>
      <c r="O46">
        <v>0.18</v>
      </c>
      <c r="P46">
        <v>3243</v>
      </c>
      <c r="Q46">
        <v>583.74</v>
      </c>
      <c r="R46">
        <v>3826.74</v>
      </c>
      <c r="S46" t="s">
        <v>1362</v>
      </c>
      <c r="T46" t="s">
        <v>1361</v>
      </c>
      <c r="U46" s="4">
        <v>45337</v>
      </c>
      <c r="V46" s="4">
        <v>45338</v>
      </c>
      <c r="W46" t="b">
        <v>0</v>
      </c>
      <c r="Z46" t="s">
        <v>1376</v>
      </c>
      <c r="AA46" t="s">
        <v>1377</v>
      </c>
      <c r="AB46" t="s">
        <v>1393</v>
      </c>
    </row>
    <row r="47" spans="1:28" x14ac:dyDescent="0.3">
      <c r="A47" t="s">
        <v>703</v>
      </c>
      <c r="B47" s="6">
        <v>45324.595138888886</v>
      </c>
      <c r="C47" t="s">
        <v>524</v>
      </c>
      <c r="D47" t="s">
        <v>1148</v>
      </c>
      <c r="E47" t="s">
        <v>1149</v>
      </c>
      <c r="F47" t="s">
        <v>1228</v>
      </c>
      <c r="G47" t="s">
        <v>1177</v>
      </c>
      <c r="H47" t="s">
        <v>1236</v>
      </c>
      <c r="I47" t="s">
        <v>1254</v>
      </c>
      <c r="J47" t="s">
        <v>1255</v>
      </c>
      <c r="K47">
        <v>1</v>
      </c>
      <c r="L47">
        <v>1517</v>
      </c>
      <c r="M47">
        <v>0</v>
      </c>
      <c r="N47">
        <v>1517</v>
      </c>
      <c r="O47">
        <v>0.12</v>
      </c>
      <c r="P47">
        <v>1517</v>
      </c>
      <c r="Q47">
        <v>182.04</v>
      </c>
      <c r="R47">
        <v>1699.04</v>
      </c>
      <c r="S47" t="s">
        <v>1360</v>
      </c>
      <c r="T47" t="s">
        <v>1368</v>
      </c>
      <c r="U47" s="4">
        <v>45325</v>
      </c>
      <c r="W47" t="b">
        <v>0</v>
      </c>
      <c r="Z47" t="s">
        <v>1388</v>
      </c>
      <c r="AA47" t="s">
        <v>1400</v>
      </c>
      <c r="AB47" t="s">
        <v>1391</v>
      </c>
    </row>
    <row r="48" spans="1:28" x14ac:dyDescent="0.3">
      <c r="A48" t="s">
        <v>717</v>
      </c>
      <c r="B48" s="6">
        <v>45503.613888888889</v>
      </c>
      <c r="C48" t="s">
        <v>498</v>
      </c>
      <c r="D48" t="s">
        <v>1141</v>
      </c>
      <c r="E48" t="s">
        <v>1285</v>
      </c>
      <c r="F48" t="s">
        <v>1228</v>
      </c>
      <c r="G48" t="s">
        <v>1177</v>
      </c>
      <c r="H48" t="s">
        <v>1309</v>
      </c>
      <c r="I48" t="s">
        <v>1310</v>
      </c>
      <c r="J48" t="s">
        <v>1311</v>
      </c>
      <c r="K48">
        <v>1</v>
      </c>
      <c r="L48">
        <v>1835</v>
      </c>
      <c r="M48">
        <v>0</v>
      </c>
      <c r="N48">
        <v>1835</v>
      </c>
      <c r="O48">
        <v>0.12</v>
      </c>
      <c r="P48">
        <v>1835</v>
      </c>
      <c r="Q48">
        <v>220.2</v>
      </c>
      <c r="R48">
        <v>2055.1999999999998</v>
      </c>
      <c r="S48" t="s">
        <v>1360</v>
      </c>
      <c r="T48" t="s">
        <v>1361</v>
      </c>
      <c r="U48" s="4">
        <v>45503</v>
      </c>
      <c r="V48" s="4">
        <v>45505</v>
      </c>
      <c r="W48" t="b">
        <v>0</v>
      </c>
      <c r="Z48" t="s">
        <v>1392</v>
      </c>
      <c r="AA48" t="s">
        <v>1394</v>
      </c>
      <c r="AB48" t="s">
        <v>1391</v>
      </c>
    </row>
    <row r="49" spans="1:28" x14ac:dyDescent="0.3">
      <c r="A49" t="s">
        <v>749</v>
      </c>
      <c r="B49" s="6">
        <v>45563.40625</v>
      </c>
      <c r="C49" t="s">
        <v>14</v>
      </c>
      <c r="D49" t="s">
        <v>1153</v>
      </c>
      <c r="E49" t="s">
        <v>1162</v>
      </c>
      <c r="F49" t="s">
        <v>1228</v>
      </c>
      <c r="G49" t="s">
        <v>1172</v>
      </c>
      <c r="H49" t="s">
        <v>1229</v>
      </c>
      <c r="I49" t="s">
        <v>1295</v>
      </c>
      <c r="J49" t="s">
        <v>1296</v>
      </c>
      <c r="K49">
        <v>1</v>
      </c>
      <c r="L49">
        <v>9392</v>
      </c>
      <c r="M49">
        <v>0.05</v>
      </c>
      <c r="N49">
        <v>8922.4</v>
      </c>
      <c r="O49">
        <v>0.18</v>
      </c>
      <c r="P49">
        <v>8922.4</v>
      </c>
      <c r="Q49">
        <v>1606.0319999999999</v>
      </c>
      <c r="R49">
        <v>10528.432000000001</v>
      </c>
      <c r="S49" t="s">
        <v>1360</v>
      </c>
      <c r="T49" t="s">
        <v>1361</v>
      </c>
      <c r="U49" s="4">
        <v>45564</v>
      </c>
      <c r="V49" s="4">
        <v>45565</v>
      </c>
      <c r="W49" t="b">
        <v>0</v>
      </c>
      <c r="Z49" t="s">
        <v>1384</v>
      </c>
      <c r="AA49" t="s">
        <v>1394</v>
      </c>
      <c r="AB49" t="s">
        <v>1391</v>
      </c>
    </row>
    <row r="50" spans="1:28" x14ac:dyDescent="0.3">
      <c r="A50" t="s">
        <v>755</v>
      </c>
      <c r="B50" s="6">
        <v>45429.473611111112</v>
      </c>
      <c r="C50" t="s">
        <v>185</v>
      </c>
      <c r="D50" t="s">
        <v>1153</v>
      </c>
      <c r="E50" t="s">
        <v>1154</v>
      </c>
      <c r="F50" t="s">
        <v>1228</v>
      </c>
      <c r="G50" t="s">
        <v>1144</v>
      </c>
      <c r="H50" t="s">
        <v>1159</v>
      </c>
      <c r="I50" t="s">
        <v>1160</v>
      </c>
      <c r="J50" t="s">
        <v>1161</v>
      </c>
      <c r="K50">
        <v>1</v>
      </c>
      <c r="L50">
        <v>6749</v>
      </c>
      <c r="M50">
        <v>0</v>
      </c>
      <c r="N50">
        <v>6749</v>
      </c>
      <c r="O50">
        <v>0.18</v>
      </c>
      <c r="P50">
        <v>6749</v>
      </c>
      <c r="Q50">
        <v>1214.82</v>
      </c>
      <c r="R50">
        <v>7963.82</v>
      </c>
      <c r="S50" t="s">
        <v>1363</v>
      </c>
      <c r="T50" t="s">
        <v>1361</v>
      </c>
      <c r="U50" s="4">
        <v>45429</v>
      </c>
      <c r="V50" s="4">
        <v>45431</v>
      </c>
      <c r="W50" t="b">
        <v>0</v>
      </c>
      <c r="Z50" t="s">
        <v>1392</v>
      </c>
      <c r="AA50" t="s">
        <v>1399</v>
      </c>
      <c r="AB50" t="s">
        <v>1391</v>
      </c>
    </row>
    <row r="51" spans="1:28" x14ac:dyDescent="0.3">
      <c r="A51" t="s">
        <v>767</v>
      </c>
      <c r="B51" s="6">
        <v>45517.461111111108</v>
      </c>
      <c r="C51" t="s">
        <v>768</v>
      </c>
      <c r="D51" t="s">
        <v>1182</v>
      </c>
      <c r="E51" t="s">
        <v>1256</v>
      </c>
      <c r="F51" t="s">
        <v>1228</v>
      </c>
      <c r="G51" t="s">
        <v>1163</v>
      </c>
      <c r="H51" t="s">
        <v>1266</v>
      </c>
      <c r="I51" t="s">
        <v>1348</v>
      </c>
      <c r="J51" t="s">
        <v>1349</v>
      </c>
      <c r="K51">
        <v>4</v>
      </c>
      <c r="L51">
        <v>886</v>
      </c>
      <c r="M51">
        <v>0</v>
      </c>
      <c r="N51">
        <v>886</v>
      </c>
      <c r="O51">
        <v>0.12</v>
      </c>
      <c r="P51">
        <v>3544</v>
      </c>
      <c r="Q51">
        <v>425.28</v>
      </c>
      <c r="R51">
        <v>3969.28</v>
      </c>
      <c r="S51" t="s">
        <v>1362</v>
      </c>
      <c r="T51" t="s">
        <v>1361</v>
      </c>
      <c r="U51" s="4">
        <v>45518</v>
      </c>
      <c r="V51" s="4">
        <v>45523</v>
      </c>
      <c r="W51" t="b">
        <v>0</v>
      </c>
      <c r="Z51" t="s">
        <v>1390</v>
      </c>
      <c r="AA51" t="s">
        <v>1394</v>
      </c>
      <c r="AB51" t="s">
        <v>1393</v>
      </c>
    </row>
    <row r="52" spans="1:28" x14ac:dyDescent="0.3">
      <c r="A52" t="s">
        <v>778</v>
      </c>
      <c r="B52" s="6">
        <v>45711.65</v>
      </c>
      <c r="C52" t="s">
        <v>421</v>
      </c>
      <c r="D52" t="s">
        <v>1182</v>
      </c>
      <c r="E52" t="s">
        <v>1207</v>
      </c>
      <c r="F52" t="s">
        <v>1228</v>
      </c>
      <c r="G52" t="s">
        <v>1177</v>
      </c>
      <c r="H52" t="s">
        <v>1236</v>
      </c>
      <c r="I52" t="s">
        <v>1237</v>
      </c>
      <c r="J52" t="s">
        <v>1238</v>
      </c>
      <c r="K52">
        <v>2</v>
      </c>
      <c r="L52">
        <v>1396</v>
      </c>
      <c r="M52">
        <v>0.2</v>
      </c>
      <c r="N52">
        <v>1116.8</v>
      </c>
      <c r="O52">
        <v>0.12</v>
      </c>
      <c r="P52">
        <v>2233.6</v>
      </c>
      <c r="Q52">
        <v>268.03199999999998</v>
      </c>
      <c r="R52">
        <v>2501.6320000000001</v>
      </c>
      <c r="S52" t="s">
        <v>1363</v>
      </c>
      <c r="T52" t="s">
        <v>1361</v>
      </c>
      <c r="U52" s="4">
        <v>45713</v>
      </c>
      <c r="V52" s="4">
        <v>45714</v>
      </c>
      <c r="W52" t="b">
        <v>0</v>
      </c>
      <c r="Z52" t="s">
        <v>1379</v>
      </c>
      <c r="AA52" t="s">
        <v>1385</v>
      </c>
      <c r="AB52" t="s">
        <v>1378</v>
      </c>
    </row>
    <row r="53" spans="1:28" x14ac:dyDescent="0.3">
      <c r="A53" t="s">
        <v>784</v>
      </c>
      <c r="B53" s="6">
        <v>45524.479166666664</v>
      </c>
      <c r="C53" t="s">
        <v>173</v>
      </c>
      <c r="D53" t="s">
        <v>1153</v>
      </c>
      <c r="E53" t="s">
        <v>1176</v>
      </c>
      <c r="F53" t="s">
        <v>1228</v>
      </c>
      <c r="G53" t="s">
        <v>1144</v>
      </c>
      <c r="H53" t="s">
        <v>1159</v>
      </c>
      <c r="I53" t="s">
        <v>1272</v>
      </c>
      <c r="J53" t="s">
        <v>1273</v>
      </c>
      <c r="K53">
        <v>1</v>
      </c>
      <c r="L53">
        <v>2769</v>
      </c>
      <c r="M53">
        <v>0</v>
      </c>
      <c r="N53">
        <v>2769</v>
      </c>
      <c r="O53">
        <v>0.05</v>
      </c>
      <c r="P53">
        <v>2769</v>
      </c>
      <c r="Q53">
        <v>138.44999999999999</v>
      </c>
      <c r="R53">
        <v>2907.45</v>
      </c>
      <c r="S53" t="s">
        <v>1360</v>
      </c>
      <c r="T53" t="s">
        <v>1361</v>
      </c>
      <c r="U53" s="4">
        <v>45524</v>
      </c>
      <c r="V53" s="4">
        <v>45528</v>
      </c>
      <c r="W53" t="b">
        <v>0</v>
      </c>
      <c r="Z53" t="s">
        <v>1376</v>
      </c>
      <c r="AA53" t="s">
        <v>1397</v>
      </c>
      <c r="AB53" t="s">
        <v>1391</v>
      </c>
    </row>
    <row r="54" spans="1:28" x14ac:dyDescent="0.3">
      <c r="A54" t="s">
        <v>793</v>
      </c>
      <c r="B54" s="6">
        <v>45596.606249999997</v>
      </c>
      <c r="C54" t="s">
        <v>24</v>
      </c>
      <c r="D54" t="s">
        <v>1153</v>
      </c>
      <c r="E54" t="s">
        <v>1154</v>
      </c>
      <c r="F54" t="s">
        <v>1228</v>
      </c>
      <c r="G54" t="s">
        <v>1163</v>
      </c>
      <c r="H54" t="s">
        <v>1224</v>
      </c>
      <c r="I54" t="s">
        <v>1243</v>
      </c>
      <c r="J54" t="s">
        <v>1244</v>
      </c>
      <c r="K54">
        <v>2</v>
      </c>
      <c r="L54">
        <v>687</v>
      </c>
      <c r="M54">
        <v>0</v>
      </c>
      <c r="N54">
        <v>687</v>
      </c>
      <c r="O54">
        <v>0.18</v>
      </c>
      <c r="P54">
        <v>1374</v>
      </c>
      <c r="Q54">
        <v>247.32</v>
      </c>
      <c r="R54">
        <v>1621.32</v>
      </c>
      <c r="S54" t="s">
        <v>1365</v>
      </c>
      <c r="T54" t="s">
        <v>1367</v>
      </c>
      <c r="U54" s="4">
        <v>45598</v>
      </c>
      <c r="W54" t="b">
        <v>0</v>
      </c>
      <c r="Z54" t="s">
        <v>1396</v>
      </c>
      <c r="AA54" t="s">
        <v>1385</v>
      </c>
      <c r="AB54" t="s">
        <v>1380</v>
      </c>
    </row>
    <row r="55" spans="1:28" x14ac:dyDescent="0.3">
      <c r="A55" t="s">
        <v>795</v>
      </c>
      <c r="B55" s="6">
        <v>45471.554166666669</v>
      </c>
      <c r="C55" t="s">
        <v>444</v>
      </c>
      <c r="D55" t="s">
        <v>1157</v>
      </c>
      <c r="E55" t="s">
        <v>1158</v>
      </c>
      <c r="F55" t="s">
        <v>1228</v>
      </c>
      <c r="G55" t="s">
        <v>1177</v>
      </c>
      <c r="H55" t="s">
        <v>1178</v>
      </c>
      <c r="I55" t="s">
        <v>1220</v>
      </c>
      <c r="J55" t="s">
        <v>1221</v>
      </c>
      <c r="K55">
        <v>3</v>
      </c>
      <c r="L55">
        <v>2590</v>
      </c>
      <c r="M55">
        <v>0</v>
      </c>
      <c r="N55">
        <v>2590</v>
      </c>
      <c r="O55">
        <v>0.05</v>
      </c>
      <c r="P55">
        <v>7770</v>
      </c>
      <c r="Q55">
        <v>388.5</v>
      </c>
      <c r="R55">
        <v>8158.5</v>
      </c>
      <c r="S55" t="s">
        <v>1366</v>
      </c>
      <c r="T55" t="s">
        <v>1361</v>
      </c>
      <c r="U55" s="4">
        <v>45472</v>
      </c>
      <c r="V55" s="4">
        <v>45475</v>
      </c>
      <c r="W55" t="b">
        <v>0</v>
      </c>
      <c r="Z55" t="s">
        <v>1398</v>
      </c>
      <c r="AA55" t="s">
        <v>1385</v>
      </c>
      <c r="AB55" t="s">
        <v>1393</v>
      </c>
    </row>
    <row r="56" spans="1:28" x14ac:dyDescent="0.3">
      <c r="A56" t="s">
        <v>821</v>
      </c>
      <c r="B56" s="6">
        <v>45397.436111111114</v>
      </c>
      <c r="C56" t="s">
        <v>320</v>
      </c>
      <c r="D56" t="s">
        <v>1153</v>
      </c>
      <c r="E56" t="s">
        <v>1162</v>
      </c>
      <c r="F56" t="s">
        <v>1228</v>
      </c>
      <c r="G56" t="s">
        <v>1177</v>
      </c>
      <c r="H56" t="s">
        <v>1192</v>
      </c>
      <c r="I56" t="s">
        <v>1344</v>
      </c>
      <c r="J56" t="s">
        <v>1345</v>
      </c>
      <c r="K56">
        <v>1</v>
      </c>
      <c r="L56">
        <v>451</v>
      </c>
      <c r="M56">
        <v>0.05</v>
      </c>
      <c r="N56">
        <v>428.45</v>
      </c>
      <c r="O56">
        <v>0.12</v>
      </c>
      <c r="P56">
        <v>428.45</v>
      </c>
      <c r="Q56">
        <v>51.413999999999987</v>
      </c>
      <c r="R56">
        <v>479.86399999999998</v>
      </c>
      <c r="S56" t="s">
        <v>1366</v>
      </c>
      <c r="T56" t="s">
        <v>1367</v>
      </c>
      <c r="U56" s="4">
        <v>45397</v>
      </c>
      <c r="W56" t="b">
        <v>0</v>
      </c>
      <c r="Z56" t="s">
        <v>1398</v>
      </c>
      <c r="AA56" t="s">
        <v>1377</v>
      </c>
      <c r="AB56" t="s">
        <v>1378</v>
      </c>
    </row>
    <row r="57" spans="1:28" x14ac:dyDescent="0.3">
      <c r="A57" t="s">
        <v>823</v>
      </c>
      <c r="B57" s="6">
        <v>45405.581944444442</v>
      </c>
      <c r="C57" t="s">
        <v>65</v>
      </c>
      <c r="D57" t="s">
        <v>1141</v>
      </c>
      <c r="E57" t="s">
        <v>1142</v>
      </c>
      <c r="F57" t="s">
        <v>1228</v>
      </c>
      <c r="G57" t="s">
        <v>1172</v>
      </c>
      <c r="H57" t="s">
        <v>1198</v>
      </c>
      <c r="I57" t="s">
        <v>1250</v>
      </c>
      <c r="J57" t="s">
        <v>1251</v>
      </c>
      <c r="K57">
        <v>1</v>
      </c>
      <c r="L57">
        <v>6023</v>
      </c>
      <c r="M57">
        <v>0.1</v>
      </c>
      <c r="N57">
        <v>5420.7</v>
      </c>
      <c r="O57">
        <v>0.05</v>
      </c>
      <c r="P57">
        <v>5420.7</v>
      </c>
      <c r="Q57">
        <v>271.03500000000003</v>
      </c>
      <c r="R57">
        <v>5691.7349999999997</v>
      </c>
      <c r="S57" t="s">
        <v>1360</v>
      </c>
      <c r="T57" t="s">
        <v>1361</v>
      </c>
      <c r="U57" s="4">
        <v>45405</v>
      </c>
      <c r="V57" s="4">
        <v>45409</v>
      </c>
      <c r="W57" t="b">
        <v>0</v>
      </c>
      <c r="Z57" t="s">
        <v>1379</v>
      </c>
      <c r="AA57" t="s">
        <v>1394</v>
      </c>
      <c r="AB57" t="s">
        <v>1391</v>
      </c>
    </row>
    <row r="58" spans="1:28" x14ac:dyDescent="0.3">
      <c r="A58" t="s">
        <v>836</v>
      </c>
      <c r="B58" s="6">
        <v>45614.703472222223</v>
      </c>
      <c r="C58" t="s">
        <v>444</v>
      </c>
      <c r="D58" t="s">
        <v>1157</v>
      </c>
      <c r="E58" t="s">
        <v>1158</v>
      </c>
      <c r="F58" t="s">
        <v>1228</v>
      </c>
      <c r="G58" t="s">
        <v>1177</v>
      </c>
      <c r="H58" t="s">
        <v>1178</v>
      </c>
      <c r="I58" t="s">
        <v>1305</v>
      </c>
      <c r="J58" t="s">
        <v>1306</v>
      </c>
      <c r="K58">
        <v>1</v>
      </c>
      <c r="L58">
        <v>2148</v>
      </c>
      <c r="M58">
        <v>0.15</v>
      </c>
      <c r="N58">
        <v>1825.8</v>
      </c>
      <c r="O58">
        <v>0.05</v>
      </c>
      <c r="P58">
        <v>1825.8</v>
      </c>
      <c r="Q58">
        <v>91.29</v>
      </c>
      <c r="R58">
        <v>1917.09</v>
      </c>
      <c r="S58" t="s">
        <v>1363</v>
      </c>
      <c r="T58" t="s">
        <v>1361</v>
      </c>
      <c r="U58" s="4">
        <v>45616</v>
      </c>
      <c r="V58" s="4">
        <v>45618</v>
      </c>
      <c r="W58" t="b">
        <v>0</v>
      </c>
      <c r="Z58" t="s">
        <v>1379</v>
      </c>
      <c r="AA58" t="s">
        <v>1377</v>
      </c>
      <c r="AB58" t="s">
        <v>1393</v>
      </c>
    </row>
    <row r="59" spans="1:28" x14ac:dyDescent="0.3">
      <c r="A59" t="s">
        <v>838</v>
      </c>
      <c r="B59" s="6">
        <v>45448.527083333334</v>
      </c>
      <c r="C59" t="s">
        <v>768</v>
      </c>
      <c r="D59" t="s">
        <v>1182</v>
      </c>
      <c r="E59" t="s">
        <v>1256</v>
      </c>
      <c r="F59" t="s">
        <v>1228</v>
      </c>
      <c r="G59" t="s">
        <v>1177</v>
      </c>
      <c r="H59" t="s">
        <v>1192</v>
      </c>
      <c r="I59" t="s">
        <v>1283</v>
      </c>
      <c r="J59" t="s">
        <v>1284</v>
      </c>
      <c r="K59">
        <v>1</v>
      </c>
      <c r="L59">
        <v>496</v>
      </c>
      <c r="M59">
        <v>0.1</v>
      </c>
      <c r="N59">
        <v>446.4</v>
      </c>
      <c r="O59">
        <v>0.12</v>
      </c>
      <c r="P59">
        <v>446.4</v>
      </c>
      <c r="Q59">
        <v>53.567999999999998</v>
      </c>
      <c r="R59">
        <v>499.96800000000002</v>
      </c>
      <c r="S59" t="s">
        <v>1360</v>
      </c>
      <c r="T59" t="s">
        <v>1368</v>
      </c>
      <c r="U59" s="4">
        <v>45449</v>
      </c>
      <c r="W59" t="b">
        <v>0</v>
      </c>
      <c r="Z59" t="s">
        <v>1396</v>
      </c>
      <c r="AA59" t="s">
        <v>1397</v>
      </c>
      <c r="AB59" t="s">
        <v>1380</v>
      </c>
    </row>
    <row r="60" spans="1:28" x14ac:dyDescent="0.3">
      <c r="A60" t="s">
        <v>843</v>
      </c>
      <c r="B60" s="6">
        <v>45529.522916666669</v>
      </c>
      <c r="C60" t="s">
        <v>124</v>
      </c>
      <c r="D60" t="s">
        <v>1153</v>
      </c>
      <c r="E60" t="s">
        <v>1191</v>
      </c>
      <c r="F60" t="s">
        <v>1228</v>
      </c>
      <c r="G60" t="s">
        <v>1167</v>
      </c>
      <c r="H60" t="s">
        <v>1208</v>
      </c>
      <c r="I60" t="s">
        <v>1291</v>
      </c>
      <c r="J60" t="s">
        <v>1292</v>
      </c>
      <c r="K60">
        <v>4</v>
      </c>
      <c r="L60">
        <v>5852</v>
      </c>
      <c r="M60">
        <v>0</v>
      </c>
      <c r="N60">
        <v>5852</v>
      </c>
      <c r="O60">
        <v>0.18</v>
      </c>
      <c r="P60">
        <v>23408</v>
      </c>
      <c r="Q60">
        <v>4213.4399999999996</v>
      </c>
      <c r="R60">
        <v>27621.439999999999</v>
      </c>
      <c r="S60" t="s">
        <v>1360</v>
      </c>
      <c r="T60" t="s">
        <v>1361</v>
      </c>
      <c r="U60" s="4">
        <v>45530</v>
      </c>
      <c r="V60" s="4">
        <v>45533</v>
      </c>
      <c r="W60" t="b">
        <v>0</v>
      </c>
      <c r="Z60" t="s">
        <v>1388</v>
      </c>
      <c r="AA60" t="s">
        <v>1399</v>
      </c>
      <c r="AB60" t="s">
        <v>1393</v>
      </c>
    </row>
    <row r="61" spans="1:28" x14ac:dyDescent="0.3">
      <c r="A61" t="s">
        <v>863</v>
      </c>
      <c r="B61" s="6">
        <v>45331.477083333331</v>
      </c>
      <c r="C61" t="s">
        <v>524</v>
      </c>
      <c r="D61" t="s">
        <v>1148</v>
      </c>
      <c r="E61" t="s">
        <v>1149</v>
      </c>
      <c r="F61" t="s">
        <v>1228</v>
      </c>
      <c r="G61" t="s">
        <v>1163</v>
      </c>
      <c r="H61" t="s">
        <v>1164</v>
      </c>
      <c r="I61" t="s">
        <v>1165</v>
      </c>
      <c r="J61" t="s">
        <v>1166</v>
      </c>
      <c r="K61">
        <v>2</v>
      </c>
      <c r="L61">
        <v>635</v>
      </c>
      <c r="M61">
        <v>0</v>
      </c>
      <c r="N61">
        <v>635</v>
      </c>
      <c r="O61">
        <v>0.05</v>
      </c>
      <c r="P61">
        <v>1270</v>
      </c>
      <c r="Q61">
        <v>63.5</v>
      </c>
      <c r="R61">
        <v>1333.5</v>
      </c>
      <c r="S61" t="s">
        <v>1360</v>
      </c>
      <c r="T61" t="s">
        <v>1367</v>
      </c>
      <c r="U61" s="4">
        <v>45333</v>
      </c>
      <c r="W61" t="b">
        <v>0</v>
      </c>
      <c r="Z61" t="s">
        <v>1379</v>
      </c>
      <c r="AA61" t="s">
        <v>1385</v>
      </c>
      <c r="AB61" t="s">
        <v>1391</v>
      </c>
    </row>
    <row r="62" spans="1:28" x14ac:dyDescent="0.3">
      <c r="A62" t="s">
        <v>880</v>
      </c>
      <c r="B62" s="6">
        <v>45301.473611111112</v>
      </c>
      <c r="C62" t="s">
        <v>20</v>
      </c>
      <c r="D62" t="s">
        <v>1157</v>
      </c>
      <c r="E62" t="s">
        <v>1181</v>
      </c>
      <c r="F62" t="s">
        <v>1228</v>
      </c>
      <c r="G62" t="s">
        <v>1163</v>
      </c>
      <c r="H62" t="s">
        <v>1164</v>
      </c>
      <c r="I62" t="s">
        <v>1318</v>
      </c>
      <c r="J62" t="s">
        <v>1319</v>
      </c>
      <c r="K62">
        <v>3</v>
      </c>
      <c r="L62">
        <v>1038</v>
      </c>
      <c r="M62">
        <v>0.05</v>
      </c>
      <c r="N62">
        <v>986.09999999999991</v>
      </c>
      <c r="O62">
        <v>0.12</v>
      </c>
      <c r="P62">
        <v>2958.3</v>
      </c>
      <c r="Q62">
        <v>354.99599999999998</v>
      </c>
      <c r="R62">
        <v>3313.2959999999998</v>
      </c>
      <c r="S62" t="s">
        <v>1365</v>
      </c>
      <c r="T62" t="s">
        <v>1361</v>
      </c>
      <c r="U62" s="4">
        <v>45301</v>
      </c>
      <c r="V62" s="4">
        <v>45302</v>
      </c>
      <c r="W62" t="b">
        <v>0</v>
      </c>
      <c r="Z62" t="s">
        <v>1392</v>
      </c>
      <c r="AA62" t="s">
        <v>1394</v>
      </c>
      <c r="AB62" t="s">
        <v>1391</v>
      </c>
    </row>
    <row r="63" spans="1:28" x14ac:dyDescent="0.3">
      <c r="A63" t="s">
        <v>903</v>
      </c>
      <c r="B63" s="6">
        <v>45325.587500000001</v>
      </c>
      <c r="C63" t="s">
        <v>34</v>
      </c>
      <c r="D63" t="s">
        <v>1148</v>
      </c>
      <c r="E63" t="s">
        <v>1149</v>
      </c>
      <c r="F63" t="s">
        <v>1228</v>
      </c>
      <c r="G63" t="s">
        <v>1163</v>
      </c>
      <c r="H63" t="s">
        <v>1184</v>
      </c>
      <c r="I63" t="s">
        <v>1185</v>
      </c>
      <c r="J63" t="s">
        <v>1186</v>
      </c>
      <c r="K63">
        <v>3</v>
      </c>
      <c r="L63">
        <v>342</v>
      </c>
      <c r="M63">
        <v>0.1</v>
      </c>
      <c r="N63">
        <v>307.8</v>
      </c>
      <c r="O63">
        <v>0.12</v>
      </c>
      <c r="P63">
        <v>923.40000000000009</v>
      </c>
      <c r="Q63">
        <v>110.80800000000001</v>
      </c>
      <c r="R63">
        <v>1034.2080000000001</v>
      </c>
      <c r="S63" t="s">
        <v>1363</v>
      </c>
      <c r="T63" t="s">
        <v>1361</v>
      </c>
      <c r="U63" s="4">
        <v>45325</v>
      </c>
      <c r="V63" s="4">
        <v>45327</v>
      </c>
      <c r="W63" t="b">
        <v>0</v>
      </c>
      <c r="Z63" t="s">
        <v>1388</v>
      </c>
      <c r="AA63" t="s">
        <v>1400</v>
      </c>
      <c r="AB63" t="s">
        <v>1395</v>
      </c>
    </row>
    <row r="64" spans="1:28" x14ac:dyDescent="0.3">
      <c r="A64" t="s">
        <v>912</v>
      </c>
      <c r="B64" s="6">
        <v>45435.495138888888</v>
      </c>
      <c r="C64" t="s">
        <v>247</v>
      </c>
      <c r="D64" t="s">
        <v>1141</v>
      </c>
      <c r="E64" t="s">
        <v>1227</v>
      </c>
      <c r="F64" t="s">
        <v>1228</v>
      </c>
      <c r="G64" t="s">
        <v>1167</v>
      </c>
      <c r="H64" t="s">
        <v>1288</v>
      </c>
      <c r="I64" t="s">
        <v>1293</v>
      </c>
      <c r="J64" t="s">
        <v>1294</v>
      </c>
      <c r="K64">
        <v>4</v>
      </c>
      <c r="L64">
        <v>5995</v>
      </c>
      <c r="M64">
        <v>0</v>
      </c>
      <c r="N64">
        <v>5995</v>
      </c>
      <c r="O64">
        <v>0.12</v>
      </c>
      <c r="P64">
        <v>23980</v>
      </c>
      <c r="Q64">
        <v>2877.6</v>
      </c>
      <c r="R64">
        <v>26857.599999999999</v>
      </c>
      <c r="S64" t="s">
        <v>1365</v>
      </c>
      <c r="T64" t="s">
        <v>1361</v>
      </c>
      <c r="U64" s="4">
        <v>45436</v>
      </c>
      <c r="V64" s="4">
        <v>45437</v>
      </c>
      <c r="W64" t="b">
        <v>0</v>
      </c>
      <c r="Z64" t="s">
        <v>1384</v>
      </c>
      <c r="AA64" t="s">
        <v>1394</v>
      </c>
      <c r="AB64" t="s">
        <v>1393</v>
      </c>
    </row>
    <row r="65" spans="1:28" x14ac:dyDescent="0.3">
      <c r="A65" t="s">
        <v>915</v>
      </c>
      <c r="B65" s="6">
        <v>45450.614583333336</v>
      </c>
      <c r="C65" t="s">
        <v>191</v>
      </c>
      <c r="D65" t="s">
        <v>1153</v>
      </c>
      <c r="E65" t="s">
        <v>1154</v>
      </c>
      <c r="F65" t="s">
        <v>1228</v>
      </c>
      <c r="G65" t="s">
        <v>1144</v>
      </c>
      <c r="H65" t="s">
        <v>1214</v>
      </c>
      <c r="I65" t="s">
        <v>1215</v>
      </c>
      <c r="J65" t="s">
        <v>1216</v>
      </c>
      <c r="K65">
        <v>1</v>
      </c>
      <c r="L65">
        <v>14152</v>
      </c>
      <c r="M65">
        <v>0</v>
      </c>
      <c r="N65">
        <v>14152</v>
      </c>
      <c r="O65">
        <v>0.12</v>
      </c>
      <c r="P65">
        <v>14152</v>
      </c>
      <c r="Q65">
        <v>1698.24</v>
      </c>
      <c r="R65">
        <v>15850.24</v>
      </c>
      <c r="S65" t="s">
        <v>1362</v>
      </c>
      <c r="T65" t="s">
        <v>1368</v>
      </c>
      <c r="U65" s="4">
        <v>45452</v>
      </c>
      <c r="W65" t="b">
        <v>0</v>
      </c>
      <c r="Z65" t="s">
        <v>1392</v>
      </c>
      <c r="AA65" t="s">
        <v>1399</v>
      </c>
      <c r="AB65" t="s">
        <v>1395</v>
      </c>
    </row>
    <row r="66" spans="1:28" x14ac:dyDescent="0.3">
      <c r="A66" t="s">
        <v>916</v>
      </c>
      <c r="B66" s="6">
        <v>45669.556250000001</v>
      </c>
      <c r="C66" t="s">
        <v>171</v>
      </c>
      <c r="D66" t="s">
        <v>1182</v>
      </c>
      <c r="E66" t="s">
        <v>1207</v>
      </c>
      <c r="F66" t="s">
        <v>1228</v>
      </c>
      <c r="G66" t="s">
        <v>1177</v>
      </c>
      <c r="H66" t="s">
        <v>1195</v>
      </c>
      <c r="I66" t="s">
        <v>1196</v>
      </c>
      <c r="J66" t="s">
        <v>1197</v>
      </c>
      <c r="K66">
        <v>3</v>
      </c>
      <c r="L66">
        <v>734</v>
      </c>
      <c r="M66">
        <v>0</v>
      </c>
      <c r="N66">
        <v>734</v>
      </c>
      <c r="O66">
        <v>0.05</v>
      </c>
      <c r="P66">
        <v>2202</v>
      </c>
      <c r="Q66">
        <v>110.1</v>
      </c>
      <c r="R66">
        <v>2312.1</v>
      </c>
      <c r="S66" t="s">
        <v>1363</v>
      </c>
      <c r="T66" t="s">
        <v>1361</v>
      </c>
      <c r="U66" s="4">
        <v>45671</v>
      </c>
      <c r="V66" s="4">
        <v>45676</v>
      </c>
      <c r="W66" t="b">
        <v>0</v>
      </c>
      <c r="Z66" t="s">
        <v>1392</v>
      </c>
      <c r="AA66" t="s">
        <v>1387</v>
      </c>
      <c r="AB66" t="s">
        <v>1383</v>
      </c>
    </row>
    <row r="67" spans="1:28" x14ac:dyDescent="0.3">
      <c r="A67" t="s">
        <v>925</v>
      </c>
      <c r="B67" s="6">
        <v>45691.479861111111</v>
      </c>
      <c r="C67" t="s">
        <v>683</v>
      </c>
      <c r="D67" t="s">
        <v>1182</v>
      </c>
      <c r="E67" t="s">
        <v>1257</v>
      </c>
      <c r="F67" t="s">
        <v>1228</v>
      </c>
      <c r="G67" t="s">
        <v>1163</v>
      </c>
      <c r="H67" t="s">
        <v>1224</v>
      </c>
      <c r="I67" t="s">
        <v>1316</v>
      </c>
      <c r="J67" t="s">
        <v>1317</v>
      </c>
      <c r="K67">
        <v>1</v>
      </c>
      <c r="L67">
        <v>858</v>
      </c>
      <c r="M67">
        <v>0</v>
      </c>
      <c r="N67">
        <v>858</v>
      </c>
      <c r="O67">
        <v>0.18</v>
      </c>
      <c r="P67">
        <v>858</v>
      </c>
      <c r="Q67">
        <v>154.44</v>
      </c>
      <c r="R67">
        <v>1012.44</v>
      </c>
      <c r="S67" t="s">
        <v>1360</v>
      </c>
      <c r="T67" t="s">
        <v>1367</v>
      </c>
      <c r="U67" s="4">
        <v>45692</v>
      </c>
      <c r="W67" t="b">
        <v>0</v>
      </c>
      <c r="Z67" t="s">
        <v>1376</v>
      </c>
      <c r="AA67" t="s">
        <v>1385</v>
      </c>
      <c r="AB67" t="s">
        <v>1378</v>
      </c>
    </row>
    <row r="68" spans="1:28" x14ac:dyDescent="0.3">
      <c r="A68" t="s">
        <v>960</v>
      </c>
      <c r="B68" s="6">
        <v>45495.520138888889</v>
      </c>
      <c r="C68" t="s">
        <v>267</v>
      </c>
      <c r="D68" t="s">
        <v>1148</v>
      </c>
      <c r="E68" t="s">
        <v>1217</v>
      </c>
      <c r="F68" t="s">
        <v>1228</v>
      </c>
      <c r="G68" t="s">
        <v>1167</v>
      </c>
      <c r="H68" t="s">
        <v>1211</v>
      </c>
      <c r="I68" t="s">
        <v>1279</v>
      </c>
      <c r="J68" t="s">
        <v>1280</v>
      </c>
      <c r="K68">
        <v>1</v>
      </c>
      <c r="L68">
        <v>44036</v>
      </c>
      <c r="M68">
        <v>0.15</v>
      </c>
      <c r="N68">
        <v>37430.6</v>
      </c>
      <c r="O68">
        <v>0.18</v>
      </c>
      <c r="P68">
        <v>37430.6</v>
      </c>
      <c r="Q68">
        <v>6737.5079999999998</v>
      </c>
      <c r="R68">
        <v>44168.108</v>
      </c>
      <c r="S68" t="s">
        <v>1365</v>
      </c>
      <c r="T68" t="s">
        <v>1364</v>
      </c>
      <c r="U68" s="4">
        <v>45497</v>
      </c>
      <c r="W68" t="b">
        <v>1</v>
      </c>
      <c r="X68" s="4">
        <v>45510</v>
      </c>
      <c r="Y68" s="4">
        <v>45510</v>
      </c>
      <c r="Z68" t="s">
        <v>1388</v>
      </c>
      <c r="AA68" t="s">
        <v>1397</v>
      </c>
      <c r="AB68" t="s">
        <v>1393</v>
      </c>
    </row>
    <row r="69" spans="1:28" x14ac:dyDescent="0.3">
      <c r="A69" t="s">
        <v>974</v>
      </c>
      <c r="B69" s="6">
        <v>45433.484722222223</v>
      </c>
      <c r="C69" t="s">
        <v>179</v>
      </c>
      <c r="D69" t="s">
        <v>1141</v>
      </c>
      <c r="E69" t="s">
        <v>1239</v>
      </c>
      <c r="F69" t="s">
        <v>1228</v>
      </c>
      <c r="G69" t="s">
        <v>1167</v>
      </c>
      <c r="H69" t="s">
        <v>1211</v>
      </c>
      <c r="I69" t="s">
        <v>1299</v>
      </c>
      <c r="J69" t="s">
        <v>1300</v>
      </c>
      <c r="K69">
        <v>2</v>
      </c>
      <c r="L69">
        <v>30970</v>
      </c>
      <c r="M69">
        <v>0.15</v>
      </c>
      <c r="N69">
        <v>26324.5</v>
      </c>
      <c r="O69">
        <v>0.12</v>
      </c>
      <c r="P69">
        <v>52649</v>
      </c>
      <c r="Q69">
        <v>6317.88</v>
      </c>
      <c r="R69">
        <v>58966.879999999997</v>
      </c>
      <c r="S69" t="s">
        <v>1360</v>
      </c>
      <c r="T69" t="s">
        <v>1361</v>
      </c>
      <c r="U69" s="4">
        <v>45435</v>
      </c>
      <c r="V69" s="4">
        <v>45440</v>
      </c>
      <c r="W69" t="b">
        <v>0</v>
      </c>
      <c r="Z69" t="s">
        <v>1382</v>
      </c>
      <c r="AA69" t="s">
        <v>1394</v>
      </c>
      <c r="AB69" t="s">
        <v>1391</v>
      </c>
    </row>
    <row r="70" spans="1:28" x14ac:dyDescent="0.3">
      <c r="A70" t="s">
        <v>976</v>
      </c>
      <c r="B70" s="6">
        <v>45655.48541666667</v>
      </c>
      <c r="C70" t="s">
        <v>86</v>
      </c>
      <c r="D70" t="s">
        <v>1182</v>
      </c>
      <c r="E70" t="s">
        <v>1207</v>
      </c>
      <c r="F70" t="s">
        <v>1228</v>
      </c>
      <c r="G70" t="s">
        <v>1177</v>
      </c>
      <c r="H70" t="s">
        <v>1236</v>
      </c>
      <c r="I70" t="s">
        <v>1237</v>
      </c>
      <c r="J70" t="s">
        <v>1238</v>
      </c>
      <c r="K70">
        <v>2</v>
      </c>
      <c r="L70">
        <v>1159</v>
      </c>
      <c r="M70">
        <v>0.2</v>
      </c>
      <c r="N70">
        <v>927.2</v>
      </c>
      <c r="O70">
        <v>0.12</v>
      </c>
      <c r="P70">
        <v>1854.4</v>
      </c>
      <c r="Q70">
        <v>222.52799999999999</v>
      </c>
      <c r="R70">
        <v>2076.9279999999999</v>
      </c>
      <c r="S70" t="s">
        <v>1363</v>
      </c>
      <c r="T70" t="s">
        <v>1361</v>
      </c>
      <c r="U70" s="4">
        <v>45657</v>
      </c>
      <c r="V70" s="4">
        <v>45660</v>
      </c>
      <c r="W70" t="b">
        <v>0</v>
      </c>
      <c r="Z70" t="s">
        <v>1398</v>
      </c>
      <c r="AA70" t="s">
        <v>1397</v>
      </c>
      <c r="AB70" t="s">
        <v>1378</v>
      </c>
    </row>
    <row r="71" spans="1:28" x14ac:dyDescent="0.3">
      <c r="A71" t="s">
        <v>977</v>
      </c>
      <c r="B71" s="6">
        <v>45337.484722222223</v>
      </c>
      <c r="C71" t="s">
        <v>462</v>
      </c>
      <c r="D71" t="s">
        <v>1148</v>
      </c>
      <c r="E71" t="s">
        <v>1149</v>
      </c>
      <c r="F71" t="s">
        <v>1228</v>
      </c>
      <c r="G71" t="s">
        <v>1167</v>
      </c>
      <c r="H71" t="s">
        <v>1263</v>
      </c>
      <c r="I71" t="s">
        <v>1346</v>
      </c>
      <c r="J71" t="s">
        <v>1347</v>
      </c>
      <c r="K71">
        <v>1</v>
      </c>
      <c r="L71">
        <v>59378</v>
      </c>
      <c r="M71">
        <v>0</v>
      </c>
      <c r="N71">
        <v>59378</v>
      </c>
      <c r="O71">
        <v>0.12</v>
      </c>
      <c r="P71">
        <v>59378</v>
      </c>
      <c r="Q71">
        <v>7125.36</v>
      </c>
      <c r="R71">
        <v>66503.360000000001</v>
      </c>
      <c r="S71" t="s">
        <v>1360</v>
      </c>
      <c r="T71" t="s">
        <v>1367</v>
      </c>
      <c r="U71" s="4">
        <v>45337</v>
      </c>
      <c r="W71" t="b">
        <v>0</v>
      </c>
      <c r="Z71" t="s">
        <v>1396</v>
      </c>
      <c r="AA71" t="s">
        <v>1399</v>
      </c>
      <c r="AB71" t="s">
        <v>1378</v>
      </c>
    </row>
    <row r="72" spans="1:28" x14ac:dyDescent="0.3">
      <c r="A72" t="s">
        <v>981</v>
      </c>
      <c r="B72" s="6">
        <v>45643.571527777778</v>
      </c>
      <c r="C72" t="s">
        <v>457</v>
      </c>
      <c r="D72" t="s">
        <v>1157</v>
      </c>
      <c r="E72" t="s">
        <v>1158</v>
      </c>
      <c r="F72" t="s">
        <v>1228</v>
      </c>
      <c r="G72" t="s">
        <v>1167</v>
      </c>
      <c r="H72" t="s">
        <v>1168</v>
      </c>
      <c r="I72" t="s">
        <v>1169</v>
      </c>
      <c r="J72" t="s">
        <v>1170</v>
      </c>
      <c r="K72">
        <v>3</v>
      </c>
      <c r="L72">
        <v>44492</v>
      </c>
      <c r="M72">
        <v>0</v>
      </c>
      <c r="N72">
        <v>44492</v>
      </c>
      <c r="O72">
        <v>0.05</v>
      </c>
      <c r="P72">
        <v>133476</v>
      </c>
      <c r="Q72">
        <v>6673.8</v>
      </c>
      <c r="R72">
        <v>140149.79999999999</v>
      </c>
      <c r="S72" t="s">
        <v>1363</v>
      </c>
      <c r="T72" t="s">
        <v>1361</v>
      </c>
      <c r="U72" s="4">
        <v>45644</v>
      </c>
      <c r="V72" s="4">
        <v>45645</v>
      </c>
      <c r="W72" t="b">
        <v>0</v>
      </c>
      <c r="Z72" t="s">
        <v>1392</v>
      </c>
      <c r="AA72" t="s">
        <v>1397</v>
      </c>
      <c r="AB72" t="s">
        <v>1383</v>
      </c>
    </row>
    <row r="73" spans="1:28" x14ac:dyDescent="0.3">
      <c r="A73" t="s">
        <v>985</v>
      </c>
      <c r="B73" s="6">
        <v>45756.576388888891</v>
      </c>
      <c r="C73" t="s">
        <v>181</v>
      </c>
      <c r="D73" t="s">
        <v>1153</v>
      </c>
      <c r="E73" t="s">
        <v>1191</v>
      </c>
      <c r="F73" t="s">
        <v>1228</v>
      </c>
      <c r="G73" t="s">
        <v>1172</v>
      </c>
      <c r="H73" t="s">
        <v>1229</v>
      </c>
      <c r="I73" t="s">
        <v>1340</v>
      </c>
      <c r="J73" t="s">
        <v>1341</v>
      </c>
      <c r="K73">
        <v>2</v>
      </c>
      <c r="L73">
        <v>2661</v>
      </c>
      <c r="M73">
        <v>0.1</v>
      </c>
      <c r="N73">
        <v>2394.9</v>
      </c>
      <c r="O73">
        <v>0.05</v>
      </c>
      <c r="P73">
        <v>4789.8</v>
      </c>
      <c r="Q73">
        <v>239.49</v>
      </c>
      <c r="R73">
        <v>5029.29</v>
      </c>
      <c r="S73" t="s">
        <v>1363</v>
      </c>
      <c r="T73" t="s">
        <v>1361</v>
      </c>
      <c r="U73" s="4">
        <v>45756</v>
      </c>
      <c r="V73" s="4">
        <v>45760</v>
      </c>
      <c r="W73" t="b">
        <v>0</v>
      </c>
      <c r="Z73" t="s">
        <v>1386</v>
      </c>
      <c r="AA73" t="s">
        <v>1400</v>
      </c>
      <c r="AB73" t="s">
        <v>1393</v>
      </c>
    </row>
    <row r="74" spans="1:28" x14ac:dyDescent="0.3">
      <c r="A74" t="s">
        <v>997</v>
      </c>
      <c r="B74" s="6">
        <v>45660.518055555556</v>
      </c>
      <c r="C74" t="s">
        <v>117</v>
      </c>
      <c r="D74" t="s">
        <v>1141</v>
      </c>
      <c r="E74" t="s">
        <v>1285</v>
      </c>
      <c r="F74" t="s">
        <v>1228</v>
      </c>
      <c r="G74" t="s">
        <v>1167</v>
      </c>
      <c r="H74" t="s">
        <v>1168</v>
      </c>
      <c r="I74" t="s">
        <v>1169</v>
      </c>
      <c r="J74" t="s">
        <v>1170</v>
      </c>
      <c r="K74">
        <v>1</v>
      </c>
      <c r="L74">
        <v>15254</v>
      </c>
      <c r="M74">
        <v>0.1</v>
      </c>
      <c r="N74">
        <v>13728.6</v>
      </c>
      <c r="O74">
        <v>0.12</v>
      </c>
      <c r="P74">
        <v>13728.6</v>
      </c>
      <c r="Q74">
        <v>1647.432</v>
      </c>
      <c r="R74">
        <v>15376.031999999999</v>
      </c>
      <c r="S74" t="s">
        <v>1362</v>
      </c>
      <c r="T74" t="s">
        <v>1361</v>
      </c>
      <c r="U74" s="4">
        <v>45660</v>
      </c>
      <c r="V74" s="4">
        <v>45663</v>
      </c>
      <c r="W74" t="b">
        <v>0</v>
      </c>
      <c r="Z74" t="s">
        <v>1376</v>
      </c>
      <c r="AA74" t="s">
        <v>1394</v>
      </c>
      <c r="AB74" t="s">
        <v>1393</v>
      </c>
    </row>
    <row r="75" spans="1:28" x14ac:dyDescent="0.3">
      <c r="A75" t="s">
        <v>1024</v>
      </c>
      <c r="B75" s="6">
        <v>45633.448611111111</v>
      </c>
      <c r="C75" t="s">
        <v>460</v>
      </c>
      <c r="D75" t="s">
        <v>1182</v>
      </c>
      <c r="E75" t="s">
        <v>1256</v>
      </c>
      <c r="F75" t="s">
        <v>1228</v>
      </c>
      <c r="G75" t="s">
        <v>1163</v>
      </c>
      <c r="H75" t="s">
        <v>1266</v>
      </c>
      <c r="I75" t="s">
        <v>1348</v>
      </c>
      <c r="J75" t="s">
        <v>1349</v>
      </c>
      <c r="K75">
        <v>4</v>
      </c>
      <c r="L75">
        <v>1159</v>
      </c>
      <c r="M75">
        <v>0</v>
      </c>
      <c r="N75">
        <v>1159</v>
      </c>
      <c r="O75">
        <v>0.05</v>
      </c>
      <c r="P75">
        <v>4636</v>
      </c>
      <c r="Q75">
        <v>231.8</v>
      </c>
      <c r="R75">
        <v>4867.8</v>
      </c>
      <c r="S75" t="s">
        <v>1365</v>
      </c>
      <c r="T75" t="s">
        <v>1361</v>
      </c>
      <c r="U75" s="4">
        <v>45635</v>
      </c>
      <c r="V75" s="4">
        <v>45639</v>
      </c>
      <c r="W75" t="b">
        <v>0</v>
      </c>
      <c r="Z75" t="s">
        <v>1388</v>
      </c>
      <c r="AA75" t="s">
        <v>1399</v>
      </c>
      <c r="AB75" t="s">
        <v>1378</v>
      </c>
    </row>
    <row r="76" spans="1:28" x14ac:dyDescent="0.3">
      <c r="A76" t="s">
        <v>1025</v>
      </c>
      <c r="B76" s="6">
        <v>45373.593055555553</v>
      </c>
      <c r="C76" t="s">
        <v>143</v>
      </c>
      <c r="D76" t="s">
        <v>1153</v>
      </c>
      <c r="E76" t="s">
        <v>1154</v>
      </c>
      <c r="F76" t="s">
        <v>1228</v>
      </c>
      <c r="G76" t="s">
        <v>1144</v>
      </c>
      <c r="H76" t="s">
        <v>1145</v>
      </c>
      <c r="I76" t="s">
        <v>1155</v>
      </c>
      <c r="J76" t="s">
        <v>1156</v>
      </c>
      <c r="K76">
        <v>2</v>
      </c>
      <c r="L76">
        <v>10020</v>
      </c>
      <c r="M76">
        <v>0</v>
      </c>
      <c r="N76">
        <v>10020</v>
      </c>
      <c r="O76">
        <v>0.12</v>
      </c>
      <c r="P76">
        <v>20040</v>
      </c>
      <c r="Q76">
        <v>2404.8000000000002</v>
      </c>
      <c r="R76">
        <v>22444.799999999999</v>
      </c>
      <c r="S76" t="s">
        <v>1362</v>
      </c>
      <c r="T76" t="s">
        <v>1361</v>
      </c>
      <c r="U76" s="4">
        <v>45373</v>
      </c>
      <c r="V76" s="4">
        <v>45375</v>
      </c>
      <c r="W76" t="b">
        <v>0</v>
      </c>
      <c r="Z76" t="s">
        <v>1384</v>
      </c>
      <c r="AA76" t="s">
        <v>1387</v>
      </c>
      <c r="AB76" t="s">
        <v>1391</v>
      </c>
    </row>
    <row r="77" spans="1:28" x14ac:dyDescent="0.3">
      <c r="A77" t="s">
        <v>1029</v>
      </c>
      <c r="B77" s="6">
        <v>45637.552777777775</v>
      </c>
      <c r="C77" t="s">
        <v>28</v>
      </c>
      <c r="D77" t="s">
        <v>1153</v>
      </c>
      <c r="E77" t="s">
        <v>1162</v>
      </c>
      <c r="F77" t="s">
        <v>1228</v>
      </c>
      <c r="G77" t="s">
        <v>1172</v>
      </c>
      <c r="H77" t="s">
        <v>1204</v>
      </c>
      <c r="I77" t="s">
        <v>1234</v>
      </c>
      <c r="J77" t="s">
        <v>1235</v>
      </c>
      <c r="K77">
        <v>3</v>
      </c>
      <c r="L77">
        <v>2167</v>
      </c>
      <c r="M77">
        <v>0.1</v>
      </c>
      <c r="N77">
        <v>1950.3</v>
      </c>
      <c r="O77">
        <v>0.12</v>
      </c>
      <c r="P77">
        <v>5850.9</v>
      </c>
      <c r="Q77">
        <v>702.10799999999995</v>
      </c>
      <c r="R77">
        <v>6553.0079999999998</v>
      </c>
      <c r="S77" t="s">
        <v>1360</v>
      </c>
      <c r="T77" t="s">
        <v>1364</v>
      </c>
      <c r="U77" s="4">
        <v>45638</v>
      </c>
      <c r="W77" t="b">
        <v>1</v>
      </c>
      <c r="X77" s="4">
        <v>45648</v>
      </c>
      <c r="Y77" s="4">
        <v>45648</v>
      </c>
      <c r="Z77" t="s">
        <v>1376</v>
      </c>
      <c r="AA77" t="s">
        <v>1397</v>
      </c>
      <c r="AB77" t="s">
        <v>1395</v>
      </c>
    </row>
    <row r="78" spans="1:28" x14ac:dyDescent="0.3">
      <c r="A78" t="s">
        <v>1034</v>
      </c>
      <c r="B78" s="6">
        <v>45389.64166666667</v>
      </c>
      <c r="C78" t="s">
        <v>262</v>
      </c>
      <c r="D78" t="s">
        <v>1141</v>
      </c>
      <c r="E78" t="s">
        <v>1142</v>
      </c>
      <c r="F78" t="s">
        <v>1228</v>
      </c>
      <c r="G78" t="s">
        <v>1172</v>
      </c>
      <c r="H78" t="s">
        <v>1229</v>
      </c>
      <c r="I78" t="s">
        <v>1340</v>
      </c>
      <c r="J78" t="s">
        <v>1341</v>
      </c>
      <c r="K78">
        <v>2</v>
      </c>
      <c r="L78">
        <v>9872</v>
      </c>
      <c r="M78">
        <v>0</v>
      </c>
      <c r="N78">
        <v>9872</v>
      </c>
      <c r="O78">
        <v>0.18</v>
      </c>
      <c r="P78">
        <v>19744</v>
      </c>
      <c r="Q78">
        <v>3553.92</v>
      </c>
      <c r="R78">
        <v>23297.919999999998</v>
      </c>
      <c r="S78" t="s">
        <v>1360</v>
      </c>
      <c r="T78" t="s">
        <v>1361</v>
      </c>
      <c r="U78" s="4">
        <v>45390</v>
      </c>
      <c r="V78" s="4">
        <v>45394</v>
      </c>
      <c r="W78" t="b">
        <v>0</v>
      </c>
      <c r="Z78" t="s">
        <v>1388</v>
      </c>
      <c r="AA78" t="s">
        <v>1399</v>
      </c>
      <c r="AB78" t="s">
        <v>1378</v>
      </c>
    </row>
    <row r="79" spans="1:28" x14ac:dyDescent="0.3">
      <c r="A79" t="s">
        <v>1065</v>
      </c>
      <c r="B79" s="6">
        <v>45599.585416666669</v>
      </c>
      <c r="C79" t="s">
        <v>169</v>
      </c>
      <c r="D79" t="s">
        <v>1148</v>
      </c>
      <c r="E79" t="s">
        <v>1149</v>
      </c>
      <c r="F79" t="s">
        <v>1228</v>
      </c>
      <c r="G79" t="s">
        <v>1167</v>
      </c>
      <c r="H79" t="s">
        <v>1263</v>
      </c>
      <c r="I79" t="s">
        <v>1346</v>
      </c>
      <c r="J79" t="s">
        <v>1347</v>
      </c>
      <c r="K79">
        <v>1</v>
      </c>
      <c r="L79">
        <v>57062</v>
      </c>
      <c r="M79">
        <v>0</v>
      </c>
      <c r="N79">
        <v>57062</v>
      </c>
      <c r="O79">
        <v>0.18</v>
      </c>
      <c r="P79">
        <v>57062</v>
      </c>
      <c r="Q79">
        <v>10271.16</v>
      </c>
      <c r="R79">
        <v>67333.16</v>
      </c>
      <c r="S79" t="s">
        <v>1363</v>
      </c>
      <c r="T79" t="s">
        <v>1361</v>
      </c>
      <c r="U79" s="4">
        <v>45600</v>
      </c>
      <c r="V79" s="4">
        <v>45603</v>
      </c>
      <c r="W79" t="b">
        <v>0</v>
      </c>
      <c r="Z79" t="s">
        <v>1382</v>
      </c>
      <c r="AA79" t="s">
        <v>1400</v>
      </c>
      <c r="AB79" t="s">
        <v>1380</v>
      </c>
    </row>
    <row r="80" spans="1:28" x14ac:dyDescent="0.3">
      <c r="A80" t="s">
        <v>1074</v>
      </c>
      <c r="B80" s="6">
        <v>45443.487500000003</v>
      </c>
      <c r="C80" t="s">
        <v>137</v>
      </c>
      <c r="D80" t="s">
        <v>1182</v>
      </c>
      <c r="E80" t="s">
        <v>1183</v>
      </c>
      <c r="F80" t="s">
        <v>1228</v>
      </c>
      <c r="G80" t="s">
        <v>1167</v>
      </c>
      <c r="H80" t="s">
        <v>1288</v>
      </c>
      <c r="I80" t="s">
        <v>1336</v>
      </c>
      <c r="J80" t="s">
        <v>1337</v>
      </c>
      <c r="K80">
        <v>1</v>
      </c>
      <c r="L80">
        <v>14169</v>
      </c>
      <c r="M80">
        <v>0</v>
      </c>
      <c r="N80">
        <v>14169</v>
      </c>
      <c r="O80">
        <v>0.18</v>
      </c>
      <c r="P80">
        <v>14169</v>
      </c>
      <c r="Q80">
        <v>2550.42</v>
      </c>
      <c r="R80">
        <v>16719.419999999998</v>
      </c>
      <c r="S80" t="s">
        <v>1362</v>
      </c>
      <c r="T80" t="s">
        <v>1364</v>
      </c>
      <c r="U80" s="4">
        <v>45445</v>
      </c>
      <c r="W80" t="b">
        <v>1</v>
      </c>
      <c r="X80" s="4">
        <v>45453</v>
      </c>
      <c r="Y80" s="4">
        <v>45453</v>
      </c>
      <c r="Z80" t="s">
        <v>1384</v>
      </c>
      <c r="AA80" t="s">
        <v>1400</v>
      </c>
      <c r="AB80" t="s">
        <v>1389</v>
      </c>
    </row>
    <row r="81" spans="1:28" x14ac:dyDescent="0.3">
      <c r="A81" t="s">
        <v>1085</v>
      </c>
      <c r="B81" s="6">
        <v>45408.427777777775</v>
      </c>
      <c r="C81" t="s">
        <v>275</v>
      </c>
      <c r="D81" t="s">
        <v>1141</v>
      </c>
      <c r="E81" t="s">
        <v>1227</v>
      </c>
      <c r="F81" t="s">
        <v>1228</v>
      </c>
      <c r="G81" t="s">
        <v>1172</v>
      </c>
      <c r="H81" t="s">
        <v>1198</v>
      </c>
      <c r="I81" t="s">
        <v>1250</v>
      </c>
      <c r="J81" t="s">
        <v>1251</v>
      </c>
      <c r="K81">
        <v>5</v>
      </c>
      <c r="L81">
        <v>9658</v>
      </c>
      <c r="M81">
        <v>0.2</v>
      </c>
      <c r="N81">
        <v>7726.4000000000005</v>
      </c>
      <c r="O81">
        <v>0.05</v>
      </c>
      <c r="P81">
        <v>38632</v>
      </c>
      <c r="Q81">
        <v>1931.6</v>
      </c>
      <c r="R81">
        <v>40563.599999999999</v>
      </c>
      <c r="S81" t="s">
        <v>1360</v>
      </c>
      <c r="T81" t="s">
        <v>1361</v>
      </c>
      <c r="U81" s="4">
        <v>45410</v>
      </c>
      <c r="V81" s="4">
        <v>45414</v>
      </c>
      <c r="W81" t="b">
        <v>0</v>
      </c>
      <c r="Z81" t="s">
        <v>1386</v>
      </c>
      <c r="AA81" t="s">
        <v>1397</v>
      </c>
      <c r="AB81" t="s">
        <v>1389</v>
      </c>
    </row>
    <row r="82" spans="1:28" x14ac:dyDescent="0.3">
      <c r="A82" t="s">
        <v>1088</v>
      </c>
      <c r="B82" s="6">
        <v>45365.654861111114</v>
      </c>
      <c r="C82" t="s">
        <v>51</v>
      </c>
      <c r="D82" t="s">
        <v>1141</v>
      </c>
      <c r="E82" t="s">
        <v>1227</v>
      </c>
      <c r="F82" t="s">
        <v>1228</v>
      </c>
      <c r="G82" t="s">
        <v>1177</v>
      </c>
      <c r="H82" t="s">
        <v>1195</v>
      </c>
      <c r="I82" t="s">
        <v>1202</v>
      </c>
      <c r="J82" t="s">
        <v>1203</v>
      </c>
      <c r="K82">
        <v>2</v>
      </c>
      <c r="L82">
        <v>1513</v>
      </c>
      <c r="M82">
        <v>0.05</v>
      </c>
      <c r="N82">
        <v>1437.35</v>
      </c>
      <c r="O82">
        <v>0.12</v>
      </c>
      <c r="P82">
        <v>2874.7</v>
      </c>
      <c r="Q82">
        <v>344.96399999999988</v>
      </c>
      <c r="R82">
        <v>3219.6640000000002</v>
      </c>
      <c r="S82" t="s">
        <v>1360</v>
      </c>
      <c r="T82" t="s">
        <v>1361</v>
      </c>
      <c r="U82" s="4">
        <v>45367</v>
      </c>
      <c r="V82" s="4">
        <v>45371</v>
      </c>
      <c r="W82" t="b">
        <v>0</v>
      </c>
      <c r="Z82" t="s">
        <v>1398</v>
      </c>
      <c r="AA82" t="s">
        <v>1394</v>
      </c>
      <c r="AB82" t="s">
        <v>1383</v>
      </c>
    </row>
    <row r="83" spans="1:28" x14ac:dyDescent="0.3">
      <c r="A83" t="s">
        <v>1092</v>
      </c>
      <c r="B83" s="6">
        <v>45627.582638888889</v>
      </c>
      <c r="C83" t="s">
        <v>368</v>
      </c>
      <c r="D83" t="s">
        <v>1153</v>
      </c>
      <c r="E83" t="s">
        <v>1191</v>
      </c>
      <c r="F83" t="s">
        <v>1228</v>
      </c>
      <c r="G83" t="s">
        <v>1167</v>
      </c>
      <c r="H83" t="s">
        <v>1263</v>
      </c>
      <c r="I83" t="s">
        <v>1274</v>
      </c>
      <c r="J83" t="s">
        <v>1275</v>
      </c>
      <c r="K83">
        <v>2</v>
      </c>
      <c r="L83">
        <v>58829</v>
      </c>
      <c r="M83">
        <v>0</v>
      </c>
      <c r="N83">
        <v>58829</v>
      </c>
      <c r="O83">
        <v>0.12</v>
      </c>
      <c r="P83">
        <v>117658</v>
      </c>
      <c r="Q83">
        <v>14118.96</v>
      </c>
      <c r="R83">
        <v>131776.95999999999</v>
      </c>
      <c r="S83" t="s">
        <v>1360</v>
      </c>
      <c r="T83" t="s">
        <v>1361</v>
      </c>
      <c r="U83" s="4">
        <v>45627</v>
      </c>
      <c r="V83" s="4">
        <v>45630</v>
      </c>
      <c r="W83" t="b">
        <v>0</v>
      </c>
      <c r="Z83" t="s">
        <v>1379</v>
      </c>
      <c r="AA83" t="s">
        <v>1387</v>
      </c>
      <c r="AB83" t="s">
        <v>1378</v>
      </c>
    </row>
    <row r="84" spans="1:28" x14ac:dyDescent="0.3">
      <c r="A84" t="s">
        <v>1098</v>
      </c>
      <c r="B84" s="6">
        <v>45582.447222222225</v>
      </c>
      <c r="C84" t="s">
        <v>227</v>
      </c>
      <c r="D84" t="s">
        <v>1153</v>
      </c>
      <c r="E84" t="s">
        <v>1154</v>
      </c>
      <c r="F84" t="s">
        <v>1228</v>
      </c>
      <c r="G84" t="s">
        <v>1167</v>
      </c>
      <c r="H84" t="s">
        <v>1288</v>
      </c>
      <c r="I84" t="s">
        <v>1293</v>
      </c>
      <c r="J84" t="s">
        <v>1294</v>
      </c>
      <c r="K84">
        <v>1</v>
      </c>
      <c r="L84">
        <v>20010</v>
      </c>
      <c r="M84">
        <v>0</v>
      </c>
      <c r="N84">
        <v>20010</v>
      </c>
      <c r="O84">
        <v>0.18</v>
      </c>
      <c r="P84">
        <v>20010</v>
      </c>
      <c r="Q84">
        <v>3601.8</v>
      </c>
      <c r="R84">
        <v>23611.8</v>
      </c>
      <c r="S84" t="s">
        <v>1362</v>
      </c>
      <c r="T84" t="s">
        <v>1361</v>
      </c>
      <c r="U84" s="4">
        <v>45583</v>
      </c>
      <c r="V84" s="4">
        <v>45585</v>
      </c>
      <c r="W84" t="b">
        <v>0</v>
      </c>
      <c r="Z84" t="s">
        <v>1392</v>
      </c>
      <c r="AA84" t="s">
        <v>1400</v>
      </c>
      <c r="AB84" t="s">
        <v>1389</v>
      </c>
    </row>
    <row r="85" spans="1:28" x14ac:dyDescent="0.3">
      <c r="A85" t="s">
        <v>1100</v>
      </c>
      <c r="B85" s="6">
        <v>45660.502083333333</v>
      </c>
      <c r="C85" t="s">
        <v>59</v>
      </c>
      <c r="D85" t="s">
        <v>1148</v>
      </c>
      <c r="E85" t="s">
        <v>1217</v>
      </c>
      <c r="F85" t="s">
        <v>1228</v>
      </c>
      <c r="G85" t="s">
        <v>1177</v>
      </c>
      <c r="H85" t="s">
        <v>1236</v>
      </c>
      <c r="I85" t="s">
        <v>1254</v>
      </c>
      <c r="J85" t="s">
        <v>1255</v>
      </c>
      <c r="K85">
        <v>2</v>
      </c>
      <c r="L85">
        <v>1357</v>
      </c>
      <c r="M85">
        <v>0</v>
      </c>
      <c r="N85">
        <v>1357</v>
      </c>
      <c r="O85">
        <v>0.12</v>
      </c>
      <c r="P85">
        <v>2714</v>
      </c>
      <c r="Q85">
        <v>325.68</v>
      </c>
      <c r="R85">
        <v>3039.68</v>
      </c>
      <c r="S85" t="s">
        <v>1360</v>
      </c>
      <c r="T85" t="s">
        <v>1361</v>
      </c>
      <c r="U85" s="4">
        <v>45660</v>
      </c>
      <c r="V85" s="4">
        <v>45664</v>
      </c>
      <c r="W85" t="b">
        <v>0</v>
      </c>
      <c r="Z85" t="s">
        <v>1379</v>
      </c>
      <c r="AA85" t="s">
        <v>1399</v>
      </c>
      <c r="AB85" t="s">
        <v>1393</v>
      </c>
    </row>
    <row r="86" spans="1:28" x14ac:dyDescent="0.3">
      <c r="A86" t="s">
        <v>1117</v>
      </c>
      <c r="B86" s="6">
        <v>45363.602777777778</v>
      </c>
      <c r="C86" t="s">
        <v>164</v>
      </c>
      <c r="D86" t="s">
        <v>1157</v>
      </c>
      <c r="E86" t="s">
        <v>1249</v>
      </c>
      <c r="F86" t="s">
        <v>1228</v>
      </c>
      <c r="G86" t="s">
        <v>1167</v>
      </c>
      <c r="H86" t="s">
        <v>1168</v>
      </c>
      <c r="I86" t="s">
        <v>1169</v>
      </c>
      <c r="J86" t="s">
        <v>1170</v>
      </c>
      <c r="K86">
        <v>3</v>
      </c>
      <c r="L86">
        <v>54469</v>
      </c>
      <c r="M86">
        <v>0.05</v>
      </c>
      <c r="N86">
        <v>51745.55</v>
      </c>
      <c r="O86">
        <v>0.12</v>
      </c>
      <c r="P86">
        <v>155236.65</v>
      </c>
      <c r="Q86">
        <v>18628.398000000001</v>
      </c>
      <c r="R86">
        <v>173865.04800000001</v>
      </c>
      <c r="S86" t="s">
        <v>1366</v>
      </c>
      <c r="T86" t="s">
        <v>1361</v>
      </c>
      <c r="U86" s="4">
        <v>45365</v>
      </c>
      <c r="V86" s="4">
        <v>45366</v>
      </c>
      <c r="W86" t="b">
        <v>0</v>
      </c>
      <c r="Z86" t="s">
        <v>1376</v>
      </c>
      <c r="AA86" t="s">
        <v>1397</v>
      </c>
      <c r="AB86" t="s">
        <v>1391</v>
      </c>
    </row>
    <row r="87" spans="1:28" x14ac:dyDescent="0.3">
      <c r="A87" t="s">
        <v>1119</v>
      </c>
      <c r="B87" s="6">
        <v>45531.388888888891</v>
      </c>
      <c r="C87" t="s">
        <v>183</v>
      </c>
      <c r="D87" t="s">
        <v>1182</v>
      </c>
      <c r="E87" t="s">
        <v>1256</v>
      </c>
      <c r="F87" t="s">
        <v>1228</v>
      </c>
      <c r="G87" t="s">
        <v>1167</v>
      </c>
      <c r="H87" t="s">
        <v>1168</v>
      </c>
      <c r="I87" t="s">
        <v>1169</v>
      </c>
      <c r="J87" t="s">
        <v>1170</v>
      </c>
      <c r="K87">
        <v>2</v>
      </c>
      <c r="L87">
        <v>55110</v>
      </c>
      <c r="M87">
        <v>0.15</v>
      </c>
      <c r="N87">
        <v>46843.5</v>
      </c>
      <c r="O87">
        <v>0.12</v>
      </c>
      <c r="P87">
        <v>93687</v>
      </c>
      <c r="Q87">
        <v>11242.44</v>
      </c>
      <c r="R87">
        <v>104929.44</v>
      </c>
      <c r="S87" t="s">
        <v>1365</v>
      </c>
      <c r="T87" t="s">
        <v>1361</v>
      </c>
      <c r="U87" s="4">
        <v>45531</v>
      </c>
      <c r="V87" s="4">
        <v>45534</v>
      </c>
      <c r="W87" t="b">
        <v>0</v>
      </c>
      <c r="Z87" t="s">
        <v>1379</v>
      </c>
      <c r="AA87" t="s">
        <v>1385</v>
      </c>
      <c r="AB87" t="s">
        <v>1380</v>
      </c>
    </row>
    <row r="88" spans="1:28" x14ac:dyDescent="0.3">
      <c r="A88" t="s">
        <v>23</v>
      </c>
      <c r="B88" s="6">
        <v>45529.553472222222</v>
      </c>
      <c r="C88" t="s">
        <v>24</v>
      </c>
      <c r="D88" t="s">
        <v>1153</v>
      </c>
      <c r="E88" t="s">
        <v>1154</v>
      </c>
      <c r="F88" t="s">
        <v>1187</v>
      </c>
      <c r="G88" t="s">
        <v>1172</v>
      </c>
      <c r="H88" t="s">
        <v>1188</v>
      </c>
      <c r="I88" t="s">
        <v>1189</v>
      </c>
      <c r="J88" t="s">
        <v>1190</v>
      </c>
      <c r="K88">
        <v>2</v>
      </c>
      <c r="L88">
        <v>2696</v>
      </c>
      <c r="M88">
        <v>0.1</v>
      </c>
      <c r="N88">
        <v>2426.4</v>
      </c>
      <c r="O88">
        <v>0.05</v>
      </c>
      <c r="P88">
        <v>4852.8</v>
      </c>
      <c r="Q88">
        <v>242.64</v>
      </c>
      <c r="R88">
        <v>5095.4400000000014</v>
      </c>
      <c r="S88" t="s">
        <v>1366</v>
      </c>
      <c r="T88" t="s">
        <v>1368</v>
      </c>
      <c r="U88" s="4">
        <v>45530</v>
      </c>
      <c r="W88" t="b">
        <v>0</v>
      </c>
      <c r="Z88" t="s">
        <v>1396</v>
      </c>
      <c r="AA88" t="s">
        <v>1385</v>
      </c>
      <c r="AB88" t="s">
        <v>1389</v>
      </c>
    </row>
    <row r="89" spans="1:28" x14ac:dyDescent="0.3">
      <c r="A89" t="s">
        <v>29</v>
      </c>
      <c r="B89" s="6">
        <v>45661.683333333334</v>
      </c>
      <c r="C89" t="s">
        <v>30</v>
      </c>
      <c r="D89" t="s">
        <v>1153</v>
      </c>
      <c r="E89" t="s">
        <v>1162</v>
      </c>
      <c r="F89" t="s">
        <v>1187</v>
      </c>
      <c r="G89" t="s">
        <v>1172</v>
      </c>
      <c r="H89" t="s">
        <v>1198</v>
      </c>
      <c r="I89" t="s">
        <v>1199</v>
      </c>
      <c r="J89" t="s">
        <v>1200</v>
      </c>
      <c r="K89">
        <v>2</v>
      </c>
      <c r="L89">
        <v>9370</v>
      </c>
      <c r="M89">
        <v>0.1</v>
      </c>
      <c r="N89">
        <v>8433</v>
      </c>
      <c r="O89">
        <v>0.12</v>
      </c>
      <c r="P89">
        <v>16866</v>
      </c>
      <c r="Q89">
        <v>2023.92</v>
      </c>
      <c r="R89">
        <v>18889.919999999998</v>
      </c>
      <c r="S89" t="s">
        <v>1363</v>
      </c>
      <c r="T89" t="s">
        <v>1361</v>
      </c>
      <c r="U89" s="4">
        <v>45662</v>
      </c>
      <c r="V89" s="4">
        <v>45665</v>
      </c>
      <c r="W89" t="b">
        <v>0</v>
      </c>
      <c r="Z89" t="s">
        <v>1398</v>
      </c>
      <c r="AA89" t="s">
        <v>1399</v>
      </c>
      <c r="AB89" t="s">
        <v>1378</v>
      </c>
    </row>
    <row r="90" spans="1:28" x14ac:dyDescent="0.3">
      <c r="A90" t="s">
        <v>41</v>
      </c>
      <c r="B90" s="6">
        <v>45722.698611111111</v>
      </c>
      <c r="C90" t="s">
        <v>42</v>
      </c>
      <c r="D90" t="s">
        <v>1148</v>
      </c>
      <c r="E90" t="s">
        <v>1217</v>
      </c>
      <c r="F90" t="s">
        <v>1187</v>
      </c>
      <c r="G90" t="s">
        <v>1177</v>
      </c>
      <c r="H90" t="s">
        <v>1195</v>
      </c>
      <c r="I90" t="s">
        <v>1218</v>
      </c>
      <c r="J90" t="s">
        <v>1219</v>
      </c>
      <c r="K90">
        <v>3</v>
      </c>
      <c r="L90">
        <v>2424</v>
      </c>
      <c r="M90">
        <v>0.1</v>
      </c>
      <c r="N90">
        <v>2181.6</v>
      </c>
      <c r="O90">
        <v>0.05</v>
      </c>
      <c r="P90">
        <v>6544.7999999999993</v>
      </c>
      <c r="Q90">
        <v>327.24</v>
      </c>
      <c r="R90">
        <v>6872.0399999999991</v>
      </c>
      <c r="S90" t="s">
        <v>1365</v>
      </c>
      <c r="T90" t="s">
        <v>1369</v>
      </c>
      <c r="W90" t="b">
        <v>0</v>
      </c>
      <c r="Z90" t="s">
        <v>1384</v>
      </c>
      <c r="AA90" t="s">
        <v>1397</v>
      </c>
      <c r="AB90" t="s">
        <v>1389</v>
      </c>
    </row>
    <row r="91" spans="1:28" x14ac:dyDescent="0.3">
      <c r="A91" t="s">
        <v>43</v>
      </c>
      <c r="B91" s="6">
        <v>45514.534722222219</v>
      </c>
      <c r="C91" t="s">
        <v>24</v>
      </c>
      <c r="D91" t="s">
        <v>1153</v>
      </c>
      <c r="E91" t="s">
        <v>1154</v>
      </c>
      <c r="F91" t="s">
        <v>1187</v>
      </c>
      <c r="G91" t="s">
        <v>1177</v>
      </c>
      <c r="H91" t="s">
        <v>1178</v>
      </c>
      <c r="I91" t="s">
        <v>1220</v>
      </c>
      <c r="J91" t="s">
        <v>1221</v>
      </c>
      <c r="K91">
        <v>4</v>
      </c>
      <c r="L91">
        <v>1983</v>
      </c>
      <c r="M91">
        <v>0.15</v>
      </c>
      <c r="N91">
        <v>1685.55</v>
      </c>
      <c r="O91">
        <v>0.05</v>
      </c>
      <c r="P91">
        <v>6742.2</v>
      </c>
      <c r="Q91">
        <v>337.11</v>
      </c>
      <c r="R91">
        <v>7079.3099999999986</v>
      </c>
      <c r="S91" t="s">
        <v>1365</v>
      </c>
      <c r="T91" t="s">
        <v>1361</v>
      </c>
      <c r="U91" s="4">
        <v>45514</v>
      </c>
      <c r="V91" s="4">
        <v>45515</v>
      </c>
      <c r="W91" t="b">
        <v>0</v>
      </c>
      <c r="Z91" t="s">
        <v>1388</v>
      </c>
      <c r="AA91" t="s">
        <v>1387</v>
      </c>
      <c r="AB91" t="s">
        <v>1391</v>
      </c>
    </row>
    <row r="92" spans="1:28" x14ac:dyDescent="0.3">
      <c r="A92" t="s">
        <v>68</v>
      </c>
      <c r="B92" s="6">
        <v>45584.666666666664</v>
      </c>
      <c r="C92" t="s">
        <v>69</v>
      </c>
      <c r="D92" t="s">
        <v>1153</v>
      </c>
      <c r="E92" t="s">
        <v>1191</v>
      </c>
      <c r="F92" t="s">
        <v>1187</v>
      </c>
      <c r="G92" t="s">
        <v>1163</v>
      </c>
      <c r="H92" t="s">
        <v>1240</v>
      </c>
      <c r="I92" t="s">
        <v>1247</v>
      </c>
      <c r="J92" t="s">
        <v>1248</v>
      </c>
      <c r="K92">
        <v>2</v>
      </c>
      <c r="L92">
        <v>934</v>
      </c>
      <c r="M92">
        <v>0.1</v>
      </c>
      <c r="N92">
        <v>840.6</v>
      </c>
      <c r="O92">
        <v>0.18</v>
      </c>
      <c r="P92">
        <v>1681.2</v>
      </c>
      <c r="Q92">
        <v>302.61599999999999</v>
      </c>
      <c r="R92">
        <v>1983.816</v>
      </c>
      <c r="S92" t="s">
        <v>1362</v>
      </c>
      <c r="T92" t="s">
        <v>1361</v>
      </c>
      <c r="U92" s="4">
        <v>45584</v>
      </c>
      <c r="V92" s="4">
        <v>45586</v>
      </c>
      <c r="W92" t="b">
        <v>0</v>
      </c>
      <c r="Z92" t="s">
        <v>1390</v>
      </c>
      <c r="AA92" t="s">
        <v>1387</v>
      </c>
      <c r="AB92" t="s">
        <v>1383</v>
      </c>
    </row>
    <row r="93" spans="1:28" x14ac:dyDescent="0.3">
      <c r="A93" t="s">
        <v>72</v>
      </c>
      <c r="B93" s="6">
        <v>45669.574305555558</v>
      </c>
      <c r="C93" t="s">
        <v>73</v>
      </c>
      <c r="D93" t="s">
        <v>1157</v>
      </c>
      <c r="E93" t="s">
        <v>1249</v>
      </c>
      <c r="F93" t="s">
        <v>1187</v>
      </c>
      <c r="G93" t="s">
        <v>1144</v>
      </c>
      <c r="H93" t="s">
        <v>1214</v>
      </c>
      <c r="I93" t="s">
        <v>1252</v>
      </c>
      <c r="J93" t="s">
        <v>1253</v>
      </c>
      <c r="K93">
        <v>3</v>
      </c>
      <c r="L93">
        <v>10613</v>
      </c>
      <c r="M93">
        <v>0.05</v>
      </c>
      <c r="N93">
        <v>10082.35</v>
      </c>
      <c r="O93">
        <v>0.18</v>
      </c>
      <c r="P93">
        <v>30247.05</v>
      </c>
      <c r="Q93">
        <v>5444.4690000000001</v>
      </c>
      <c r="R93">
        <v>35691.519</v>
      </c>
      <c r="S93" t="s">
        <v>1360</v>
      </c>
      <c r="T93" t="s">
        <v>1361</v>
      </c>
      <c r="U93" s="4">
        <v>45669</v>
      </c>
      <c r="V93" s="4">
        <v>45671</v>
      </c>
      <c r="W93" t="b">
        <v>0</v>
      </c>
      <c r="Z93" t="s">
        <v>1398</v>
      </c>
      <c r="AA93" t="s">
        <v>1399</v>
      </c>
      <c r="AB93" t="s">
        <v>1383</v>
      </c>
    </row>
    <row r="94" spans="1:28" x14ac:dyDescent="0.3">
      <c r="A94" t="s">
        <v>80</v>
      </c>
      <c r="B94" s="6">
        <v>45378.474305555559</v>
      </c>
      <c r="C94" t="s">
        <v>81</v>
      </c>
      <c r="D94" t="s">
        <v>1148</v>
      </c>
      <c r="E94" t="s">
        <v>1149</v>
      </c>
      <c r="F94" t="s">
        <v>1187</v>
      </c>
      <c r="G94" t="s">
        <v>1163</v>
      </c>
      <c r="H94" t="s">
        <v>1184</v>
      </c>
      <c r="I94" t="s">
        <v>1260</v>
      </c>
      <c r="J94" t="s">
        <v>1261</v>
      </c>
      <c r="K94">
        <v>4</v>
      </c>
      <c r="L94">
        <v>183</v>
      </c>
      <c r="M94">
        <v>0.05</v>
      </c>
      <c r="N94">
        <v>173.85</v>
      </c>
      <c r="O94">
        <v>0.05</v>
      </c>
      <c r="P94">
        <v>695.4</v>
      </c>
      <c r="Q94">
        <v>34.770000000000003</v>
      </c>
      <c r="R94">
        <v>730.17</v>
      </c>
      <c r="S94" t="s">
        <v>1365</v>
      </c>
      <c r="T94" t="s">
        <v>1361</v>
      </c>
      <c r="U94" s="4">
        <v>45378</v>
      </c>
      <c r="V94" s="4">
        <v>45379</v>
      </c>
      <c r="W94" t="b">
        <v>0</v>
      </c>
      <c r="Z94" t="s">
        <v>1396</v>
      </c>
      <c r="AA94" t="s">
        <v>1387</v>
      </c>
      <c r="AB94" t="s">
        <v>1393</v>
      </c>
    </row>
    <row r="95" spans="1:28" x14ac:dyDescent="0.3">
      <c r="A95" t="s">
        <v>108</v>
      </c>
      <c r="B95" s="6">
        <v>45328.617361111108</v>
      </c>
      <c r="C95" t="s">
        <v>109</v>
      </c>
      <c r="D95" t="s">
        <v>1157</v>
      </c>
      <c r="E95" t="s">
        <v>1181</v>
      </c>
      <c r="F95" t="s">
        <v>1187</v>
      </c>
      <c r="G95" t="s">
        <v>1144</v>
      </c>
      <c r="H95" t="s">
        <v>1214</v>
      </c>
      <c r="I95" t="s">
        <v>1252</v>
      </c>
      <c r="J95" t="s">
        <v>1253</v>
      </c>
      <c r="K95">
        <v>2</v>
      </c>
      <c r="L95">
        <v>1860</v>
      </c>
      <c r="M95">
        <v>0.15</v>
      </c>
      <c r="N95">
        <v>1581</v>
      </c>
      <c r="O95">
        <v>0.05</v>
      </c>
      <c r="P95">
        <v>3162</v>
      </c>
      <c r="Q95">
        <v>158.1</v>
      </c>
      <c r="R95">
        <v>3320.1</v>
      </c>
      <c r="S95" t="s">
        <v>1362</v>
      </c>
      <c r="T95" t="s">
        <v>1367</v>
      </c>
      <c r="U95" s="4">
        <v>45328</v>
      </c>
      <c r="W95" t="b">
        <v>0</v>
      </c>
      <c r="Z95" t="s">
        <v>1390</v>
      </c>
      <c r="AA95" t="s">
        <v>1387</v>
      </c>
      <c r="AB95" t="s">
        <v>1393</v>
      </c>
    </row>
    <row r="96" spans="1:28" x14ac:dyDescent="0.3">
      <c r="A96" t="s">
        <v>134</v>
      </c>
      <c r="B96" s="6">
        <v>45702.606944444444</v>
      </c>
      <c r="C96" t="s">
        <v>135</v>
      </c>
      <c r="D96" t="s">
        <v>1182</v>
      </c>
      <c r="E96" t="s">
        <v>1207</v>
      </c>
      <c r="F96" t="s">
        <v>1187</v>
      </c>
      <c r="G96" t="s">
        <v>1167</v>
      </c>
      <c r="H96" t="s">
        <v>1288</v>
      </c>
      <c r="I96" t="s">
        <v>1293</v>
      </c>
      <c r="J96" t="s">
        <v>1294</v>
      </c>
      <c r="K96">
        <v>2</v>
      </c>
      <c r="L96">
        <v>32507</v>
      </c>
      <c r="M96">
        <v>0</v>
      </c>
      <c r="N96">
        <v>32507</v>
      </c>
      <c r="O96">
        <v>0.18</v>
      </c>
      <c r="P96">
        <v>65014</v>
      </c>
      <c r="Q96">
        <v>11702.52</v>
      </c>
      <c r="R96">
        <v>76716.52</v>
      </c>
      <c r="S96" t="s">
        <v>1362</v>
      </c>
      <c r="T96" t="s">
        <v>1361</v>
      </c>
      <c r="U96" s="4">
        <v>45704</v>
      </c>
      <c r="V96" s="4">
        <v>45706</v>
      </c>
      <c r="W96" t="b">
        <v>0</v>
      </c>
      <c r="Z96" t="s">
        <v>1386</v>
      </c>
      <c r="AA96" t="s">
        <v>1394</v>
      </c>
      <c r="AB96" t="s">
        <v>1383</v>
      </c>
    </row>
    <row r="97" spans="1:28" x14ac:dyDescent="0.3">
      <c r="A97" t="s">
        <v>166</v>
      </c>
      <c r="B97" s="6">
        <v>45476.600694444445</v>
      </c>
      <c r="C97" t="s">
        <v>8</v>
      </c>
      <c r="D97" t="s">
        <v>1153</v>
      </c>
      <c r="E97" t="s">
        <v>1154</v>
      </c>
      <c r="F97" t="s">
        <v>1187</v>
      </c>
      <c r="G97" t="s">
        <v>1172</v>
      </c>
      <c r="H97" t="s">
        <v>1198</v>
      </c>
      <c r="I97" t="s">
        <v>1303</v>
      </c>
      <c r="J97" t="s">
        <v>1304</v>
      </c>
      <c r="K97">
        <v>1</v>
      </c>
      <c r="L97">
        <v>6273</v>
      </c>
      <c r="M97">
        <v>0</v>
      </c>
      <c r="N97">
        <v>6273</v>
      </c>
      <c r="O97">
        <v>0.18</v>
      </c>
      <c r="P97">
        <v>6273</v>
      </c>
      <c r="Q97">
        <v>1129.1400000000001</v>
      </c>
      <c r="R97">
        <v>7402.1399999999994</v>
      </c>
      <c r="S97" t="s">
        <v>1360</v>
      </c>
      <c r="T97" t="s">
        <v>1364</v>
      </c>
      <c r="U97" s="4">
        <v>45477</v>
      </c>
      <c r="W97" t="b">
        <v>1</v>
      </c>
      <c r="X97" s="4">
        <v>45483</v>
      </c>
      <c r="Y97" s="4">
        <v>45483</v>
      </c>
      <c r="Z97" t="s">
        <v>1390</v>
      </c>
      <c r="AA97" t="s">
        <v>1399</v>
      </c>
      <c r="AB97" t="s">
        <v>1378</v>
      </c>
    </row>
    <row r="98" spans="1:28" x14ac:dyDescent="0.3">
      <c r="A98" t="s">
        <v>186</v>
      </c>
      <c r="B98" s="6">
        <v>45721.490972222222</v>
      </c>
      <c r="C98" t="s">
        <v>26</v>
      </c>
      <c r="D98" t="s">
        <v>1153</v>
      </c>
      <c r="E98" t="s">
        <v>1191</v>
      </c>
      <c r="F98" t="s">
        <v>1187</v>
      </c>
      <c r="G98" t="s">
        <v>1172</v>
      </c>
      <c r="H98" t="s">
        <v>1188</v>
      </c>
      <c r="I98" t="s">
        <v>1258</v>
      </c>
      <c r="J98" t="s">
        <v>1259</v>
      </c>
      <c r="K98">
        <v>3</v>
      </c>
      <c r="L98">
        <v>3983</v>
      </c>
      <c r="M98">
        <v>0</v>
      </c>
      <c r="N98">
        <v>3983</v>
      </c>
      <c r="O98">
        <v>0.12</v>
      </c>
      <c r="P98">
        <v>11949</v>
      </c>
      <c r="Q98">
        <v>1433.88</v>
      </c>
      <c r="R98">
        <v>13382.88</v>
      </c>
      <c r="S98" t="s">
        <v>1362</v>
      </c>
      <c r="T98" t="s">
        <v>1361</v>
      </c>
      <c r="U98" s="4">
        <v>45722</v>
      </c>
      <c r="V98" s="4">
        <v>45727</v>
      </c>
      <c r="W98" t="b">
        <v>0</v>
      </c>
      <c r="Z98" t="s">
        <v>1382</v>
      </c>
      <c r="AA98" t="s">
        <v>1377</v>
      </c>
      <c r="AB98" t="s">
        <v>1383</v>
      </c>
    </row>
    <row r="99" spans="1:28" x14ac:dyDescent="0.3">
      <c r="A99" t="s">
        <v>188</v>
      </c>
      <c r="B99" s="6">
        <v>45435.570138888892</v>
      </c>
      <c r="C99" t="s">
        <v>189</v>
      </c>
      <c r="D99" t="s">
        <v>1182</v>
      </c>
      <c r="E99" t="s">
        <v>1207</v>
      </c>
      <c r="F99" t="s">
        <v>1187</v>
      </c>
      <c r="G99" t="s">
        <v>1167</v>
      </c>
      <c r="H99" t="s">
        <v>1208</v>
      </c>
      <c r="I99" t="s">
        <v>1291</v>
      </c>
      <c r="J99" t="s">
        <v>1292</v>
      </c>
      <c r="K99">
        <v>2</v>
      </c>
      <c r="L99">
        <v>30209</v>
      </c>
      <c r="M99">
        <v>0.05</v>
      </c>
      <c r="N99">
        <v>28698.55</v>
      </c>
      <c r="O99">
        <v>0.12</v>
      </c>
      <c r="P99">
        <v>57397.1</v>
      </c>
      <c r="Q99">
        <v>6887.6519999999991</v>
      </c>
      <c r="R99">
        <v>64284.752</v>
      </c>
      <c r="S99" t="s">
        <v>1360</v>
      </c>
      <c r="T99" t="s">
        <v>1361</v>
      </c>
      <c r="U99" s="4">
        <v>45436</v>
      </c>
      <c r="V99" s="4">
        <v>45441</v>
      </c>
      <c r="W99" t="b">
        <v>0</v>
      </c>
      <c r="Z99" t="s">
        <v>1398</v>
      </c>
      <c r="AA99" t="s">
        <v>1399</v>
      </c>
      <c r="AB99" t="s">
        <v>1389</v>
      </c>
    </row>
    <row r="100" spans="1:28" x14ac:dyDescent="0.3">
      <c r="A100" t="s">
        <v>199</v>
      </c>
      <c r="B100" s="6">
        <v>45580.617361111108</v>
      </c>
      <c r="C100" t="s">
        <v>200</v>
      </c>
      <c r="D100" t="s">
        <v>1182</v>
      </c>
      <c r="E100" t="s">
        <v>1183</v>
      </c>
      <c r="F100" t="s">
        <v>1187</v>
      </c>
      <c r="G100" t="s">
        <v>1177</v>
      </c>
      <c r="H100" t="s">
        <v>1178</v>
      </c>
      <c r="I100" t="s">
        <v>1179</v>
      </c>
      <c r="J100" t="s">
        <v>1180</v>
      </c>
      <c r="K100">
        <v>1</v>
      </c>
      <c r="L100">
        <v>1826</v>
      </c>
      <c r="M100">
        <v>0</v>
      </c>
      <c r="N100">
        <v>1826</v>
      </c>
      <c r="O100">
        <v>0.18</v>
      </c>
      <c r="P100">
        <v>1826</v>
      </c>
      <c r="Q100">
        <v>328.68</v>
      </c>
      <c r="R100">
        <v>2154.6799999999998</v>
      </c>
      <c r="S100" t="s">
        <v>1363</v>
      </c>
      <c r="T100" t="s">
        <v>1361</v>
      </c>
      <c r="U100" s="4">
        <v>45580</v>
      </c>
      <c r="V100" s="4">
        <v>45581</v>
      </c>
      <c r="W100" t="b">
        <v>0</v>
      </c>
      <c r="Z100" t="s">
        <v>1392</v>
      </c>
      <c r="AA100" t="s">
        <v>1387</v>
      </c>
      <c r="AB100" t="s">
        <v>1383</v>
      </c>
    </row>
    <row r="101" spans="1:28" x14ac:dyDescent="0.3">
      <c r="A101" t="s">
        <v>209</v>
      </c>
      <c r="B101" s="6">
        <v>45633.538194444445</v>
      </c>
      <c r="C101" t="s">
        <v>124</v>
      </c>
      <c r="D101" t="s">
        <v>1153</v>
      </c>
      <c r="E101" t="s">
        <v>1191</v>
      </c>
      <c r="F101" t="s">
        <v>1187</v>
      </c>
      <c r="G101" t="s">
        <v>1167</v>
      </c>
      <c r="H101" t="s">
        <v>1211</v>
      </c>
      <c r="I101" t="s">
        <v>1279</v>
      </c>
      <c r="J101" t="s">
        <v>1280</v>
      </c>
      <c r="K101">
        <v>3</v>
      </c>
      <c r="L101">
        <v>40288</v>
      </c>
      <c r="M101">
        <v>0</v>
      </c>
      <c r="N101">
        <v>40288</v>
      </c>
      <c r="O101">
        <v>0.18</v>
      </c>
      <c r="P101">
        <v>120864</v>
      </c>
      <c r="Q101">
        <v>21755.52</v>
      </c>
      <c r="R101">
        <v>142619.51999999999</v>
      </c>
      <c r="S101" t="s">
        <v>1362</v>
      </c>
      <c r="T101" t="s">
        <v>1361</v>
      </c>
      <c r="U101" s="4">
        <v>45635</v>
      </c>
      <c r="V101" s="4">
        <v>45638</v>
      </c>
      <c r="W101" t="b">
        <v>0</v>
      </c>
      <c r="Z101" t="s">
        <v>1382</v>
      </c>
      <c r="AA101" t="s">
        <v>1385</v>
      </c>
      <c r="AB101" t="s">
        <v>1393</v>
      </c>
    </row>
    <row r="102" spans="1:28" x14ac:dyDescent="0.3">
      <c r="A102" t="s">
        <v>224</v>
      </c>
      <c r="B102" s="6">
        <v>45589.463194444441</v>
      </c>
      <c r="C102" t="s">
        <v>67</v>
      </c>
      <c r="D102" t="s">
        <v>1148</v>
      </c>
      <c r="E102" t="s">
        <v>1149</v>
      </c>
      <c r="F102" t="s">
        <v>1187</v>
      </c>
      <c r="G102" t="s">
        <v>1167</v>
      </c>
      <c r="H102" t="s">
        <v>1168</v>
      </c>
      <c r="I102" t="s">
        <v>1169</v>
      </c>
      <c r="J102" t="s">
        <v>1170</v>
      </c>
      <c r="K102">
        <v>1</v>
      </c>
      <c r="L102">
        <v>4469</v>
      </c>
      <c r="M102">
        <v>0.1</v>
      </c>
      <c r="N102">
        <v>4022.1</v>
      </c>
      <c r="O102">
        <v>0.12</v>
      </c>
      <c r="P102">
        <v>4022.1</v>
      </c>
      <c r="Q102">
        <v>482.65199999999999</v>
      </c>
      <c r="R102">
        <v>4504.7519999999986</v>
      </c>
      <c r="S102" t="s">
        <v>1363</v>
      </c>
      <c r="T102" t="s">
        <v>1361</v>
      </c>
      <c r="U102" s="4">
        <v>45589</v>
      </c>
      <c r="V102" s="4">
        <v>45591</v>
      </c>
      <c r="W102" t="b">
        <v>0</v>
      </c>
      <c r="Z102" t="s">
        <v>1392</v>
      </c>
      <c r="AA102" t="s">
        <v>1394</v>
      </c>
      <c r="AB102" t="s">
        <v>1389</v>
      </c>
    </row>
    <row r="103" spans="1:28" x14ac:dyDescent="0.3">
      <c r="A103" t="s">
        <v>248</v>
      </c>
      <c r="B103" s="6">
        <v>45539.495138888888</v>
      </c>
      <c r="C103" t="s">
        <v>169</v>
      </c>
      <c r="D103" t="s">
        <v>1148</v>
      </c>
      <c r="E103" t="s">
        <v>1149</v>
      </c>
      <c r="F103" t="s">
        <v>1187</v>
      </c>
      <c r="G103" t="s">
        <v>1172</v>
      </c>
      <c r="H103" t="s">
        <v>1173</v>
      </c>
      <c r="I103" t="s">
        <v>1174</v>
      </c>
      <c r="J103" t="s">
        <v>1175</v>
      </c>
      <c r="K103">
        <v>1</v>
      </c>
      <c r="L103">
        <v>2593</v>
      </c>
      <c r="M103">
        <v>0</v>
      </c>
      <c r="N103">
        <v>2593</v>
      </c>
      <c r="O103">
        <v>0.12</v>
      </c>
      <c r="P103">
        <v>2593</v>
      </c>
      <c r="Q103">
        <v>311.16000000000003</v>
      </c>
      <c r="R103">
        <v>2904.16</v>
      </c>
      <c r="S103" t="s">
        <v>1360</v>
      </c>
      <c r="T103" t="s">
        <v>1368</v>
      </c>
      <c r="U103" s="4">
        <v>45539</v>
      </c>
      <c r="W103" t="b">
        <v>0</v>
      </c>
      <c r="Z103" t="s">
        <v>1388</v>
      </c>
      <c r="AA103" t="s">
        <v>1394</v>
      </c>
      <c r="AB103" t="s">
        <v>1391</v>
      </c>
    </row>
    <row r="104" spans="1:28" x14ac:dyDescent="0.3">
      <c r="A104" t="s">
        <v>255</v>
      </c>
      <c r="B104" s="6">
        <v>45297.633333333331</v>
      </c>
      <c r="C104" t="s">
        <v>45</v>
      </c>
      <c r="D104" t="s">
        <v>1141</v>
      </c>
      <c r="E104" t="s">
        <v>1142</v>
      </c>
      <c r="F104" t="s">
        <v>1187</v>
      </c>
      <c r="G104" t="s">
        <v>1144</v>
      </c>
      <c r="H104" t="s">
        <v>1276</v>
      </c>
      <c r="I104" t="s">
        <v>1307</v>
      </c>
      <c r="J104" t="s">
        <v>1308</v>
      </c>
      <c r="K104">
        <v>2</v>
      </c>
      <c r="L104">
        <v>4288</v>
      </c>
      <c r="M104">
        <v>0</v>
      </c>
      <c r="N104">
        <v>4288</v>
      </c>
      <c r="O104">
        <v>0.12</v>
      </c>
      <c r="P104">
        <v>8576</v>
      </c>
      <c r="Q104">
        <v>1029.1199999999999</v>
      </c>
      <c r="R104">
        <v>9605.119999999999</v>
      </c>
      <c r="S104" t="s">
        <v>1360</v>
      </c>
      <c r="T104" t="s">
        <v>1361</v>
      </c>
      <c r="U104" s="4">
        <v>45298</v>
      </c>
      <c r="V104" s="4">
        <v>45300</v>
      </c>
      <c r="W104" t="b">
        <v>0</v>
      </c>
      <c r="Z104" t="s">
        <v>1386</v>
      </c>
      <c r="AA104" t="s">
        <v>1385</v>
      </c>
      <c r="AB104" t="s">
        <v>1391</v>
      </c>
    </row>
    <row r="105" spans="1:28" x14ac:dyDescent="0.3">
      <c r="A105" t="s">
        <v>260</v>
      </c>
      <c r="B105" s="6">
        <v>45767.599305555559</v>
      </c>
      <c r="C105" t="s">
        <v>243</v>
      </c>
      <c r="D105" t="s">
        <v>1153</v>
      </c>
      <c r="E105" t="s">
        <v>1176</v>
      </c>
      <c r="F105" t="s">
        <v>1187</v>
      </c>
      <c r="G105" t="s">
        <v>1167</v>
      </c>
      <c r="H105" t="s">
        <v>1208</v>
      </c>
      <c r="I105" t="s">
        <v>1322</v>
      </c>
      <c r="J105" t="s">
        <v>1323</v>
      </c>
      <c r="K105">
        <v>2</v>
      </c>
      <c r="L105">
        <v>8310</v>
      </c>
      <c r="M105">
        <v>0.15</v>
      </c>
      <c r="N105">
        <v>7063.5</v>
      </c>
      <c r="O105">
        <v>0.18</v>
      </c>
      <c r="P105">
        <v>14127</v>
      </c>
      <c r="Q105">
        <v>2542.86</v>
      </c>
      <c r="R105">
        <v>16669.86</v>
      </c>
      <c r="S105" t="s">
        <v>1360</v>
      </c>
      <c r="T105" t="s">
        <v>1364</v>
      </c>
      <c r="U105" s="4">
        <v>45768</v>
      </c>
      <c r="W105" t="b">
        <v>1</v>
      </c>
      <c r="X105" s="4">
        <v>45778</v>
      </c>
      <c r="Y105" s="4">
        <v>45778</v>
      </c>
      <c r="Z105" t="s">
        <v>1390</v>
      </c>
      <c r="AA105" t="s">
        <v>1385</v>
      </c>
      <c r="AB105" t="s">
        <v>1393</v>
      </c>
    </row>
    <row r="106" spans="1:28" x14ac:dyDescent="0.3">
      <c r="A106" t="s">
        <v>279</v>
      </c>
      <c r="B106" s="6">
        <v>45754.677083333336</v>
      </c>
      <c r="C106" t="s">
        <v>20</v>
      </c>
      <c r="D106" t="s">
        <v>1157</v>
      </c>
      <c r="E106" t="s">
        <v>1181</v>
      </c>
      <c r="F106" t="s">
        <v>1187</v>
      </c>
      <c r="G106" t="s">
        <v>1163</v>
      </c>
      <c r="H106" t="s">
        <v>1240</v>
      </c>
      <c r="I106" t="s">
        <v>1247</v>
      </c>
      <c r="J106" t="s">
        <v>1248</v>
      </c>
      <c r="K106">
        <v>1</v>
      </c>
      <c r="L106">
        <v>148</v>
      </c>
      <c r="M106">
        <v>0.05</v>
      </c>
      <c r="N106">
        <v>140.6</v>
      </c>
      <c r="O106">
        <v>0.18</v>
      </c>
      <c r="P106">
        <v>140.6</v>
      </c>
      <c r="Q106">
        <v>25.308</v>
      </c>
      <c r="R106">
        <v>165.90799999999999</v>
      </c>
      <c r="S106" t="s">
        <v>1363</v>
      </c>
      <c r="T106" t="s">
        <v>1368</v>
      </c>
      <c r="U106" s="4">
        <v>45756</v>
      </c>
      <c r="W106" t="b">
        <v>0</v>
      </c>
      <c r="Z106" t="s">
        <v>1384</v>
      </c>
      <c r="AA106" t="s">
        <v>1377</v>
      </c>
      <c r="AB106" t="s">
        <v>1389</v>
      </c>
    </row>
    <row r="107" spans="1:28" x14ac:dyDescent="0.3">
      <c r="A107" t="s">
        <v>281</v>
      </c>
      <c r="B107" s="6">
        <v>45743.654166666667</v>
      </c>
      <c r="C107" t="s">
        <v>91</v>
      </c>
      <c r="D107" t="s">
        <v>1182</v>
      </c>
      <c r="E107" t="s">
        <v>1207</v>
      </c>
      <c r="F107" t="s">
        <v>1187</v>
      </c>
      <c r="G107" t="s">
        <v>1144</v>
      </c>
      <c r="H107" t="s">
        <v>1269</v>
      </c>
      <c r="I107" t="s">
        <v>1326</v>
      </c>
      <c r="J107" t="s">
        <v>1327</v>
      </c>
      <c r="K107">
        <v>3</v>
      </c>
      <c r="L107">
        <v>8385</v>
      </c>
      <c r="M107">
        <v>0.05</v>
      </c>
      <c r="N107">
        <v>7965.75</v>
      </c>
      <c r="O107">
        <v>0.18</v>
      </c>
      <c r="P107">
        <v>23897.25</v>
      </c>
      <c r="Q107">
        <v>4301.5050000000001</v>
      </c>
      <c r="R107">
        <v>28198.755000000001</v>
      </c>
      <c r="S107" t="s">
        <v>1365</v>
      </c>
      <c r="T107" t="s">
        <v>1361</v>
      </c>
      <c r="U107" s="4">
        <v>45744</v>
      </c>
      <c r="V107" s="4">
        <v>45745</v>
      </c>
      <c r="W107" t="b">
        <v>0</v>
      </c>
      <c r="Z107" t="s">
        <v>1388</v>
      </c>
      <c r="AA107" t="s">
        <v>1394</v>
      </c>
      <c r="AB107" t="s">
        <v>1393</v>
      </c>
    </row>
    <row r="108" spans="1:28" x14ac:dyDescent="0.3">
      <c r="A108" t="s">
        <v>285</v>
      </c>
      <c r="B108" s="6">
        <v>45441.427777777775</v>
      </c>
      <c r="C108" t="s">
        <v>28</v>
      </c>
      <c r="D108" t="s">
        <v>1153</v>
      </c>
      <c r="E108" t="s">
        <v>1162</v>
      </c>
      <c r="F108" t="s">
        <v>1187</v>
      </c>
      <c r="G108" t="s">
        <v>1144</v>
      </c>
      <c r="H108" t="s">
        <v>1214</v>
      </c>
      <c r="I108" t="s">
        <v>1320</v>
      </c>
      <c r="J108" t="s">
        <v>1321</v>
      </c>
      <c r="K108">
        <v>1</v>
      </c>
      <c r="L108">
        <v>13347</v>
      </c>
      <c r="M108">
        <v>0.1</v>
      </c>
      <c r="N108">
        <v>12012.3</v>
      </c>
      <c r="O108">
        <v>0.12</v>
      </c>
      <c r="P108">
        <v>12012.3</v>
      </c>
      <c r="Q108">
        <v>1441.4760000000001</v>
      </c>
      <c r="R108">
        <v>13453.776</v>
      </c>
      <c r="S108" t="s">
        <v>1363</v>
      </c>
      <c r="T108" t="s">
        <v>1361</v>
      </c>
      <c r="U108" s="4">
        <v>45442</v>
      </c>
      <c r="V108" s="4">
        <v>45444</v>
      </c>
      <c r="W108" t="b">
        <v>0</v>
      </c>
      <c r="Z108" t="s">
        <v>1376</v>
      </c>
      <c r="AA108" t="s">
        <v>1385</v>
      </c>
      <c r="AB108" t="s">
        <v>1378</v>
      </c>
    </row>
    <row r="109" spans="1:28" x14ac:dyDescent="0.3">
      <c r="A109" t="s">
        <v>287</v>
      </c>
      <c r="B109" s="6">
        <v>45564.658333333333</v>
      </c>
      <c r="C109" t="s">
        <v>288</v>
      </c>
      <c r="D109" t="s">
        <v>1148</v>
      </c>
      <c r="E109" t="s">
        <v>1262</v>
      </c>
      <c r="F109" t="s">
        <v>1187</v>
      </c>
      <c r="G109" t="s">
        <v>1163</v>
      </c>
      <c r="H109" t="s">
        <v>1240</v>
      </c>
      <c r="I109" t="s">
        <v>1281</v>
      </c>
      <c r="J109" t="s">
        <v>1282</v>
      </c>
      <c r="K109">
        <v>1</v>
      </c>
      <c r="L109">
        <v>235</v>
      </c>
      <c r="M109">
        <v>0</v>
      </c>
      <c r="N109">
        <v>235</v>
      </c>
      <c r="O109">
        <v>0.05</v>
      </c>
      <c r="P109">
        <v>235</v>
      </c>
      <c r="Q109">
        <v>11.75</v>
      </c>
      <c r="R109">
        <v>246.75</v>
      </c>
      <c r="S109" t="s">
        <v>1362</v>
      </c>
      <c r="T109" t="s">
        <v>1361</v>
      </c>
      <c r="U109" s="4">
        <v>45565</v>
      </c>
      <c r="V109" s="4">
        <v>45568</v>
      </c>
      <c r="W109" t="b">
        <v>0</v>
      </c>
      <c r="Z109" t="s">
        <v>1386</v>
      </c>
      <c r="AA109" t="s">
        <v>1385</v>
      </c>
      <c r="AB109" t="s">
        <v>1378</v>
      </c>
    </row>
    <row r="110" spans="1:28" x14ac:dyDescent="0.3">
      <c r="A110" t="s">
        <v>294</v>
      </c>
      <c r="B110" s="6">
        <v>45467.526388888888</v>
      </c>
      <c r="C110" t="s">
        <v>169</v>
      </c>
      <c r="D110" t="s">
        <v>1148</v>
      </c>
      <c r="E110" t="s">
        <v>1149</v>
      </c>
      <c r="F110" t="s">
        <v>1187</v>
      </c>
      <c r="G110" t="s">
        <v>1144</v>
      </c>
      <c r="H110" t="s">
        <v>1276</v>
      </c>
      <c r="I110" t="s">
        <v>1286</v>
      </c>
      <c r="J110" t="s">
        <v>1287</v>
      </c>
      <c r="K110">
        <v>1</v>
      </c>
      <c r="L110">
        <v>9529</v>
      </c>
      <c r="M110">
        <v>0</v>
      </c>
      <c r="N110">
        <v>9529</v>
      </c>
      <c r="O110">
        <v>0.12</v>
      </c>
      <c r="P110">
        <v>9529</v>
      </c>
      <c r="Q110">
        <v>1143.48</v>
      </c>
      <c r="R110">
        <v>10672.48</v>
      </c>
      <c r="S110" t="s">
        <v>1360</v>
      </c>
      <c r="T110" t="s">
        <v>1361</v>
      </c>
      <c r="U110" s="4">
        <v>45468</v>
      </c>
      <c r="V110" s="4">
        <v>45473</v>
      </c>
      <c r="W110" t="b">
        <v>0</v>
      </c>
      <c r="Z110" t="s">
        <v>1384</v>
      </c>
      <c r="AA110" t="s">
        <v>1394</v>
      </c>
      <c r="AB110" t="s">
        <v>1383</v>
      </c>
    </row>
    <row r="111" spans="1:28" x14ac:dyDescent="0.3">
      <c r="A111" t="s">
        <v>307</v>
      </c>
      <c r="B111" s="6">
        <v>45618.418055555558</v>
      </c>
      <c r="C111" t="s">
        <v>208</v>
      </c>
      <c r="D111" t="s">
        <v>1157</v>
      </c>
      <c r="E111" t="s">
        <v>1201</v>
      </c>
      <c r="F111" t="s">
        <v>1187</v>
      </c>
      <c r="G111" t="s">
        <v>1144</v>
      </c>
      <c r="H111" t="s">
        <v>1145</v>
      </c>
      <c r="I111" t="s">
        <v>1146</v>
      </c>
      <c r="J111" t="s">
        <v>1147</v>
      </c>
      <c r="K111">
        <v>1</v>
      </c>
      <c r="L111">
        <v>7941</v>
      </c>
      <c r="M111">
        <v>0</v>
      </c>
      <c r="N111">
        <v>7941</v>
      </c>
      <c r="O111">
        <v>0.05</v>
      </c>
      <c r="P111">
        <v>7941</v>
      </c>
      <c r="Q111">
        <v>397.05</v>
      </c>
      <c r="R111">
        <v>8338.0499999999993</v>
      </c>
      <c r="S111" t="s">
        <v>1363</v>
      </c>
      <c r="T111" t="s">
        <v>1361</v>
      </c>
      <c r="U111" s="4">
        <v>45618</v>
      </c>
      <c r="V111" s="4">
        <v>45619</v>
      </c>
      <c r="W111" t="b">
        <v>0</v>
      </c>
      <c r="Z111" t="s">
        <v>1392</v>
      </c>
      <c r="AA111" t="s">
        <v>1385</v>
      </c>
      <c r="AB111" t="s">
        <v>1380</v>
      </c>
    </row>
    <row r="112" spans="1:28" x14ac:dyDescent="0.3">
      <c r="A112" t="s">
        <v>308</v>
      </c>
      <c r="B112" s="6">
        <v>45544.666666666664</v>
      </c>
      <c r="C112" t="s">
        <v>18</v>
      </c>
      <c r="D112" t="s">
        <v>1153</v>
      </c>
      <c r="E112" t="s">
        <v>1176</v>
      </c>
      <c r="F112" t="s">
        <v>1187</v>
      </c>
      <c r="G112" t="s">
        <v>1172</v>
      </c>
      <c r="H112" t="s">
        <v>1204</v>
      </c>
      <c r="I112" t="s">
        <v>1297</v>
      </c>
      <c r="J112" t="s">
        <v>1298</v>
      </c>
      <c r="K112">
        <v>3</v>
      </c>
      <c r="L112">
        <v>4904</v>
      </c>
      <c r="M112">
        <v>0.05</v>
      </c>
      <c r="N112">
        <v>4658.8</v>
      </c>
      <c r="O112">
        <v>0.12</v>
      </c>
      <c r="P112">
        <v>13976.4</v>
      </c>
      <c r="Q112">
        <v>1677.1679999999999</v>
      </c>
      <c r="R112">
        <v>15653.567999999999</v>
      </c>
      <c r="S112" t="s">
        <v>1365</v>
      </c>
      <c r="T112" t="s">
        <v>1364</v>
      </c>
      <c r="U112" s="4">
        <v>45546</v>
      </c>
      <c r="W112" t="b">
        <v>1</v>
      </c>
      <c r="X112" s="4">
        <v>45562</v>
      </c>
      <c r="Y112" s="4">
        <v>45562</v>
      </c>
      <c r="Z112" t="s">
        <v>1392</v>
      </c>
      <c r="AA112" t="s">
        <v>1400</v>
      </c>
      <c r="AB112" t="s">
        <v>1389</v>
      </c>
    </row>
    <row r="113" spans="1:28" x14ac:dyDescent="0.3">
      <c r="A113" t="s">
        <v>334</v>
      </c>
      <c r="B113" s="6">
        <v>45739.552777777775</v>
      </c>
      <c r="C113" t="s">
        <v>153</v>
      </c>
      <c r="D113" t="s">
        <v>1141</v>
      </c>
      <c r="E113" t="s">
        <v>1239</v>
      </c>
      <c r="F113" t="s">
        <v>1187</v>
      </c>
      <c r="G113" t="s">
        <v>1177</v>
      </c>
      <c r="H113" t="s">
        <v>1309</v>
      </c>
      <c r="I113" t="s">
        <v>1332</v>
      </c>
      <c r="J113" t="s">
        <v>1333</v>
      </c>
      <c r="K113">
        <v>1</v>
      </c>
      <c r="L113">
        <v>518</v>
      </c>
      <c r="M113">
        <v>0</v>
      </c>
      <c r="N113">
        <v>518</v>
      </c>
      <c r="O113">
        <v>0.18</v>
      </c>
      <c r="P113">
        <v>518</v>
      </c>
      <c r="Q113">
        <v>93.24</v>
      </c>
      <c r="R113">
        <v>611.24</v>
      </c>
      <c r="S113" t="s">
        <v>1365</v>
      </c>
      <c r="T113" t="s">
        <v>1361</v>
      </c>
      <c r="U113" s="4">
        <v>45741</v>
      </c>
      <c r="V113" s="4">
        <v>45746</v>
      </c>
      <c r="W113" t="b">
        <v>0</v>
      </c>
      <c r="Z113" t="s">
        <v>1398</v>
      </c>
      <c r="AA113" t="s">
        <v>1397</v>
      </c>
      <c r="AB113" t="s">
        <v>1391</v>
      </c>
    </row>
    <row r="114" spans="1:28" x14ac:dyDescent="0.3">
      <c r="A114" t="s">
        <v>359</v>
      </c>
      <c r="B114" s="6">
        <v>45731.385416666664</v>
      </c>
      <c r="C114" t="s">
        <v>267</v>
      </c>
      <c r="D114" t="s">
        <v>1148</v>
      </c>
      <c r="E114" t="s">
        <v>1217</v>
      </c>
      <c r="F114" t="s">
        <v>1187</v>
      </c>
      <c r="G114" t="s">
        <v>1167</v>
      </c>
      <c r="H114" t="s">
        <v>1208</v>
      </c>
      <c r="I114" t="s">
        <v>1209</v>
      </c>
      <c r="J114" t="s">
        <v>1210</v>
      </c>
      <c r="K114">
        <v>2</v>
      </c>
      <c r="L114">
        <v>25402</v>
      </c>
      <c r="M114">
        <v>0</v>
      </c>
      <c r="N114">
        <v>25402</v>
      </c>
      <c r="O114">
        <v>0.05</v>
      </c>
      <c r="P114">
        <v>50804</v>
      </c>
      <c r="Q114">
        <v>2540.1999999999998</v>
      </c>
      <c r="R114">
        <v>53344.2</v>
      </c>
      <c r="S114" t="s">
        <v>1363</v>
      </c>
      <c r="T114" t="s">
        <v>1361</v>
      </c>
      <c r="U114" s="4">
        <v>45733</v>
      </c>
      <c r="V114" s="4">
        <v>45737</v>
      </c>
      <c r="W114" t="b">
        <v>0</v>
      </c>
      <c r="Z114" t="s">
        <v>1388</v>
      </c>
      <c r="AA114" t="s">
        <v>1400</v>
      </c>
      <c r="AB114" t="s">
        <v>1395</v>
      </c>
    </row>
    <row r="115" spans="1:28" x14ac:dyDescent="0.3">
      <c r="A115" t="s">
        <v>361</v>
      </c>
      <c r="B115" s="6">
        <v>45365.435416666667</v>
      </c>
      <c r="C115" t="s">
        <v>362</v>
      </c>
      <c r="D115" t="s">
        <v>1148</v>
      </c>
      <c r="E115" t="s">
        <v>1262</v>
      </c>
      <c r="F115" t="s">
        <v>1187</v>
      </c>
      <c r="G115" t="s">
        <v>1172</v>
      </c>
      <c r="H115" t="s">
        <v>1229</v>
      </c>
      <c r="I115" t="s">
        <v>1230</v>
      </c>
      <c r="J115" t="s">
        <v>1231</v>
      </c>
      <c r="K115">
        <v>2</v>
      </c>
      <c r="L115">
        <v>6666</v>
      </c>
      <c r="M115">
        <v>0</v>
      </c>
      <c r="N115">
        <v>6666</v>
      </c>
      <c r="O115">
        <v>0.12</v>
      </c>
      <c r="P115">
        <v>13332</v>
      </c>
      <c r="Q115">
        <v>1599.84</v>
      </c>
      <c r="R115">
        <v>14931.84</v>
      </c>
      <c r="S115" t="s">
        <v>1365</v>
      </c>
      <c r="T115" t="s">
        <v>1361</v>
      </c>
      <c r="U115" s="4">
        <v>45367</v>
      </c>
      <c r="V115" s="4">
        <v>45372</v>
      </c>
      <c r="W115" t="b">
        <v>0</v>
      </c>
      <c r="Z115" t="s">
        <v>1376</v>
      </c>
      <c r="AA115" t="s">
        <v>1385</v>
      </c>
      <c r="AB115" t="s">
        <v>1389</v>
      </c>
    </row>
    <row r="116" spans="1:28" x14ac:dyDescent="0.3">
      <c r="A116" t="s">
        <v>363</v>
      </c>
      <c r="B116" s="6">
        <v>45492.470138888886</v>
      </c>
      <c r="C116" t="s">
        <v>160</v>
      </c>
      <c r="D116" t="s">
        <v>1157</v>
      </c>
      <c r="E116" t="s">
        <v>1201</v>
      </c>
      <c r="F116" t="s">
        <v>1187</v>
      </c>
      <c r="G116" t="s">
        <v>1163</v>
      </c>
      <c r="H116" t="s">
        <v>1224</v>
      </c>
      <c r="I116" t="s">
        <v>1225</v>
      </c>
      <c r="J116" t="s">
        <v>1226</v>
      </c>
      <c r="K116">
        <v>3</v>
      </c>
      <c r="L116">
        <v>1193</v>
      </c>
      <c r="M116">
        <v>0</v>
      </c>
      <c r="N116">
        <v>1193</v>
      </c>
      <c r="O116">
        <v>0.12</v>
      </c>
      <c r="P116">
        <v>3579</v>
      </c>
      <c r="Q116">
        <v>429.48</v>
      </c>
      <c r="R116">
        <v>4008.48</v>
      </c>
      <c r="S116" t="s">
        <v>1363</v>
      </c>
      <c r="T116" t="s">
        <v>1361</v>
      </c>
      <c r="U116" s="4">
        <v>45494</v>
      </c>
      <c r="V116" s="4">
        <v>45496</v>
      </c>
      <c r="W116" t="b">
        <v>0</v>
      </c>
      <c r="Z116" t="s">
        <v>1386</v>
      </c>
      <c r="AA116" t="s">
        <v>1385</v>
      </c>
      <c r="AB116" t="s">
        <v>1380</v>
      </c>
    </row>
    <row r="117" spans="1:28" x14ac:dyDescent="0.3">
      <c r="A117" t="s">
        <v>370</v>
      </c>
      <c r="B117" s="6">
        <v>45442.457638888889</v>
      </c>
      <c r="C117" t="s">
        <v>38</v>
      </c>
      <c r="D117" t="s">
        <v>1148</v>
      </c>
      <c r="E117" t="s">
        <v>1149</v>
      </c>
      <c r="F117" t="s">
        <v>1187</v>
      </c>
      <c r="G117" t="s">
        <v>1144</v>
      </c>
      <c r="H117" t="s">
        <v>1276</v>
      </c>
      <c r="I117" t="s">
        <v>1286</v>
      </c>
      <c r="J117" t="s">
        <v>1287</v>
      </c>
      <c r="K117">
        <v>2</v>
      </c>
      <c r="L117">
        <v>12821</v>
      </c>
      <c r="M117">
        <v>0.15</v>
      </c>
      <c r="N117">
        <v>10897.85</v>
      </c>
      <c r="O117">
        <v>0.18</v>
      </c>
      <c r="P117">
        <v>21795.7</v>
      </c>
      <c r="Q117">
        <v>3923.2260000000001</v>
      </c>
      <c r="R117">
        <v>25718.925999999999</v>
      </c>
      <c r="S117" t="s">
        <v>1363</v>
      </c>
      <c r="T117" t="s">
        <v>1368</v>
      </c>
      <c r="U117" s="4">
        <v>45443</v>
      </c>
      <c r="W117" t="b">
        <v>0</v>
      </c>
      <c r="Z117" t="s">
        <v>1398</v>
      </c>
      <c r="AA117" t="s">
        <v>1397</v>
      </c>
      <c r="AB117" t="s">
        <v>1383</v>
      </c>
    </row>
    <row r="118" spans="1:28" x14ac:dyDescent="0.3">
      <c r="A118" t="s">
        <v>395</v>
      </c>
      <c r="B118" s="6">
        <v>45390.575694444444</v>
      </c>
      <c r="C118" t="s">
        <v>396</v>
      </c>
      <c r="D118" t="s">
        <v>1157</v>
      </c>
      <c r="E118" t="s">
        <v>1158</v>
      </c>
      <c r="F118" t="s">
        <v>1187</v>
      </c>
      <c r="G118" t="s">
        <v>1163</v>
      </c>
      <c r="H118" t="s">
        <v>1240</v>
      </c>
      <c r="I118" t="s">
        <v>1241</v>
      </c>
      <c r="J118" t="s">
        <v>1242</v>
      </c>
      <c r="K118">
        <v>1</v>
      </c>
      <c r="L118">
        <v>627</v>
      </c>
      <c r="M118">
        <v>0</v>
      </c>
      <c r="N118">
        <v>627</v>
      </c>
      <c r="O118">
        <v>0.05</v>
      </c>
      <c r="P118">
        <v>627</v>
      </c>
      <c r="Q118">
        <v>31.35</v>
      </c>
      <c r="R118">
        <v>658.35</v>
      </c>
      <c r="S118" t="s">
        <v>1366</v>
      </c>
      <c r="T118" t="s">
        <v>1368</v>
      </c>
      <c r="U118" s="4">
        <v>45390</v>
      </c>
      <c r="W118" t="b">
        <v>0</v>
      </c>
      <c r="Z118" t="s">
        <v>1390</v>
      </c>
      <c r="AA118" t="s">
        <v>1377</v>
      </c>
      <c r="AB118" t="s">
        <v>1391</v>
      </c>
    </row>
    <row r="119" spans="1:28" x14ac:dyDescent="0.3">
      <c r="A119" t="s">
        <v>402</v>
      </c>
      <c r="B119" s="6">
        <v>45410.629166666666</v>
      </c>
      <c r="C119" t="s">
        <v>374</v>
      </c>
      <c r="D119" t="s">
        <v>1153</v>
      </c>
      <c r="E119" t="s">
        <v>1162</v>
      </c>
      <c r="F119" t="s">
        <v>1187</v>
      </c>
      <c r="G119" t="s">
        <v>1144</v>
      </c>
      <c r="H119" t="s">
        <v>1214</v>
      </c>
      <c r="I119" t="s">
        <v>1320</v>
      </c>
      <c r="J119" t="s">
        <v>1321</v>
      </c>
      <c r="K119">
        <v>3</v>
      </c>
      <c r="L119">
        <v>14864</v>
      </c>
      <c r="M119">
        <v>0.05</v>
      </c>
      <c r="N119">
        <v>14120.8</v>
      </c>
      <c r="O119">
        <v>0.05</v>
      </c>
      <c r="P119">
        <v>42362.399999999987</v>
      </c>
      <c r="Q119">
        <v>2118.12</v>
      </c>
      <c r="R119">
        <v>44480.52</v>
      </c>
      <c r="S119" t="s">
        <v>1360</v>
      </c>
      <c r="T119" t="s">
        <v>1361</v>
      </c>
      <c r="U119" s="4">
        <v>45411</v>
      </c>
      <c r="V119" s="4">
        <v>45413</v>
      </c>
      <c r="W119" t="b">
        <v>0</v>
      </c>
      <c r="Z119" t="s">
        <v>1388</v>
      </c>
      <c r="AA119" t="s">
        <v>1397</v>
      </c>
      <c r="AB119" t="s">
        <v>1393</v>
      </c>
    </row>
    <row r="120" spans="1:28" x14ac:dyDescent="0.3">
      <c r="A120" t="s">
        <v>405</v>
      </c>
      <c r="B120" s="6">
        <v>45504.520138888889</v>
      </c>
      <c r="C120" t="s">
        <v>378</v>
      </c>
      <c r="D120" t="s">
        <v>1157</v>
      </c>
      <c r="E120" t="s">
        <v>1158</v>
      </c>
      <c r="F120" t="s">
        <v>1187</v>
      </c>
      <c r="G120" t="s">
        <v>1144</v>
      </c>
      <c r="H120" t="s">
        <v>1214</v>
      </c>
      <c r="I120" t="s">
        <v>1252</v>
      </c>
      <c r="J120" t="s">
        <v>1253</v>
      </c>
      <c r="K120">
        <v>3</v>
      </c>
      <c r="L120">
        <v>3537</v>
      </c>
      <c r="M120">
        <v>0</v>
      </c>
      <c r="N120">
        <v>3537</v>
      </c>
      <c r="O120">
        <v>0.12</v>
      </c>
      <c r="P120">
        <v>10611</v>
      </c>
      <c r="Q120">
        <v>1273.32</v>
      </c>
      <c r="R120">
        <v>11884.32</v>
      </c>
      <c r="S120" t="s">
        <v>1363</v>
      </c>
      <c r="T120" t="s">
        <v>1361</v>
      </c>
      <c r="U120" s="4">
        <v>45505</v>
      </c>
      <c r="V120" s="4">
        <v>45508</v>
      </c>
      <c r="W120" t="b">
        <v>0</v>
      </c>
      <c r="Z120" t="s">
        <v>1390</v>
      </c>
      <c r="AA120" t="s">
        <v>1377</v>
      </c>
      <c r="AB120" t="s">
        <v>1393</v>
      </c>
    </row>
    <row r="121" spans="1:28" x14ac:dyDescent="0.3">
      <c r="A121" t="s">
        <v>406</v>
      </c>
      <c r="B121" s="6">
        <v>45476.579861111109</v>
      </c>
      <c r="C121" t="s">
        <v>407</v>
      </c>
      <c r="D121" t="s">
        <v>1157</v>
      </c>
      <c r="E121" t="s">
        <v>1158</v>
      </c>
      <c r="F121" t="s">
        <v>1187</v>
      </c>
      <c r="G121" t="s">
        <v>1163</v>
      </c>
      <c r="H121" t="s">
        <v>1266</v>
      </c>
      <c r="I121" t="s">
        <v>1267</v>
      </c>
      <c r="J121" t="s">
        <v>1268</v>
      </c>
      <c r="K121">
        <v>4</v>
      </c>
      <c r="L121">
        <v>646</v>
      </c>
      <c r="M121">
        <v>0.05</v>
      </c>
      <c r="N121">
        <v>613.69999999999993</v>
      </c>
      <c r="O121">
        <v>0.05</v>
      </c>
      <c r="P121">
        <v>2454.8000000000002</v>
      </c>
      <c r="Q121">
        <v>122.74</v>
      </c>
      <c r="R121">
        <v>2577.54</v>
      </c>
      <c r="S121" t="s">
        <v>1363</v>
      </c>
      <c r="T121" t="s">
        <v>1361</v>
      </c>
      <c r="U121" s="4">
        <v>45477</v>
      </c>
      <c r="V121" s="4">
        <v>45482</v>
      </c>
      <c r="W121" t="b">
        <v>0</v>
      </c>
      <c r="Z121" t="s">
        <v>1386</v>
      </c>
      <c r="AA121" t="s">
        <v>1377</v>
      </c>
      <c r="AB121" t="s">
        <v>1383</v>
      </c>
    </row>
    <row r="122" spans="1:28" x14ac:dyDescent="0.3">
      <c r="A122" t="s">
        <v>411</v>
      </c>
      <c r="B122" s="6">
        <v>45754.556250000001</v>
      </c>
      <c r="C122" t="s">
        <v>155</v>
      </c>
      <c r="D122" t="s">
        <v>1157</v>
      </c>
      <c r="E122" t="s">
        <v>1158</v>
      </c>
      <c r="F122" t="s">
        <v>1187</v>
      </c>
      <c r="G122" t="s">
        <v>1163</v>
      </c>
      <c r="H122" t="s">
        <v>1164</v>
      </c>
      <c r="I122" t="s">
        <v>1318</v>
      </c>
      <c r="J122" t="s">
        <v>1319</v>
      </c>
      <c r="K122">
        <v>1</v>
      </c>
      <c r="L122">
        <v>1027</v>
      </c>
      <c r="M122">
        <v>0</v>
      </c>
      <c r="N122">
        <v>1027</v>
      </c>
      <c r="O122">
        <v>0.12</v>
      </c>
      <c r="P122">
        <v>1027</v>
      </c>
      <c r="Q122">
        <v>123.24</v>
      </c>
      <c r="R122">
        <v>1150.24</v>
      </c>
      <c r="S122" t="s">
        <v>1360</v>
      </c>
      <c r="T122" t="s">
        <v>1368</v>
      </c>
      <c r="U122" s="4">
        <v>45754</v>
      </c>
      <c r="W122" t="b">
        <v>0</v>
      </c>
      <c r="Z122" t="s">
        <v>1392</v>
      </c>
      <c r="AA122" t="s">
        <v>1377</v>
      </c>
      <c r="AB122" t="s">
        <v>1393</v>
      </c>
    </row>
    <row r="123" spans="1:28" x14ac:dyDescent="0.3">
      <c r="A123" t="s">
        <v>420</v>
      </c>
      <c r="B123" s="6">
        <v>45639.496527777781</v>
      </c>
      <c r="C123" t="s">
        <v>421</v>
      </c>
      <c r="D123" t="s">
        <v>1182</v>
      </c>
      <c r="E123" t="s">
        <v>1207</v>
      </c>
      <c r="F123" t="s">
        <v>1187</v>
      </c>
      <c r="G123" t="s">
        <v>1144</v>
      </c>
      <c r="H123" t="s">
        <v>1159</v>
      </c>
      <c r="I123" t="s">
        <v>1334</v>
      </c>
      <c r="J123" t="s">
        <v>1335</v>
      </c>
      <c r="K123">
        <v>2</v>
      </c>
      <c r="L123">
        <v>13148</v>
      </c>
      <c r="M123">
        <v>0</v>
      </c>
      <c r="N123">
        <v>13148</v>
      </c>
      <c r="O123">
        <v>0.18</v>
      </c>
      <c r="P123">
        <v>26296</v>
      </c>
      <c r="Q123">
        <v>4733.28</v>
      </c>
      <c r="R123">
        <v>31029.279999999999</v>
      </c>
      <c r="S123" t="s">
        <v>1363</v>
      </c>
      <c r="T123" t="s">
        <v>1367</v>
      </c>
      <c r="U123" s="4">
        <v>45640</v>
      </c>
      <c r="W123" t="b">
        <v>0</v>
      </c>
      <c r="Z123" t="s">
        <v>1398</v>
      </c>
      <c r="AA123" t="s">
        <v>1400</v>
      </c>
      <c r="AB123" t="s">
        <v>1389</v>
      </c>
    </row>
    <row r="124" spans="1:28" x14ac:dyDescent="0.3">
      <c r="A124" t="s">
        <v>429</v>
      </c>
      <c r="B124" s="6">
        <v>45542.520833333336</v>
      </c>
      <c r="C124" t="s">
        <v>148</v>
      </c>
      <c r="D124" t="s">
        <v>1153</v>
      </c>
      <c r="E124" t="s">
        <v>1162</v>
      </c>
      <c r="F124" t="s">
        <v>1187</v>
      </c>
      <c r="G124" t="s">
        <v>1167</v>
      </c>
      <c r="H124" t="s">
        <v>1211</v>
      </c>
      <c r="I124" t="s">
        <v>1212</v>
      </c>
      <c r="J124" t="s">
        <v>1213</v>
      </c>
      <c r="K124">
        <v>3</v>
      </c>
      <c r="L124">
        <v>25440</v>
      </c>
      <c r="M124">
        <v>0.15</v>
      </c>
      <c r="N124">
        <v>21624</v>
      </c>
      <c r="O124">
        <v>0.12</v>
      </c>
      <c r="P124">
        <v>64872</v>
      </c>
      <c r="Q124">
        <v>7784.6399999999994</v>
      </c>
      <c r="R124">
        <v>72656.639999999999</v>
      </c>
      <c r="S124" t="s">
        <v>1363</v>
      </c>
      <c r="T124" t="s">
        <v>1361</v>
      </c>
      <c r="U124" s="4">
        <v>45542</v>
      </c>
      <c r="V124" s="4">
        <v>45544</v>
      </c>
      <c r="W124" t="b">
        <v>0</v>
      </c>
      <c r="Z124" t="s">
        <v>1398</v>
      </c>
      <c r="AA124" t="s">
        <v>1394</v>
      </c>
      <c r="AB124" t="s">
        <v>1378</v>
      </c>
    </row>
    <row r="125" spans="1:28" x14ac:dyDescent="0.3">
      <c r="A125" t="s">
        <v>476</v>
      </c>
      <c r="B125" s="6">
        <v>45706.504861111112</v>
      </c>
      <c r="C125" t="s">
        <v>32</v>
      </c>
      <c r="D125" t="s">
        <v>1157</v>
      </c>
      <c r="E125" t="s">
        <v>1201</v>
      </c>
      <c r="F125" t="s">
        <v>1187</v>
      </c>
      <c r="G125" t="s">
        <v>1163</v>
      </c>
      <c r="H125" t="s">
        <v>1224</v>
      </c>
      <c r="I125" t="s">
        <v>1316</v>
      </c>
      <c r="J125" t="s">
        <v>1317</v>
      </c>
      <c r="K125">
        <v>4</v>
      </c>
      <c r="L125">
        <v>922</v>
      </c>
      <c r="M125">
        <v>0</v>
      </c>
      <c r="N125">
        <v>922</v>
      </c>
      <c r="O125">
        <v>0.18</v>
      </c>
      <c r="P125">
        <v>3688</v>
      </c>
      <c r="Q125">
        <v>663.84</v>
      </c>
      <c r="R125">
        <v>4351.84</v>
      </c>
      <c r="S125" t="s">
        <v>1360</v>
      </c>
      <c r="T125" t="s">
        <v>1361</v>
      </c>
      <c r="U125" s="4">
        <v>45706</v>
      </c>
      <c r="V125" s="4">
        <v>45711</v>
      </c>
      <c r="W125" t="b">
        <v>0</v>
      </c>
      <c r="Z125" t="s">
        <v>1386</v>
      </c>
      <c r="AA125" t="s">
        <v>1385</v>
      </c>
      <c r="AB125" t="s">
        <v>1395</v>
      </c>
    </row>
    <row r="126" spans="1:28" x14ac:dyDescent="0.3">
      <c r="A126" t="s">
        <v>503</v>
      </c>
      <c r="B126" s="6">
        <v>45369.554861111108</v>
      </c>
      <c r="C126" t="s">
        <v>65</v>
      </c>
      <c r="D126" t="s">
        <v>1141</v>
      </c>
      <c r="E126" t="s">
        <v>1142</v>
      </c>
      <c r="F126" t="s">
        <v>1187</v>
      </c>
      <c r="G126" t="s">
        <v>1167</v>
      </c>
      <c r="H126" t="s">
        <v>1168</v>
      </c>
      <c r="I126" t="s">
        <v>1312</v>
      </c>
      <c r="J126" t="s">
        <v>1313</v>
      </c>
      <c r="K126">
        <v>1</v>
      </c>
      <c r="L126">
        <v>56463</v>
      </c>
      <c r="M126">
        <v>0.05</v>
      </c>
      <c r="N126">
        <v>53639.85</v>
      </c>
      <c r="O126">
        <v>0.12</v>
      </c>
      <c r="P126">
        <v>53639.85</v>
      </c>
      <c r="Q126">
        <v>6436.7819999999992</v>
      </c>
      <c r="R126">
        <v>60076.631999999998</v>
      </c>
      <c r="S126" t="s">
        <v>1360</v>
      </c>
      <c r="T126" t="s">
        <v>1361</v>
      </c>
      <c r="U126" s="4">
        <v>45369</v>
      </c>
      <c r="V126" s="4">
        <v>45370</v>
      </c>
      <c r="W126" t="b">
        <v>0</v>
      </c>
      <c r="Z126" t="s">
        <v>1396</v>
      </c>
      <c r="AA126" t="s">
        <v>1397</v>
      </c>
      <c r="AB126" t="s">
        <v>1378</v>
      </c>
    </row>
    <row r="127" spans="1:28" x14ac:dyDescent="0.3">
      <c r="A127" t="s">
        <v>507</v>
      </c>
      <c r="B127" s="6">
        <v>45401.526388888888</v>
      </c>
      <c r="C127" t="s">
        <v>313</v>
      </c>
      <c r="D127" t="s">
        <v>1148</v>
      </c>
      <c r="E127" t="s">
        <v>1149</v>
      </c>
      <c r="F127" t="s">
        <v>1187</v>
      </c>
      <c r="G127" t="s">
        <v>1177</v>
      </c>
      <c r="H127" t="s">
        <v>1309</v>
      </c>
      <c r="I127" t="s">
        <v>1332</v>
      </c>
      <c r="J127" t="s">
        <v>1333</v>
      </c>
      <c r="K127">
        <v>2</v>
      </c>
      <c r="L127">
        <v>2295</v>
      </c>
      <c r="M127">
        <v>0</v>
      </c>
      <c r="N127">
        <v>2295</v>
      </c>
      <c r="O127">
        <v>0.05</v>
      </c>
      <c r="P127">
        <v>4590</v>
      </c>
      <c r="Q127">
        <v>229.5</v>
      </c>
      <c r="R127">
        <v>4819.5</v>
      </c>
      <c r="S127" t="s">
        <v>1360</v>
      </c>
      <c r="T127" t="s">
        <v>1361</v>
      </c>
      <c r="U127" s="4">
        <v>45403</v>
      </c>
      <c r="V127" s="4">
        <v>45405</v>
      </c>
      <c r="W127" t="b">
        <v>0</v>
      </c>
      <c r="Z127" t="s">
        <v>1398</v>
      </c>
      <c r="AA127" t="s">
        <v>1394</v>
      </c>
      <c r="AB127" t="s">
        <v>1391</v>
      </c>
    </row>
    <row r="128" spans="1:28" x14ac:dyDescent="0.3">
      <c r="A128" t="s">
        <v>511</v>
      </c>
      <c r="B128" s="6">
        <v>45609.590277777781</v>
      </c>
      <c r="C128" t="s">
        <v>141</v>
      </c>
      <c r="D128" t="s">
        <v>1141</v>
      </c>
      <c r="E128" t="s">
        <v>1227</v>
      </c>
      <c r="F128" t="s">
        <v>1187</v>
      </c>
      <c r="G128" t="s">
        <v>1163</v>
      </c>
      <c r="H128" t="s">
        <v>1240</v>
      </c>
      <c r="I128" t="s">
        <v>1241</v>
      </c>
      <c r="J128" t="s">
        <v>1242</v>
      </c>
      <c r="K128">
        <v>2</v>
      </c>
      <c r="L128">
        <v>644</v>
      </c>
      <c r="M128">
        <v>0</v>
      </c>
      <c r="N128">
        <v>644</v>
      </c>
      <c r="O128">
        <v>0.12</v>
      </c>
      <c r="P128">
        <v>1288</v>
      </c>
      <c r="Q128">
        <v>154.56</v>
      </c>
      <c r="R128">
        <v>1442.56</v>
      </c>
      <c r="S128" t="s">
        <v>1360</v>
      </c>
      <c r="T128" t="s">
        <v>1361</v>
      </c>
      <c r="U128" s="4">
        <v>45610</v>
      </c>
      <c r="V128" s="4">
        <v>45614</v>
      </c>
      <c r="W128" t="b">
        <v>0</v>
      </c>
      <c r="Z128" t="s">
        <v>1384</v>
      </c>
      <c r="AA128" t="s">
        <v>1387</v>
      </c>
      <c r="AB128" t="s">
        <v>1378</v>
      </c>
    </row>
    <row r="129" spans="1:28" x14ac:dyDescent="0.3">
      <c r="A129" t="s">
        <v>516</v>
      </c>
      <c r="B129" s="6">
        <v>45434.442361111112</v>
      </c>
      <c r="C129" t="s">
        <v>264</v>
      </c>
      <c r="D129" t="s">
        <v>1153</v>
      </c>
      <c r="E129" t="s">
        <v>1162</v>
      </c>
      <c r="F129" t="s">
        <v>1187</v>
      </c>
      <c r="G129" t="s">
        <v>1144</v>
      </c>
      <c r="H129" t="s">
        <v>1159</v>
      </c>
      <c r="I129" t="s">
        <v>1160</v>
      </c>
      <c r="J129" t="s">
        <v>1161</v>
      </c>
      <c r="K129">
        <v>1</v>
      </c>
      <c r="L129">
        <v>11969</v>
      </c>
      <c r="M129">
        <v>0</v>
      </c>
      <c r="N129">
        <v>11969</v>
      </c>
      <c r="O129">
        <v>0.12</v>
      </c>
      <c r="P129">
        <v>11969</v>
      </c>
      <c r="Q129">
        <v>1436.28</v>
      </c>
      <c r="R129">
        <v>13405.28</v>
      </c>
      <c r="S129" t="s">
        <v>1366</v>
      </c>
      <c r="T129" t="s">
        <v>1361</v>
      </c>
      <c r="U129" s="4">
        <v>45435</v>
      </c>
      <c r="V129" s="4">
        <v>45439</v>
      </c>
      <c r="W129" t="b">
        <v>0</v>
      </c>
      <c r="Z129" t="s">
        <v>1388</v>
      </c>
      <c r="AA129" t="s">
        <v>1400</v>
      </c>
      <c r="AB129" t="s">
        <v>1383</v>
      </c>
    </row>
    <row r="130" spans="1:28" x14ac:dyDescent="0.3">
      <c r="A130" t="s">
        <v>522</v>
      </c>
      <c r="B130" s="6">
        <v>45679.576388888891</v>
      </c>
      <c r="C130" t="s">
        <v>135</v>
      </c>
      <c r="D130" t="s">
        <v>1182</v>
      </c>
      <c r="E130" t="s">
        <v>1207</v>
      </c>
      <c r="F130" t="s">
        <v>1187</v>
      </c>
      <c r="G130" t="s">
        <v>1163</v>
      </c>
      <c r="H130" t="s">
        <v>1240</v>
      </c>
      <c r="I130" t="s">
        <v>1281</v>
      </c>
      <c r="J130" t="s">
        <v>1282</v>
      </c>
      <c r="K130">
        <v>2</v>
      </c>
      <c r="L130">
        <v>318</v>
      </c>
      <c r="M130">
        <v>0.05</v>
      </c>
      <c r="N130">
        <v>302.10000000000002</v>
      </c>
      <c r="O130">
        <v>0.12</v>
      </c>
      <c r="P130">
        <v>604.19999999999993</v>
      </c>
      <c r="Q130">
        <v>72.503999999999991</v>
      </c>
      <c r="R130">
        <v>676.70399999999995</v>
      </c>
      <c r="S130" t="s">
        <v>1360</v>
      </c>
      <c r="T130" t="s">
        <v>1361</v>
      </c>
      <c r="U130" s="4">
        <v>45680</v>
      </c>
      <c r="V130" s="4">
        <v>45681</v>
      </c>
      <c r="W130" t="b">
        <v>0</v>
      </c>
      <c r="Z130" t="s">
        <v>1379</v>
      </c>
      <c r="AA130" t="s">
        <v>1394</v>
      </c>
      <c r="AB130" t="s">
        <v>1395</v>
      </c>
    </row>
    <row r="131" spans="1:28" x14ac:dyDescent="0.3">
      <c r="A131" t="s">
        <v>528</v>
      </c>
      <c r="B131" s="6">
        <v>45506.616666666669</v>
      </c>
      <c r="C131" t="s">
        <v>34</v>
      </c>
      <c r="D131" t="s">
        <v>1148</v>
      </c>
      <c r="E131" t="s">
        <v>1149</v>
      </c>
      <c r="F131" t="s">
        <v>1187</v>
      </c>
      <c r="G131" t="s">
        <v>1172</v>
      </c>
      <c r="H131" t="s">
        <v>1229</v>
      </c>
      <c r="I131" t="s">
        <v>1340</v>
      </c>
      <c r="J131" t="s">
        <v>1341</v>
      </c>
      <c r="K131">
        <v>1</v>
      </c>
      <c r="L131">
        <v>9037</v>
      </c>
      <c r="M131">
        <v>0.1</v>
      </c>
      <c r="N131">
        <v>8133.3</v>
      </c>
      <c r="O131">
        <v>0.18</v>
      </c>
      <c r="P131">
        <v>8133.3</v>
      </c>
      <c r="Q131">
        <v>1463.9939999999999</v>
      </c>
      <c r="R131">
        <v>9597.2939999999999</v>
      </c>
      <c r="S131" t="s">
        <v>1363</v>
      </c>
      <c r="T131" t="s">
        <v>1361</v>
      </c>
      <c r="U131" s="4">
        <v>45508</v>
      </c>
      <c r="V131" s="4">
        <v>45512</v>
      </c>
      <c r="W131" t="b">
        <v>0</v>
      </c>
      <c r="Z131" t="s">
        <v>1398</v>
      </c>
      <c r="AA131" t="s">
        <v>1399</v>
      </c>
      <c r="AB131" t="s">
        <v>1391</v>
      </c>
    </row>
    <row r="132" spans="1:28" x14ac:dyDescent="0.3">
      <c r="A132" t="s">
        <v>531</v>
      </c>
      <c r="B132" s="6">
        <v>45383.522222222222</v>
      </c>
      <c r="C132" t="s">
        <v>88</v>
      </c>
      <c r="D132" t="s">
        <v>1148</v>
      </c>
      <c r="E132" t="s">
        <v>1262</v>
      </c>
      <c r="F132" t="s">
        <v>1187</v>
      </c>
      <c r="G132" t="s">
        <v>1172</v>
      </c>
      <c r="H132" t="s">
        <v>1204</v>
      </c>
      <c r="I132" t="s">
        <v>1205</v>
      </c>
      <c r="J132" t="s">
        <v>1206</v>
      </c>
      <c r="K132">
        <v>3</v>
      </c>
      <c r="L132">
        <v>9536</v>
      </c>
      <c r="M132">
        <v>0.1</v>
      </c>
      <c r="N132">
        <v>8582.4</v>
      </c>
      <c r="O132">
        <v>0.12</v>
      </c>
      <c r="P132">
        <v>25747.200000000001</v>
      </c>
      <c r="Q132">
        <v>3089.6640000000002</v>
      </c>
      <c r="R132">
        <v>28836.864000000001</v>
      </c>
      <c r="S132" t="s">
        <v>1365</v>
      </c>
      <c r="T132" t="s">
        <v>1361</v>
      </c>
      <c r="U132" s="4">
        <v>45384</v>
      </c>
      <c r="V132" s="4">
        <v>45385</v>
      </c>
      <c r="W132" t="b">
        <v>0</v>
      </c>
      <c r="Z132" t="s">
        <v>1382</v>
      </c>
      <c r="AA132" t="s">
        <v>1387</v>
      </c>
      <c r="AB132" t="s">
        <v>1378</v>
      </c>
    </row>
    <row r="133" spans="1:28" x14ac:dyDescent="0.3">
      <c r="A133" t="s">
        <v>535</v>
      </c>
      <c r="B133" s="6">
        <v>45618.459722222222</v>
      </c>
      <c r="C133" t="s">
        <v>519</v>
      </c>
      <c r="D133" t="s">
        <v>1182</v>
      </c>
      <c r="E133" t="s">
        <v>1257</v>
      </c>
      <c r="F133" t="s">
        <v>1187</v>
      </c>
      <c r="G133" t="s">
        <v>1177</v>
      </c>
      <c r="H133" t="s">
        <v>1309</v>
      </c>
      <c r="I133" t="s">
        <v>1332</v>
      </c>
      <c r="J133" t="s">
        <v>1333</v>
      </c>
      <c r="K133">
        <v>1</v>
      </c>
      <c r="L133">
        <v>503</v>
      </c>
      <c r="M133">
        <v>0.1</v>
      </c>
      <c r="N133">
        <v>452.7</v>
      </c>
      <c r="O133">
        <v>0.05</v>
      </c>
      <c r="P133">
        <v>452.7</v>
      </c>
      <c r="Q133">
        <v>22.635000000000002</v>
      </c>
      <c r="R133">
        <v>475.33499999999998</v>
      </c>
      <c r="S133" t="s">
        <v>1360</v>
      </c>
      <c r="T133" t="s">
        <v>1361</v>
      </c>
      <c r="U133" s="4">
        <v>45620</v>
      </c>
      <c r="V133" s="4">
        <v>45623</v>
      </c>
      <c r="W133" t="b">
        <v>0</v>
      </c>
      <c r="Z133" t="s">
        <v>1386</v>
      </c>
      <c r="AA133" t="s">
        <v>1400</v>
      </c>
      <c r="AB133" t="s">
        <v>1391</v>
      </c>
    </row>
    <row r="134" spans="1:28" x14ac:dyDescent="0.3">
      <c r="A134" t="s">
        <v>556</v>
      </c>
      <c r="B134" s="6">
        <v>45539.655555555553</v>
      </c>
      <c r="C134" t="s">
        <v>75</v>
      </c>
      <c r="D134" t="s">
        <v>1182</v>
      </c>
      <c r="E134" t="s">
        <v>1183</v>
      </c>
      <c r="F134" t="s">
        <v>1187</v>
      </c>
      <c r="G134" t="s">
        <v>1177</v>
      </c>
      <c r="H134" t="s">
        <v>1192</v>
      </c>
      <c r="I134" t="s">
        <v>1193</v>
      </c>
      <c r="J134" t="s">
        <v>1194</v>
      </c>
      <c r="K134">
        <v>2</v>
      </c>
      <c r="L134">
        <v>2109</v>
      </c>
      <c r="M134">
        <v>0.2</v>
      </c>
      <c r="N134">
        <v>1687.2</v>
      </c>
      <c r="O134">
        <v>0.18</v>
      </c>
      <c r="P134">
        <v>3374.4</v>
      </c>
      <c r="Q134">
        <v>607.39199999999994</v>
      </c>
      <c r="R134">
        <v>3981.7919999999999</v>
      </c>
      <c r="S134" t="s">
        <v>1360</v>
      </c>
      <c r="T134" t="s">
        <v>1361</v>
      </c>
      <c r="U134" s="4">
        <v>45541</v>
      </c>
      <c r="V134" s="4">
        <v>45544</v>
      </c>
      <c r="W134" t="b">
        <v>0</v>
      </c>
      <c r="Z134" t="s">
        <v>1376</v>
      </c>
      <c r="AA134" t="s">
        <v>1377</v>
      </c>
      <c r="AB134" t="s">
        <v>1391</v>
      </c>
    </row>
    <row r="135" spans="1:28" x14ac:dyDescent="0.3">
      <c r="A135" t="s">
        <v>563</v>
      </c>
      <c r="B135" s="6">
        <v>45651.549305555556</v>
      </c>
      <c r="C135" t="s">
        <v>325</v>
      </c>
      <c r="D135" t="s">
        <v>1153</v>
      </c>
      <c r="E135" t="s">
        <v>1154</v>
      </c>
      <c r="F135" t="s">
        <v>1187</v>
      </c>
      <c r="G135" t="s">
        <v>1167</v>
      </c>
      <c r="H135" t="s">
        <v>1211</v>
      </c>
      <c r="I135" t="s">
        <v>1279</v>
      </c>
      <c r="J135" t="s">
        <v>1280</v>
      </c>
      <c r="K135">
        <v>2</v>
      </c>
      <c r="L135">
        <v>10368</v>
      </c>
      <c r="M135">
        <v>0.05</v>
      </c>
      <c r="N135">
        <v>9849.6</v>
      </c>
      <c r="O135">
        <v>0.18</v>
      </c>
      <c r="P135">
        <v>19699.2</v>
      </c>
      <c r="Q135">
        <v>3545.8560000000002</v>
      </c>
      <c r="R135">
        <v>23245.056</v>
      </c>
      <c r="S135" t="s">
        <v>1366</v>
      </c>
      <c r="T135" t="s">
        <v>1367</v>
      </c>
      <c r="U135" s="4">
        <v>45653</v>
      </c>
      <c r="W135" t="b">
        <v>0</v>
      </c>
      <c r="Z135" t="s">
        <v>1386</v>
      </c>
      <c r="AA135" t="s">
        <v>1377</v>
      </c>
      <c r="AB135" t="s">
        <v>1393</v>
      </c>
    </row>
    <row r="136" spans="1:28" x14ac:dyDescent="0.3">
      <c r="A136" t="s">
        <v>596</v>
      </c>
      <c r="B136" s="6">
        <v>45697.490972222222</v>
      </c>
      <c r="C136" t="s">
        <v>155</v>
      </c>
      <c r="D136" t="s">
        <v>1157</v>
      </c>
      <c r="E136" t="s">
        <v>1158</v>
      </c>
      <c r="F136" t="s">
        <v>1187</v>
      </c>
      <c r="G136" t="s">
        <v>1172</v>
      </c>
      <c r="H136" t="s">
        <v>1173</v>
      </c>
      <c r="I136" t="s">
        <v>1342</v>
      </c>
      <c r="J136" t="s">
        <v>1343</v>
      </c>
      <c r="K136">
        <v>1</v>
      </c>
      <c r="L136">
        <v>8547</v>
      </c>
      <c r="M136">
        <v>0</v>
      </c>
      <c r="N136">
        <v>8547</v>
      </c>
      <c r="O136">
        <v>0.12</v>
      </c>
      <c r="P136">
        <v>8547</v>
      </c>
      <c r="Q136">
        <v>1025.6400000000001</v>
      </c>
      <c r="R136">
        <v>9572.64</v>
      </c>
      <c r="S136" t="s">
        <v>1362</v>
      </c>
      <c r="T136" t="s">
        <v>1361</v>
      </c>
      <c r="U136" s="4">
        <v>45697</v>
      </c>
      <c r="V136" s="4">
        <v>45700</v>
      </c>
      <c r="W136" t="b">
        <v>0</v>
      </c>
      <c r="Z136" t="s">
        <v>1376</v>
      </c>
      <c r="AA136" t="s">
        <v>1397</v>
      </c>
      <c r="AB136" t="s">
        <v>1395</v>
      </c>
    </row>
    <row r="137" spans="1:28" x14ac:dyDescent="0.3">
      <c r="A137" t="s">
        <v>598</v>
      </c>
      <c r="B137" s="6">
        <v>45704.559027777781</v>
      </c>
      <c r="C137" t="s">
        <v>313</v>
      </c>
      <c r="D137" t="s">
        <v>1148</v>
      </c>
      <c r="E137" t="s">
        <v>1149</v>
      </c>
      <c r="F137" t="s">
        <v>1187</v>
      </c>
      <c r="G137" t="s">
        <v>1163</v>
      </c>
      <c r="H137" t="s">
        <v>1224</v>
      </c>
      <c r="I137" t="s">
        <v>1225</v>
      </c>
      <c r="J137" t="s">
        <v>1226</v>
      </c>
      <c r="K137">
        <v>3</v>
      </c>
      <c r="L137">
        <v>1154</v>
      </c>
      <c r="M137">
        <v>0</v>
      </c>
      <c r="N137">
        <v>1154</v>
      </c>
      <c r="O137">
        <v>0.18</v>
      </c>
      <c r="P137">
        <v>3462</v>
      </c>
      <c r="Q137">
        <v>623.16</v>
      </c>
      <c r="R137">
        <v>4085.16</v>
      </c>
      <c r="S137" t="s">
        <v>1360</v>
      </c>
      <c r="T137" t="s">
        <v>1368</v>
      </c>
      <c r="U137" s="4">
        <v>45706</v>
      </c>
      <c r="W137" t="b">
        <v>0</v>
      </c>
      <c r="Z137" t="s">
        <v>1390</v>
      </c>
      <c r="AA137" t="s">
        <v>1394</v>
      </c>
      <c r="AB137" t="s">
        <v>1378</v>
      </c>
    </row>
    <row r="138" spans="1:28" x14ac:dyDescent="0.3">
      <c r="A138" t="s">
        <v>600</v>
      </c>
      <c r="B138" s="6">
        <v>45769.398611111108</v>
      </c>
      <c r="C138" t="s">
        <v>153</v>
      </c>
      <c r="D138" t="s">
        <v>1141</v>
      </c>
      <c r="E138" t="s">
        <v>1239</v>
      </c>
      <c r="F138" t="s">
        <v>1187</v>
      </c>
      <c r="G138" t="s">
        <v>1172</v>
      </c>
      <c r="H138" t="s">
        <v>1229</v>
      </c>
      <c r="I138" t="s">
        <v>1230</v>
      </c>
      <c r="J138" t="s">
        <v>1231</v>
      </c>
      <c r="K138">
        <v>1</v>
      </c>
      <c r="L138">
        <v>3823</v>
      </c>
      <c r="M138">
        <v>0</v>
      </c>
      <c r="N138">
        <v>3823</v>
      </c>
      <c r="O138">
        <v>0.12</v>
      </c>
      <c r="P138">
        <v>3823</v>
      </c>
      <c r="Q138">
        <v>458.76</v>
      </c>
      <c r="R138">
        <v>4281.76</v>
      </c>
      <c r="S138" t="s">
        <v>1360</v>
      </c>
      <c r="T138" t="s">
        <v>1361</v>
      </c>
      <c r="U138" s="4">
        <v>45769</v>
      </c>
      <c r="V138" s="4">
        <v>45770</v>
      </c>
      <c r="W138" t="b">
        <v>0</v>
      </c>
      <c r="Z138" t="s">
        <v>1386</v>
      </c>
      <c r="AA138" t="s">
        <v>1400</v>
      </c>
      <c r="AB138" t="s">
        <v>1395</v>
      </c>
    </row>
    <row r="139" spans="1:28" x14ac:dyDescent="0.3">
      <c r="A139" t="s">
        <v>602</v>
      </c>
      <c r="B139" s="6">
        <v>45537.446527777778</v>
      </c>
      <c r="C139" t="s">
        <v>603</v>
      </c>
      <c r="D139" t="s">
        <v>1157</v>
      </c>
      <c r="E139" t="s">
        <v>1249</v>
      </c>
      <c r="F139" t="s">
        <v>1187</v>
      </c>
      <c r="G139" t="s">
        <v>1177</v>
      </c>
      <c r="H139" t="s">
        <v>1309</v>
      </c>
      <c r="I139" t="s">
        <v>1310</v>
      </c>
      <c r="J139" t="s">
        <v>1311</v>
      </c>
      <c r="K139">
        <v>3</v>
      </c>
      <c r="L139">
        <v>1843</v>
      </c>
      <c r="M139">
        <v>0.2</v>
      </c>
      <c r="N139">
        <v>1474.4</v>
      </c>
      <c r="O139">
        <v>0.05</v>
      </c>
      <c r="P139">
        <v>4423.2000000000007</v>
      </c>
      <c r="Q139">
        <v>221.16000000000011</v>
      </c>
      <c r="R139">
        <v>4644.3600000000006</v>
      </c>
      <c r="S139" t="s">
        <v>1362</v>
      </c>
      <c r="T139" t="s">
        <v>1361</v>
      </c>
      <c r="U139" s="4">
        <v>45539</v>
      </c>
      <c r="V139" s="4">
        <v>45540</v>
      </c>
      <c r="W139" t="b">
        <v>0</v>
      </c>
      <c r="Z139" t="s">
        <v>1382</v>
      </c>
      <c r="AA139" t="s">
        <v>1399</v>
      </c>
      <c r="AB139" t="s">
        <v>1395</v>
      </c>
    </row>
    <row r="140" spans="1:28" x14ac:dyDescent="0.3">
      <c r="A140" t="s">
        <v>609</v>
      </c>
      <c r="B140" s="6">
        <v>45507.404861111114</v>
      </c>
      <c r="C140" t="s">
        <v>610</v>
      </c>
      <c r="D140" t="s">
        <v>1157</v>
      </c>
      <c r="E140" t="s">
        <v>1181</v>
      </c>
      <c r="F140" t="s">
        <v>1187</v>
      </c>
      <c r="G140" t="s">
        <v>1163</v>
      </c>
      <c r="H140" t="s">
        <v>1240</v>
      </c>
      <c r="I140" t="s">
        <v>1247</v>
      </c>
      <c r="J140" t="s">
        <v>1248</v>
      </c>
      <c r="K140">
        <v>1</v>
      </c>
      <c r="L140">
        <v>272</v>
      </c>
      <c r="M140">
        <v>0</v>
      </c>
      <c r="N140">
        <v>272</v>
      </c>
      <c r="O140">
        <v>0.05</v>
      </c>
      <c r="P140">
        <v>272</v>
      </c>
      <c r="Q140">
        <v>13.6</v>
      </c>
      <c r="R140">
        <v>285.60000000000002</v>
      </c>
      <c r="S140" t="s">
        <v>1362</v>
      </c>
      <c r="T140" t="s">
        <v>1361</v>
      </c>
      <c r="U140" s="4">
        <v>45509</v>
      </c>
      <c r="V140" s="4">
        <v>45511</v>
      </c>
      <c r="W140" t="b">
        <v>0</v>
      </c>
      <c r="Z140" t="s">
        <v>1390</v>
      </c>
      <c r="AA140" t="s">
        <v>1385</v>
      </c>
      <c r="AB140" t="s">
        <v>1395</v>
      </c>
    </row>
    <row r="141" spans="1:28" x14ac:dyDescent="0.3">
      <c r="A141" t="s">
        <v>615</v>
      </c>
      <c r="B141" s="6">
        <v>45351.493055555555</v>
      </c>
      <c r="C141" t="s">
        <v>197</v>
      </c>
      <c r="D141" t="s">
        <v>1148</v>
      </c>
      <c r="E141" t="s">
        <v>1262</v>
      </c>
      <c r="F141" t="s">
        <v>1187</v>
      </c>
      <c r="G141" t="s">
        <v>1177</v>
      </c>
      <c r="H141" t="s">
        <v>1309</v>
      </c>
      <c r="I141" t="s">
        <v>1310</v>
      </c>
      <c r="J141" t="s">
        <v>1311</v>
      </c>
      <c r="K141">
        <v>3</v>
      </c>
      <c r="L141">
        <v>2729</v>
      </c>
      <c r="M141">
        <v>0</v>
      </c>
      <c r="N141">
        <v>2729</v>
      </c>
      <c r="O141">
        <v>0.18</v>
      </c>
      <c r="P141">
        <v>8187</v>
      </c>
      <c r="Q141">
        <v>1473.66</v>
      </c>
      <c r="R141">
        <v>9660.66</v>
      </c>
      <c r="S141" t="s">
        <v>1360</v>
      </c>
      <c r="T141" t="s">
        <v>1361</v>
      </c>
      <c r="U141" s="4">
        <v>45353</v>
      </c>
      <c r="V141" s="4">
        <v>45356</v>
      </c>
      <c r="W141" t="b">
        <v>0</v>
      </c>
      <c r="Z141" t="s">
        <v>1379</v>
      </c>
      <c r="AA141" t="s">
        <v>1377</v>
      </c>
      <c r="AB141" t="s">
        <v>1389</v>
      </c>
    </row>
    <row r="142" spans="1:28" x14ac:dyDescent="0.3">
      <c r="A142" t="s">
        <v>621</v>
      </c>
      <c r="B142" s="6">
        <v>45696.336111111108</v>
      </c>
      <c r="C142" t="s">
        <v>95</v>
      </c>
      <c r="D142" t="s">
        <v>1182</v>
      </c>
      <c r="E142" t="s">
        <v>1207</v>
      </c>
      <c r="F142" t="s">
        <v>1187</v>
      </c>
      <c r="G142" t="s">
        <v>1144</v>
      </c>
      <c r="H142" t="s">
        <v>1214</v>
      </c>
      <c r="I142" t="s">
        <v>1252</v>
      </c>
      <c r="J142" t="s">
        <v>1253</v>
      </c>
      <c r="K142">
        <v>1</v>
      </c>
      <c r="L142">
        <v>3407</v>
      </c>
      <c r="M142">
        <v>0.15</v>
      </c>
      <c r="N142">
        <v>2895.95</v>
      </c>
      <c r="O142">
        <v>0.12</v>
      </c>
      <c r="P142">
        <v>2895.95</v>
      </c>
      <c r="Q142">
        <v>347.51400000000001</v>
      </c>
      <c r="R142">
        <v>3243.4639999999999</v>
      </c>
      <c r="S142" t="s">
        <v>1362</v>
      </c>
      <c r="T142" t="s">
        <v>1369</v>
      </c>
      <c r="W142" t="b">
        <v>0</v>
      </c>
      <c r="Z142" t="s">
        <v>1398</v>
      </c>
      <c r="AA142" t="s">
        <v>1397</v>
      </c>
      <c r="AB142" t="s">
        <v>1391</v>
      </c>
    </row>
    <row r="143" spans="1:28" x14ac:dyDescent="0.3">
      <c r="A143" t="s">
        <v>646</v>
      </c>
      <c r="B143" s="6">
        <v>45488.540972222225</v>
      </c>
      <c r="C143" t="s">
        <v>259</v>
      </c>
      <c r="D143" t="s">
        <v>1141</v>
      </c>
      <c r="E143" t="s">
        <v>1227</v>
      </c>
      <c r="F143" t="s">
        <v>1187</v>
      </c>
      <c r="G143" t="s">
        <v>1144</v>
      </c>
      <c r="H143" t="s">
        <v>1269</v>
      </c>
      <c r="I143" t="s">
        <v>1270</v>
      </c>
      <c r="J143" t="s">
        <v>1271</v>
      </c>
      <c r="K143">
        <v>2</v>
      </c>
      <c r="L143">
        <v>6601</v>
      </c>
      <c r="M143">
        <v>0</v>
      </c>
      <c r="N143">
        <v>6601</v>
      </c>
      <c r="O143">
        <v>0.18</v>
      </c>
      <c r="P143">
        <v>13202</v>
      </c>
      <c r="Q143">
        <v>2376.36</v>
      </c>
      <c r="R143">
        <v>15578.36</v>
      </c>
      <c r="S143" t="s">
        <v>1360</v>
      </c>
      <c r="T143" t="s">
        <v>1361</v>
      </c>
      <c r="U143" s="4">
        <v>45490</v>
      </c>
      <c r="V143" s="4">
        <v>45495</v>
      </c>
      <c r="W143" t="b">
        <v>0</v>
      </c>
      <c r="Z143" t="s">
        <v>1388</v>
      </c>
      <c r="AA143" t="s">
        <v>1399</v>
      </c>
      <c r="AB143" t="s">
        <v>1391</v>
      </c>
    </row>
    <row r="144" spans="1:28" x14ac:dyDescent="0.3">
      <c r="A144" t="s">
        <v>649</v>
      </c>
      <c r="B144" s="6">
        <v>45768.499305555553</v>
      </c>
      <c r="C144" t="s">
        <v>105</v>
      </c>
      <c r="D144" t="s">
        <v>1182</v>
      </c>
      <c r="E144" t="s">
        <v>1207</v>
      </c>
      <c r="F144" t="s">
        <v>1187</v>
      </c>
      <c r="G144" t="s">
        <v>1167</v>
      </c>
      <c r="H144" t="s">
        <v>1208</v>
      </c>
      <c r="I144" t="s">
        <v>1291</v>
      </c>
      <c r="J144" t="s">
        <v>1292</v>
      </c>
      <c r="K144">
        <v>1</v>
      </c>
      <c r="L144">
        <v>6653</v>
      </c>
      <c r="M144">
        <v>0.2</v>
      </c>
      <c r="N144">
        <v>5322.4000000000005</v>
      </c>
      <c r="O144">
        <v>0.18</v>
      </c>
      <c r="P144">
        <v>5322.4000000000005</v>
      </c>
      <c r="Q144">
        <v>958.03200000000004</v>
      </c>
      <c r="R144">
        <v>6280.4320000000007</v>
      </c>
      <c r="S144" t="s">
        <v>1360</v>
      </c>
      <c r="T144" t="s">
        <v>1361</v>
      </c>
      <c r="U144" s="4">
        <v>45770</v>
      </c>
      <c r="V144" s="4">
        <v>45773</v>
      </c>
      <c r="W144" t="b">
        <v>0</v>
      </c>
      <c r="Z144" t="s">
        <v>1386</v>
      </c>
      <c r="AA144" t="s">
        <v>1399</v>
      </c>
      <c r="AB144" t="s">
        <v>1378</v>
      </c>
    </row>
    <row r="145" spans="1:28" x14ac:dyDescent="0.3">
      <c r="A145" t="s">
        <v>673</v>
      </c>
      <c r="B145" s="6">
        <v>45589.468055555553</v>
      </c>
      <c r="C145" t="s">
        <v>102</v>
      </c>
      <c r="D145" t="s">
        <v>1141</v>
      </c>
      <c r="E145" t="s">
        <v>1239</v>
      </c>
      <c r="F145" t="s">
        <v>1187</v>
      </c>
      <c r="G145" t="s">
        <v>1163</v>
      </c>
      <c r="H145" t="s">
        <v>1164</v>
      </c>
      <c r="I145" t="s">
        <v>1318</v>
      </c>
      <c r="J145" t="s">
        <v>1319</v>
      </c>
      <c r="K145">
        <v>1</v>
      </c>
      <c r="L145">
        <v>281</v>
      </c>
      <c r="M145">
        <v>0</v>
      </c>
      <c r="N145">
        <v>281</v>
      </c>
      <c r="O145">
        <v>0.18</v>
      </c>
      <c r="P145">
        <v>281</v>
      </c>
      <c r="Q145">
        <v>50.58</v>
      </c>
      <c r="R145">
        <v>331.58</v>
      </c>
      <c r="S145" t="s">
        <v>1360</v>
      </c>
      <c r="T145" t="s">
        <v>1361</v>
      </c>
      <c r="U145" s="4">
        <v>45589</v>
      </c>
      <c r="V145" s="4">
        <v>45590</v>
      </c>
      <c r="W145" t="b">
        <v>0</v>
      </c>
      <c r="Z145" t="s">
        <v>1388</v>
      </c>
      <c r="AA145" t="s">
        <v>1377</v>
      </c>
      <c r="AB145" t="s">
        <v>1389</v>
      </c>
    </row>
    <row r="146" spans="1:28" x14ac:dyDescent="0.3">
      <c r="A146" t="s">
        <v>678</v>
      </c>
      <c r="B146" s="6">
        <v>45344.648611111108</v>
      </c>
      <c r="C146" t="s">
        <v>164</v>
      </c>
      <c r="D146" t="s">
        <v>1157</v>
      </c>
      <c r="E146" t="s">
        <v>1249</v>
      </c>
      <c r="F146" t="s">
        <v>1187</v>
      </c>
      <c r="G146" t="s">
        <v>1163</v>
      </c>
      <c r="H146" t="s">
        <v>1164</v>
      </c>
      <c r="I146" t="s">
        <v>1318</v>
      </c>
      <c r="J146" t="s">
        <v>1319</v>
      </c>
      <c r="K146">
        <v>1</v>
      </c>
      <c r="L146">
        <v>348</v>
      </c>
      <c r="M146">
        <v>0</v>
      </c>
      <c r="N146">
        <v>348</v>
      </c>
      <c r="O146">
        <v>0.18</v>
      </c>
      <c r="P146">
        <v>348</v>
      </c>
      <c r="Q146">
        <v>62.64</v>
      </c>
      <c r="R146">
        <v>410.64</v>
      </c>
      <c r="S146" t="s">
        <v>1360</v>
      </c>
      <c r="T146" t="s">
        <v>1361</v>
      </c>
      <c r="U146" s="4">
        <v>45344</v>
      </c>
      <c r="V146" s="4">
        <v>45346</v>
      </c>
      <c r="W146" t="b">
        <v>0</v>
      </c>
      <c r="Z146" t="s">
        <v>1392</v>
      </c>
      <c r="AA146" t="s">
        <v>1385</v>
      </c>
      <c r="AB146" t="s">
        <v>1380</v>
      </c>
    </row>
    <row r="147" spans="1:28" x14ac:dyDescent="0.3">
      <c r="A147" t="s">
        <v>680</v>
      </c>
      <c r="B147" s="6">
        <v>45607.4</v>
      </c>
      <c r="C147" t="s">
        <v>510</v>
      </c>
      <c r="D147" t="s">
        <v>1153</v>
      </c>
      <c r="E147" t="s">
        <v>1191</v>
      </c>
      <c r="F147" t="s">
        <v>1187</v>
      </c>
      <c r="G147" t="s">
        <v>1144</v>
      </c>
      <c r="H147" t="s">
        <v>1269</v>
      </c>
      <c r="I147" t="s">
        <v>1301</v>
      </c>
      <c r="J147" t="s">
        <v>1302</v>
      </c>
      <c r="K147">
        <v>1</v>
      </c>
      <c r="L147">
        <v>7351</v>
      </c>
      <c r="M147">
        <v>0.05</v>
      </c>
      <c r="N147">
        <v>6983.45</v>
      </c>
      <c r="O147">
        <v>0.12</v>
      </c>
      <c r="P147">
        <v>6983.45</v>
      </c>
      <c r="Q147">
        <v>838.0139999999999</v>
      </c>
      <c r="R147">
        <v>7821.4639999999999</v>
      </c>
      <c r="S147" t="s">
        <v>1360</v>
      </c>
      <c r="T147" t="s">
        <v>1361</v>
      </c>
      <c r="U147" s="4">
        <v>45607</v>
      </c>
      <c r="V147" s="4">
        <v>45612</v>
      </c>
      <c r="W147" t="b">
        <v>0</v>
      </c>
      <c r="Z147" t="s">
        <v>1386</v>
      </c>
      <c r="AA147" t="s">
        <v>1385</v>
      </c>
      <c r="AB147" t="s">
        <v>1393</v>
      </c>
    </row>
    <row r="148" spans="1:28" x14ac:dyDescent="0.3">
      <c r="A148" t="s">
        <v>711</v>
      </c>
      <c r="B148" s="6">
        <v>45383.506249999999</v>
      </c>
      <c r="C148" t="s">
        <v>712</v>
      </c>
      <c r="D148" t="s">
        <v>1157</v>
      </c>
      <c r="E148" t="s">
        <v>1249</v>
      </c>
      <c r="F148" t="s">
        <v>1187</v>
      </c>
      <c r="G148" t="s">
        <v>1167</v>
      </c>
      <c r="H148" t="s">
        <v>1211</v>
      </c>
      <c r="I148" t="s">
        <v>1299</v>
      </c>
      <c r="J148" t="s">
        <v>1300</v>
      </c>
      <c r="K148">
        <v>3</v>
      </c>
      <c r="L148">
        <v>34953</v>
      </c>
      <c r="M148">
        <v>0</v>
      </c>
      <c r="N148">
        <v>34953</v>
      </c>
      <c r="O148">
        <v>0.12</v>
      </c>
      <c r="P148">
        <v>104859</v>
      </c>
      <c r="Q148">
        <v>12583.08</v>
      </c>
      <c r="R148">
        <v>117442.08</v>
      </c>
      <c r="S148" t="s">
        <v>1360</v>
      </c>
      <c r="T148" t="s">
        <v>1368</v>
      </c>
      <c r="U148" s="4">
        <v>45384</v>
      </c>
      <c r="W148" t="b">
        <v>0</v>
      </c>
      <c r="Z148" t="s">
        <v>1392</v>
      </c>
      <c r="AA148" t="s">
        <v>1377</v>
      </c>
      <c r="AB148" t="s">
        <v>1391</v>
      </c>
    </row>
    <row r="149" spans="1:28" x14ac:dyDescent="0.3">
      <c r="A149" t="s">
        <v>724</v>
      </c>
      <c r="B149" s="6">
        <v>45693.443749999999</v>
      </c>
      <c r="C149" t="s">
        <v>300</v>
      </c>
      <c r="D149" t="s">
        <v>1157</v>
      </c>
      <c r="E149" t="s">
        <v>1201</v>
      </c>
      <c r="F149" t="s">
        <v>1187</v>
      </c>
      <c r="G149" t="s">
        <v>1177</v>
      </c>
      <c r="H149" t="s">
        <v>1192</v>
      </c>
      <c r="I149" t="s">
        <v>1193</v>
      </c>
      <c r="J149" t="s">
        <v>1194</v>
      </c>
      <c r="K149">
        <v>1</v>
      </c>
      <c r="L149">
        <v>489</v>
      </c>
      <c r="M149">
        <v>0.1</v>
      </c>
      <c r="N149">
        <v>440.1</v>
      </c>
      <c r="O149">
        <v>0.18</v>
      </c>
      <c r="P149">
        <v>440.1</v>
      </c>
      <c r="Q149">
        <v>79.218000000000004</v>
      </c>
      <c r="R149">
        <v>519.31799999999998</v>
      </c>
      <c r="S149" t="s">
        <v>1362</v>
      </c>
      <c r="T149" t="s">
        <v>1368</v>
      </c>
      <c r="U149" s="4">
        <v>45695</v>
      </c>
      <c r="W149" t="b">
        <v>0</v>
      </c>
      <c r="Z149" t="s">
        <v>1396</v>
      </c>
      <c r="AA149" t="s">
        <v>1400</v>
      </c>
      <c r="AB149" t="s">
        <v>1395</v>
      </c>
    </row>
    <row r="150" spans="1:28" x14ac:dyDescent="0.3">
      <c r="A150" t="s">
        <v>748</v>
      </c>
      <c r="B150" s="6">
        <v>45725.636805555558</v>
      </c>
      <c r="C150" t="s">
        <v>197</v>
      </c>
      <c r="D150" t="s">
        <v>1148</v>
      </c>
      <c r="E150" t="s">
        <v>1262</v>
      </c>
      <c r="F150" t="s">
        <v>1187</v>
      </c>
      <c r="G150" t="s">
        <v>1144</v>
      </c>
      <c r="H150" t="s">
        <v>1276</v>
      </c>
      <c r="I150" t="s">
        <v>1307</v>
      </c>
      <c r="J150" t="s">
        <v>1308</v>
      </c>
      <c r="K150">
        <v>1</v>
      </c>
      <c r="L150">
        <v>5328</v>
      </c>
      <c r="M150">
        <v>0</v>
      </c>
      <c r="N150">
        <v>5328</v>
      </c>
      <c r="O150">
        <v>0.12</v>
      </c>
      <c r="P150">
        <v>5328</v>
      </c>
      <c r="Q150">
        <v>639.36</v>
      </c>
      <c r="R150">
        <v>5967.36</v>
      </c>
      <c r="S150" t="s">
        <v>1360</v>
      </c>
      <c r="T150" t="s">
        <v>1361</v>
      </c>
      <c r="U150" s="4">
        <v>45726</v>
      </c>
      <c r="V150" s="4">
        <v>45727</v>
      </c>
      <c r="W150" t="b">
        <v>0</v>
      </c>
      <c r="Z150" t="s">
        <v>1386</v>
      </c>
      <c r="AA150" t="s">
        <v>1394</v>
      </c>
      <c r="AB150" t="s">
        <v>1391</v>
      </c>
    </row>
    <row r="151" spans="1:28" x14ac:dyDescent="0.3">
      <c r="A151" t="s">
        <v>752</v>
      </c>
      <c r="B151" s="6">
        <v>45597.586111111108</v>
      </c>
      <c r="C151" t="s">
        <v>83</v>
      </c>
      <c r="D151" t="s">
        <v>1141</v>
      </c>
      <c r="E151" t="s">
        <v>1239</v>
      </c>
      <c r="F151" t="s">
        <v>1187</v>
      </c>
      <c r="G151" t="s">
        <v>1163</v>
      </c>
      <c r="H151" t="s">
        <v>1184</v>
      </c>
      <c r="I151" t="s">
        <v>1260</v>
      </c>
      <c r="J151" t="s">
        <v>1261</v>
      </c>
      <c r="K151">
        <v>5</v>
      </c>
      <c r="L151">
        <v>511</v>
      </c>
      <c r="M151">
        <v>0.05</v>
      </c>
      <c r="N151">
        <v>485.45</v>
      </c>
      <c r="O151">
        <v>0.12</v>
      </c>
      <c r="P151">
        <v>2427.25</v>
      </c>
      <c r="Q151">
        <v>291.27</v>
      </c>
      <c r="R151">
        <v>2718.52</v>
      </c>
      <c r="S151" t="s">
        <v>1360</v>
      </c>
      <c r="T151" t="s">
        <v>1361</v>
      </c>
      <c r="U151" s="4">
        <v>45599</v>
      </c>
      <c r="V151" s="4">
        <v>45601</v>
      </c>
      <c r="W151" t="b">
        <v>0</v>
      </c>
      <c r="Z151" t="s">
        <v>1384</v>
      </c>
      <c r="AA151" t="s">
        <v>1394</v>
      </c>
      <c r="AB151" t="s">
        <v>1378</v>
      </c>
    </row>
    <row r="152" spans="1:28" x14ac:dyDescent="0.3">
      <c r="A152" t="s">
        <v>759</v>
      </c>
      <c r="B152" s="6">
        <v>45417.482638888891</v>
      </c>
      <c r="C152" t="s">
        <v>164</v>
      </c>
      <c r="D152" t="s">
        <v>1157</v>
      </c>
      <c r="E152" t="s">
        <v>1249</v>
      </c>
      <c r="F152" t="s">
        <v>1187</v>
      </c>
      <c r="G152" t="s">
        <v>1163</v>
      </c>
      <c r="H152" t="s">
        <v>1240</v>
      </c>
      <c r="I152" t="s">
        <v>1247</v>
      </c>
      <c r="J152" t="s">
        <v>1248</v>
      </c>
      <c r="K152">
        <v>4</v>
      </c>
      <c r="L152">
        <v>1197</v>
      </c>
      <c r="M152">
        <v>0.1</v>
      </c>
      <c r="N152">
        <v>1077.3</v>
      </c>
      <c r="O152">
        <v>0.12</v>
      </c>
      <c r="P152">
        <v>4309.2</v>
      </c>
      <c r="Q152">
        <v>517.10399999999993</v>
      </c>
      <c r="R152">
        <v>4826.3040000000001</v>
      </c>
      <c r="S152" t="s">
        <v>1360</v>
      </c>
      <c r="T152" t="s">
        <v>1368</v>
      </c>
      <c r="U152" s="4">
        <v>45417</v>
      </c>
      <c r="W152" t="b">
        <v>0</v>
      </c>
      <c r="Z152" t="s">
        <v>1382</v>
      </c>
      <c r="AA152" t="s">
        <v>1387</v>
      </c>
      <c r="AB152" t="s">
        <v>1391</v>
      </c>
    </row>
    <row r="153" spans="1:28" x14ac:dyDescent="0.3">
      <c r="A153" t="s">
        <v>762</v>
      </c>
      <c r="B153" s="6">
        <v>45668.560416666667</v>
      </c>
      <c r="C153" t="s">
        <v>394</v>
      </c>
      <c r="D153" t="s">
        <v>1148</v>
      </c>
      <c r="E153" t="s">
        <v>1262</v>
      </c>
      <c r="F153" t="s">
        <v>1187</v>
      </c>
      <c r="G153" t="s">
        <v>1163</v>
      </c>
      <c r="H153" t="s">
        <v>1164</v>
      </c>
      <c r="I153" t="s">
        <v>1324</v>
      </c>
      <c r="J153" t="s">
        <v>1325</v>
      </c>
      <c r="K153">
        <v>2</v>
      </c>
      <c r="L153">
        <v>596</v>
      </c>
      <c r="M153">
        <v>0.05</v>
      </c>
      <c r="N153">
        <v>566.19999999999993</v>
      </c>
      <c r="O153">
        <v>0.12</v>
      </c>
      <c r="P153">
        <v>1132.4000000000001</v>
      </c>
      <c r="Q153">
        <v>135.88800000000001</v>
      </c>
      <c r="R153">
        <v>1268.288</v>
      </c>
      <c r="S153" t="s">
        <v>1362</v>
      </c>
      <c r="T153" t="s">
        <v>1361</v>
      </c>
      <c r="U153" s="4">
        <v>45670</v>
      </c>
      <c r="V153" s="4">
        <v>45671</v>
      </c>
      <c r="W153" t="b">
        <v>0</v>
      </c>
      <c r="Z153" t="s">
        <v>1379</v>
      </c>
      <c r="AA153" t="s">
        <v>1397</v>
      </c>
      <c r="AB153" t="s">
        <v>1378</v>
      </c>
    </row>
    <row r="154" spans="1:28" x14ac:dyDescent="0.3">
      <c r="A154" t="s">
        <v>777</v>
      </c>
      <c r="B154" s="6">
        <v>45298.465277777781</v>
      </c>
      <c r="C154" t="s">
        <v>343</v>
      </c>
      <c r="D154" t="s">
        <v>1182</v>
      </c>
      <c r="E154" t="s">
        <v>1207</v>
      </c>
      <c r="F154" t="s">
        <v>1187</v>
      </c>
      <c r="G154" t="s">
        <v>1172</v>
      </c>
      <c r="H154" t="s">
        <v>1188</v>
      </c>
      <c r="I154" t="s">
        <v>1189</v>
      </c>
      <c r="J154" t="s">
        <v>1190</v>
      </c>
      <c r="K154">
        <v>1</v>
      </c>
      <c r="L154">
        <v>9270</v>
      </c>
      <c r="M154">
        <v>0</v>
      </c>
      <c r="N154">
        <v>9270</v>
      </c>
      <c r="O154">
        <v>0.05</v>
      </c>
      <c r="P154">
        <v>9270</v>
      </c>
      <c r="Q154">
        <v>463.5</v>
      </c>
      <c r="R154">
        <v>9733.5</v>
      </c>
      <c r="S154" t="s">
        <v>1362</v>
      </c>
      <c r="T154" t="s">
        <v>1361</v>
      </c>
      <c r="U154" s="4">
        <v>45299</v>
      </c>
      <c r="V154" s="4">
        <v>45302</v>
      </c>
      <c r="W154" t="b">
        <v>0</v>
      </c>
      <c r="Z154" t="s">
        <v>1392</v>
      </c>
      <c r="AA154" t="s">
        <v>1377</v>
      </c>
      <c r="AB154" t="s">
        <v>1393</v>
      </c>
    </row>
    <row r="155" spans="1:28" x14ac:dyDescent="0.3">
      <c r="A155" t="s">
        <v>814</v>
      </c>
      <c r="B155" s="6">
        <v>45753.490972222222</v>
      </c>
      <c r="C155" t="s">
        <v>396</v>
      </c>
      <c r="D155" t="s">
        <v>1157</v>
      </c>
      <c r="E155" t="s">
        <v>1158</v>
      </c>
      <c r="F155" t="s">
        <v>1187</v>
      </c>
      <c r="G155" t="s">
        <v>1163</v>
      </c>
      <c r="H155" t="s">
        <v>1224</v>
      </c>
      <c r="I155" t="s">
        <v>1225</v>
      </c>
      <c r="J155" t="s">
        <v>1226</v>
      </c>
      <c r="K155">
        <v>4</v>
      </c>
      <c r="L155">
        <v>1184</v>
      </c>
      <c r="M155">
        <v>0</v>
      </c>
      <c r="N155">
        <v>1184</v>
      </c>
      <c r="O155">
        <v>0.18</v>
      </c>
      <c r="P155">
        <v>4736</v>
      </c>
      <c r="Q155">
        <v>852.48</v>
      </c>
      <c r="R155">
        <v>5588.48</v>
      </c>
      <c r="S155" t="s">
        <v>1360</v>
      </c>
      <c r="T155" t="s">
        <v>1364</v>
      </c>
      <c r="U155" s="4">
        <v>45753</v>
      </c>
      <c r="W155" t="b">
        <v>1</v>
      </c>
      <c r="X155" s="4">
        <v>45758</v>
      </c>
      <c r="Y155" s="4">
        <v>45758</v>
      </c>
      <c r="Z155" t="s">
        <v>1388</v>
      </c>
      <c r="AA155" t="s">
        <v>1394</v>
      </c>
      <c r="AB155" t="s">
        <v>1383</v>
      </c>
    </row>
    <row r="156" spans="1:28" x14ac:dyDescent="0.3">
      <c r="A156" t="s">
        <v>816</v>
      </c>
      <c r="B156" s="6">
        <v>45408.679861111108</v>
      </c>
      <c r="C156" t="s">
        <v>30</v>
      </c>
      <c r="D156" t="s">
        <v>1153</v>
      </c>
      <c r="E156" t="s">
        <v>1162</v>
      </c>
      <c r="F156" t="s">
        <v>1187</v>
      </c>
      <c r="G156" t="s">
        <v>1177</v>
      </c>
      <c r="H156" t="s">
        <v>1192</v>
      </c>
      <c r="I156" t="s">
        <v>1193</v>
      </c>
      <c r="J156" t="s">
        <v>1194</v>
      </c>
      <c r="K156">
        <v>1</v>
      </c>
      <c r="L156">
        <v>2939</v>
      </c>
      <c r="M156">
        <v>0</v>
      </c>
      <c r="N156">
        <v>2939</v>
      </c>
      <c r="O156">
        <v>0.12</v>
      </c>
      <c r="P156">
        <v>2939</v>
      </c>
      <c r="Q156">
        <v>352.68</v>
      </c>
      <c r="R156">
        <v>3291.68</v>
      </c>
      <c r="S156" t="s">
        <v>1360</v>
      </c>
      <c r="T156" t="s">
        <v>1361</v>
      </c>
      <c r="U156" s="4">
        <v>45409</v>
      </c>
      <c r="V156" s="4">
        <v>45413</v>
      </c>
      <c r="W156" t="b">
        <v>0</v>
      </c>
      <c r="Z156" t="s">
        <v>1392</v>
      </c>
      <c r="AA156" t="s">
        <v>1377</v>
      </c>
      <c r="AB156" t="s">
        <v>1378</v>
      </c>
    </row>
    <row r="157" spans="1:28" x14ac:dyDescent="0.3">
      <c r="A157" t="s">
        <v>818</v>
      </c>
      <c r="B157" s="6">
        <v>45525.536111111112</v>
      </c>
      <c r="C157" t="s">
        <v>189</v>
      </c>
      <c r="D157" t="s">
        <v>1182</v>
      </c>
      <c r="E157" t="s">
        <v>1207</v>
      </c>
      <c r="F157" t="s">
        <v>1187</v>
      </c>
      <c r="G157" t="s">
        <v>1144</v>
      </c>
      <c r="H157" t="s">
        <v>1159</v>
      </c>
      <c r="I157" t="s">
        <v>1160</v>
      </c>
      <c r="J157" t="s">
        <v>1161</v>
      </c>
      <c r="K157">
        <v>1</v>
      </c>
      <c r="L157">
        <v>1736</v>
      </c>
      <c r="M157">
        <v>0.1</v>
      </c>
      <c r="N157">
        <v>1562.4</v>
      </c>
      <c r="O157">
        <v>0.12</v>
      </c>
      <c r="P157">
        <v>1562.4</v>
      </c>
      <c r="Q157">
        <v>187.488</v>
      </c>
      <c r="R157">
        <v>1749.8879999999999</v>
      </c>
      <c r="S157" t="s">
        <v>1362</v>
      </c>
      <c r="T157" t="s">
        <v>1361</v>
      </c>
      <c r="U157" s="4">
        <v>45526</v>
      </c>
      <c r="V157" s="4">
        <v>45530</v>
      </c>
      <c r="W157" t="b">
        <v>0</v>
      </c>
      <c r="Z157" t="s">
        <v>1386</v>
      </c>
      <c r="AA157" t="s">
        <v>1394</v>
      </c>
      <c r="AB157" t="s">
        <v>1395</v>
      </c>
    </row>
    <row r="158" spans="1:28" x14ac:dyDescent="0.3">
      <c r="A158" t="s">
        <v>819</v>
      </c>
      <c r="B158" s="6">
        <v>45325.695138888892</v>
      </c>
      <c r="C158" t="s">
        <v>275</v>
      </c>
      <c r="D158" t="s">
        <v>1141</v>
      </c>
      <c r="E158" t="s">
        <v>1227</v>
      </c>
      <c r="F158" t="s">
        <v>1187</v>
      </c>
      <c r="G158" t="s">
        <v>1144</v>
      </c>
      <c r="H158" t="s">
        <v>1269</v>
      </c>
      <c r="I158" t="s">
        <v>1326</v>
      </c>
      <c r="J158" t="s">
        <v>1327</v>
      </c>
      <c r="K158">
        <v>1</v>
      </c>
      <c r="L158">
        <v>8311</v>
      </c>
      <c r="M158">
        <v>0.1</v>
      </c>
      <c r="N158">
        <v>7479.9000000000005</v>
      </c>
      <c r="O158">
        <v>0.12</v>
      </c>
      <c r="P158">
        <v>7479.9000000000005</v>
      </c>
      <c r="Q158">
        <v>897.58800000000008</v>
      </c>
      <c r="R158">
        <v>8377.4880000000012</v>
      </c>
      <c r="S158" t="s">
        <v>1360</v>
      </c>
      <c r="T158" t="s">
        <v>1364</v>
      </c>
      <c r="U158" s="4">
        <v>45325</v>
      </c>
      <c r="W158" t="b">
        <v>1</v>
      </c>
      <c r="X158" s="4">
        <v>45334</v>
      </c>
      <c r="Y158" s="4">
        <v>45334</v>
      </c>
      <c r="Z158" t="s">
        <v>1379</v>
      </c>
      <c r="AA158" t="s">
        <v>1377</v>
      </c>
      <c r="AB158" t="s">
        <v>1378</v>
      </c>
    </row>
    <row r="159" spans="1:28" x14ac:dyDescent="0.3">
      <c r="A159" t="s">
        <v>835</v>
      </c>
      <c r="B159" s="6">
        <v>45693.662499999999</v>
      </c>
      <c r="C159" t="s">
        <v>469</v>
      </c>
      <c r="D159" t="s">
        <v>1153</v>
      </c>
      <c r="E159" t="s">
        <v>1176</v>
      </c>
      <c r="F159" t="s">
        <v>1187</v>
      </c>
      <c r="G159" t="s">
        <v>1163</v>
      </c>
      <c r="H159" t="s">
        <v>1164</v>
      </c>
      <c r="I159" t="s">
        <v>1324</v>
      </c>
      <c r="J159" t="s">
        <v>1325</v>
      </c>
      <c r="K159">
        <v>1</v>
      </c>
      <c r="L159">
        <v>1071</v>
      </c>
      <c r="M159">
        <v>0</v>
      </c>
      <c r="N159">
        <v>1071</v>
      </c>
      <c r="O159">
        <v>0.18</v>
      </c>
      <c r="P159">
        <v>1071</v>
      </c>
      <c r="Q159">
        <v>192.78</v>
      </c>
      <c r="R159">
        <v>1263.78</v>
      </c>
      <c r="S159" t="s">
        <v>1360</v>
      </c>
      <c r="T159" t="s">
        <v>1361</v>
      </c>
      <c r="U159" s="4">
        <v>45694</v>
      </c>
      <c r="V159" s="4">
        <v>45696</v>
      </c>
      <c r="W159" t="b">
        <v>0</v>
      </c>
      <c r="Z159" t="s">
        <v>1392</v>
      </c>
      <c r="AA159" t="s">
        <v>1397</v>
      </c>
      <c r="AB159" t="s">
        <v>1395</v>
      </c>
    </row>
    <row r="160" spans="1:28" x14ac:dyDescent="0.3">
      <c r="A160" t="s">
        <v>847</v>
      </c>
      <c r="B160" s="6">
        <v>45506.668055555558</v>
      </c>
      <c r="C160" t="s">
        <v>130</v>
      </c>
      <c r="D160" t="s">
        <v>1153</v>
      </c>
      <c r="E160" t="s">
        <v>1176</v>
      </c>
      <c r="F160" t="s">
        <v>1187</v>
      </c>
      <c r="G160" t="s">
        <v>1167</v>
      </c>
      <c r="H160" t="s">
        <v>1208</v>
      </c>
      <c r="I160" t="s">
        <v>1291</v>
      </c>
      <c r="J160" t="s">
        <v>1292</v>
      </c>
      <c r="K160">
        <v>2</v>
      </c>
      <c r="L160">
        <v>43505</v>
      </c>
      <c r="M160">
        <v>0</v>
      </c>
      <c r="N160">
        <v>43505</v>
      </c>
      <c r="O160">
        <v>0.12</v>
      </c>
      <c r="P160">
        <v>87010</v>
      </c>
      <c r="Q160">
        <v>10441.200000000001</v>
      </c>
      <c r="R160">
        <v>97451.199999999997</v>
      </c>
      <c r="S160" t="s">
        <v>1360</v>
      </c>
      <c r="T160" t="s">
        <v>1361</v>
      </c>
      <c r="U160" s="4">
        <v>45507</v>
      </c>
      <c r="V160" s="4">
        <v>45510</v>
      </c>
      <c r="W160" t="b">
        <v>0</v>
      </c>
      <c r="Z160" t="s">
        <v>1398</v>
      </c>
      <c r="AA160" t="s">
        <v>1399</v>
      </c>
      <c r="AB160" t="s">
        <v>1393</v>
      </c>
    </row>
    <row r="161" spans="1:28" x14ac:dyDescent="0.3">
      <c r="A161" t="s">
        <v>875</v>
      </c>
      <c r="B161" s="6">
        <v>45403.404861111114</v>
      </c>
      <c r="C161" t="s">
        <v>195</v>
      </c>
      <c r="D161" t="s">
        <v>1148</v>
      </c>
      <c r="E161" t="s">
        <v>1149</v>
      </c>
      <c r="F161" t="s">
        <v>1187</v>
      </c>
      <c r="G161" t="s">
        <v>1172</v>
      </c>
      <c r="H161" t="s">
        <v>1188</v>
      </c>
      <c r="I161" t="s">
        <v>1258</v>
      </c>
      <c r="J161" t="s">
        <v>1259</v>
      </c>
      <c r="K161">
        <v>1</v>
      </c>
      <c r="L161">
        <v>9276</v>
      </c>
      <c r="M161">
        <v>0.15</v>
      </c>
      <c r="N161">
        <v>7884.5999999999995</v>
      </c>
      <c r="O161">
        <v>0.12</v>
      </c>
      <c r="P161">
        <v>7884.5999999999995</v>
      </c>
      <c r="Q161">
        <v>946.15199999999993</v>
      </c>
      <c r="R161">
        <v>8830.7519999999986</v>
      </c>
      <c r="S161" t="s">
        <v>1360</v>
      </c>
      <c r="T161" t="s">
        <v>1368</v>
      </c>
      <c r="U161" s="4">
        <v>45403</v>
      </c>
      <c r="W161" t="b">
        <v>0</v>
      </c>
      <c r="Z161" t="s">
        <v>1382</v>
      </c>
      <c r="AA161" t="s">
        <v>1394</v>
      </c>
      <c r="AB161" t="s">
        <v>1383</v>
      </c>
    </row>
    <row r="162" spans="1:28" x14ac:dyDescent="0.3">
      <c r="A162" t="s">
        <v>884</v>
      </c>
      <c r="B162" s="6">
        <v>45392.375</v>
      </c>
      <c r="C162" t="s">
        <v>296</v>
      </c>
      <c r="D162" t="s">
        <v>1157</v>
      </c>
      <c r="E162" t="s">
        <v>1181</v>
      </c>
      <c r="F162" t="s">
        <v>1187</v>
      </c>
      <c r="G162" t="s">
        <v>1172</v>
      </c>
      <c r="H162" t="s">
        <v>1188</v>
      </c>
      <c r="I162" t="s">
        <v>1232</v>
      </c>
      <c r="J162" t="s">
        <v>1233</v>
      </c>
      <c r="K162">
        <v>3</v>
      </c>
      <c r="L162">
        <v>8665</v>
      </c>
      <c r="M162">
        <v>0.1</v>
      </c>
      <c r="N162">
        <v>7798.5</v>
      </c>
      <c r="O162">
        <v>0.12</v>
      </c>
      <c r="P162">
        <v>23395.5</v>
      </c>
      <c r="Q162">
        <v>2807.46</v>
      </c>
      <c r="R162">
        <v>26202.959999999999</v>
      </c>
      <c r="S162" t="s">
        <v>1360</v>
      </c>
      <c r="T162" t="s">
        <v>1368</v>
      </c>
      <c r="U162" s="4">
        <v>45393</v>
      </c>
      <c r="W162" t="b">
        <v>0</v>
      </c>
      <c r="Z162" t="s">
        <v>1384</v>
      </c>
      <c r="AA162" t="s">
        <v>1387</v>
      </c>
      <c r="AB162" t="s">
        <v>1391</v>
      </c>
    </row>
    <row r="163" spans="1:28" x14ac:dyDescent="0.3">
      <c r="A163" t="s">
        <v>892</v>
      </c>
      <c r="B163" s="6">
        <v>45760.536805555559</v>
      </c>
      <c r="C163" t="s">
        <v>235</v>
      </c>
      <c r="D163" t="s">
        <v>1157</v>
      </c>
      <c r="E163" t="s">
        <v>1158</v>
      </c>
      <c r="F163" t="s">
        <v>1187</v>
      </c>
      <c r="G163" t="s">
        <v>1167</v>
      </c>
      <c r="H163" t="s">
        <v>1288</v>
      </c>
      <c r="I163" t="s">
        <v>1289</v>
      </c>
      <c r="J163" t="s">
        <v>1290</v>
      </c>
      <c r="K163">
        <v>1</v>
      </c>
      <c r="L163">
        <v>42776</v>
      </c>
      <c r="M163">
        <v>0</v>
      </c>
      <c r="N163">
        <v>42776</v>
      </c>
      <c r="O163">
        <v>0.18</v>
      </c>
      <c r="P163">
        <v>42776</v>
      </c>
      <c r="Q163">
        <v>7699.6799999999994</v>
      </c>
      <c r="R163">
        <v>50475.68</v>
      </c>
      <c r="S163" t="s">
        <v>1362</v>
      </c>
      <c r="T163" t="s">
        <v>1361</v>
      </c>
      <c r="U163" s="4">
        <v>45762</v>
      </c>
      <c r="V163" s="4">
        <v>45763</v>
      </c>
      <c r="W163" t="b">
        <v>0</v>
      </c>
      <c r="Z163" t="s">
        <v>1379</v>
      </c>
      <c r="AA163" t="s">
        <v>1394</v>
      </c>
      <c r="AB163" t="s">
        <v>1395</v>
      </c>
    </row>
    <row r="164" spans="1:28" x14ac:dyDescent="0.3">
      <c r="A164" t="s">
        <v>902</v>
      </c>
      <c r="B164" s="6">
        <v>45337.427777777775</v>
      </c>
      <c r="C164" t="s">
        <v>339</v>
      </c>
      <c r="D164" t="s">
        <v>1157</v>
      </c>
      <c r="E164" t="s">
        <v>1249</v>
      </c>
      <c r="F164" t="s">
        <v>1187</v>
      </c>
      <c r="G164" t="s">
        <v>1167</v>
      </c>
      <c r="H164" t="s">
        <v>1211</v>
      </c>
      <c r="I164" t="s">
        <v>1212</v>
      </c>
      <c r="J164" t="s">
        <v>1213</v>
      </c>
      <c r="K164">
        <v>4</v>
      </c>
      <c r="L164">
        <v>22602</v>
      </c>
      <c r="M164">
        <v>0.05</v>
      </c>
      <c r="N164">
        <v>21471.9</v>
      </c>
      <c r="O164">
        <v>0.12</v>
      </c>
      <c r="P164">
        <v>85887.599999999991</v>
      </c>
      <c r="Q164">
        <v>10306.512000000001</v>
      </c>
      <c r="R164">
        <v>96194.111999999994</v>
      </c>
      <c r="S164" t="s">
        <v>1363</v>
      </c>
      <c r="T164" t="s">
        <v>1361</v>
      </c>
      <c r="U164" s="4">
        <v>45339</v>
      </c>
      <c r="V164" s="4">
        <v>45341</v>
      </c>
      <c r="W164" t="b">
        <v>0</v>
      </c>
      <c r="Z164" t="s">
        <v>1384</v>
      </c>
      <c r="AA164" t="s">
        <v>1377</v>
      </c>
      <c r="AB164" t="s">
        <v>1383</v>
      </c>
    </row>
    <row r="165" spans="1:28" x14ac:dyDescent="0.3">
      <c r="A165" t="s">
        <v>907</v>
      </c>
      <c r="B165" s="6">
        <v>45449.486111111109</v>
      </c>
      <c r="C165" t="s">
        <v>320</v>
      </c>
      <c r="D165" t="s">
        <v>1153</v>
      </c>
      <c r="E165" t="s">
        <v>1162</v>
      </c>
      <c r="F165" t="s">
        <v>1187</v>
      </c>
      <c r="G165" t="s">
        <v>1144</v>
      </c>
      <c r="H165" t="s">
        <v>1276</v>
      </c>
      <c r="I165" t="s">
        <v>1286</v>
      </c>
      <c r="J165" t="s">
        <v>1287</v>
      </c>
      <c r="K165">
        <v>1</v>
      </c>
      <c r="L165">
        <v>6978</v>
      </c>
      <c r="M165">
        <v>0.1</v>
      </c>
      <c r="N165">
        <v>6280.2</v>
      </c>
      <c r="O165">
        <v>0.12</v>
      </c>
      <c r="P165">
        <v>6280.2</v>
      </c>
      <c r="Q165">
        <v>753.62399999999991</v>
      </c>
      <c r="R165">
        <v>7033.8239999999996</v>
      </c>
      <c r="S165" t="s">
        <v>1362</v>
      </c>
      <c r="T165" t="s">
        <v>1361</v>
      </c>
      <c r="U165" s="4">
        <v>45449</v>
      </c>
      <c r="V165" s="4">
        <v>45453</v>
      </c>
      <c r="W165" t="b">
        <v>0</v>
      </c>
      <c r="Z165" t="s">
        <v>1388</v>
      </c>
      <c r="AA165" t="s">
        <v>1377</v>
      </c>
      <c r="AB165" t="s">
        <v>1380</v>
      </c>
    </row>
    <row r="166" spans="1:28" x14ac:dyDescent="0.3">
      <c r="A166" t="s">
        <v>917</v>
      </c>
      <c r="B166" s="6">
        <v>45346.36041666667</v>
      </c>
      <c r="C166" t="s">
        <v>366</v>
      </c>
      <c r="D166" t="s">
        <v>1157</v>
      </c>
      <c r="E166" t="s">
        <v>1249</v>
      </c>
      <c r="F166" t="s">
        <v>1187</v>
      </c>
      <c r="G166" t="s">
        <v>1144</v>
      </c>
      <c r="H166" t="s">
        <v>1276</v>
      </c>
      <c r="I166" t="s">
        <v>1286</v>
      </c>
      <c r="J166" t="s">
        <v>1287</v>
      </c>
      <c r="K166">
        <v>1</v>
      </c>
      <c r="L166">
        <v>3290</v>
      </c>
      <c r="M166">
        <v>0.1</v>
      </c>
      <c r="N166">
        <v>2961</v>
      </c>
      <c r="O166">
        <v>0.12</v>
      </c>
      <c r="P166">
        <v>2961</v>
      </c>
      <c r="Q166">
        <v>355.32</v>
      </c>
      <c r="R166">
        <v>3316.32</v>
      </c>
      <c r="S166" t="s">
        <v>1362</v>
      </c>
      <c r="T166" t="s">
        <v>1361</v>
      </c>
      <c r="U166" s="4">
        <v>45348</v>
      </c>
      <c r="V166" s="4">
        <v>45353</v>
      </c>
      <c r="W166" t="b">
        <v>0</v>
      </c>
      <c r="Z166" t="s">
        <v>1388</v>
      </c>
      <c r="AA166" t="s">
        <v>1394</v>
      </c>
      <c r="AB166" t="s">
        <v>1383</v>
      </c>
    </row>
    <row r="167" spans="1:28" x14ac:dyDescent="0.3">
      <c r="A167" t="s">
        <v>922</v>
      </c>
      <c r="B167" s="6">
        <v>45614.629861111112</v>
      </c>
      <c r="C167" t="s">
        <v>392</v>
      </c>
      <c r="D167" t="s">
        <v>1153</v>
      </c>
      <c r="E167" t="s">
        <v>1191</v>
      </c>
      <c r="F167" t="s">
        <v>1187</v>
      </c>
      <c r="G167" t="s">
        <v>1144</v>
      </c>
      <c r="H167" t="s">
        <v>1214</v>
      </c>
      <c r="I167" t="s">
        <v>1252</v>
      </c>
      <c r="J167" t="s">
        <v>1253</v>
      </c>
      <c r="K167">
        <v>2</v>
      </c>
      <c r="L167">
        <v>5357</v>
      </c>
      <c r="M167">
        <v>0</v>
      </c>
      <c r="N167">
        <v>5357</v>
      </c>
      <c r="O167">
        <v>0.12</v>
      </c>
      <c r="P167">
        <v>10714</v>
      </c>
      <c r="Q167">
        <v>1285.68</v>
      </c>
      <c r="R167">
        <v>11999.68</v>
      </c>
      <c r="S167" t="s">
        <v>1360</v>
      </c>
      <c r="T167" t="s">
        <v>1361</v>
      </c>
      <c r="U167" s="4">
        <v>45615</v>
      </c>
      <c r="V167" s="4">
        <v>45617</v>
      </c>
      <c r="W167" t="b">
        <v>0</v>
      </c>
      <c r="Z167" t="s">
        <v>1382</v>
      </c>
      <c r="AA167" t="s">
        <v>1377</v>
      </c>
      <c r="AB167" t="s">
        <v>1393</v>
      </c>
    </row>
    <row r="168" spans="1:28" x14ac:dyDescent="0.3">
      <c r="A168" t="s">
        <v>948</v>
      </c>
      <c r="B168" s="6">
        <v>45493.314583333333</v>
      </c>
      <c r="C168" t="s">
        <v>124</v>
      </c>
      <c r="D168" t="s">
        <v>1153</v>
      </c>
      <c r="E168" t="s">
        <v>1191</v>
      </c>
      <c r="F168" t="s">
        <v>1187</v>
      </c>
      <c r="G168" t="s">
        <v>1163</v>
      </c>
      <c r="H168" t="s">
        <v>1224</v>
      </c>
      <c r="I168" t="s">
        <v>1225</v>
      </c>
      <c r="J168" t="s">
        <v>1226</v>
      </c>
      <c r="K168">
        <v>3</v>
      </c>
      <c r="L168">
        <v>1041</v>
      </c>
      <c r="M168">
        <v>0</v>
      </c>
      <c r="N168">
        <v>1041</v>
      </c>
      <c r="O168">
        <v>0.18</v>
      </c>
      <c r="P168">
        <v>3123</v>
      </c>
      <c r="Q168">
        <v>562.14</v>
      </c>
      <c r="R168">
        <v>3685.14</v>
      </c>
      <c r="S168" t="s">
        <v>1363</v>
      </c>
      <c r="T168" t="s">
        <v>1361</v>
      </c>
      <c r="U168" s="4">
        <v>45494</v>
      </c>
      <c r="V168" s="4">
        <v>45495</v>
      </c>
      <c r="W168" t="b">
        <v>0</v>
      </c>
      <c r="Z168" t="s">
        <v>1386</v>
      </c>
      <c r="AA168" t="s">
        <v>1394</v>
      </c>
      <c r="AB168" t="s">
        <v>1389</v>
      </c>
    </row>
    <row r="169" spans="1:28" x14ac:dyDescent="0.3">
      <c r="A169" t="s">
        <v>952</v>
      </c>
      <c r="B169" s="6">
        <v>45357.42291666667</v>
      </c>
      <c r="C169" t="s">
        <v>183</v>
      </c>
      <c r="D169" t="s">
        <v>1182</v>
      </c>
      <c r="E169" t="s">
        <v>1256</v>
      </c>
      <c r="F169" t="s">
        <v>1187</v>
      </c>
      <c r="G169" t="s">
        <v>1172</v>
      </c>
      <c r="H169" t="s">
        <v>1173</v>
      </c>
      <c r="I169" t="s">
        <v>1174</v>
      </c>
      <c r="J169" t="s">
        <v>1175</v>
      </c>
      <c r="K169">
        <v>1</v>
      </c>
      <c r="L169">
        <v>5124</v>
      </c>
      <c r="M169">
        <v>0</v>
      </c>
      <c r="N169">
        <v>5124</v>
      </c>
      <c r="O169">
        <v>0.05</v>
      </c>
      <c r="P169">
        <v>5124</v>
      </c>
      <c r="Q169">
        <v>256.2</v>
      </c>
      <c r="R169">
        <v>5380.2</v>
      </c>
      <c r="S169" t="s">
        <v>1363</v>
      </c>
      <c r="T169" t="s">
        <v>1361</v>
      </c>
      <c r="U169" s="4">
        <v>45359</v>
      </c>
      <c r="V169" s="4">
        <v>45361</v>
      </c>
      <c r="W169" t="b">
        <v>0</v>
      </c>
      <c r="Z169" t="s">
        <v>1392</v>
      </c>
      <c r="AA169" t="s">
        <v>1385</v>
      </c>
      <c r="AB169" t="s">
        <v>1391</v>
      </c>
    </row>
    <row r="170" spans="1:28" x14ac:dyDescent="0.3">
      <c r="A170" t="s">
        <v>958</v>
      </c>
      <c r="B170" s="6">
        <v>45693.605555555558</v>
      </c>
      <c r="C170" t="s">
        <v>4</v>
      </c>
      <c r="D170" t="s">
        <v>1141</v>
      </c>
      <c r="E170" t="s">
        <v>1142</v>
      </c>
      <c r="F170" t="s">
        <v>1187</v>
      </c>
      <c r="G170" t="s">
        <v>1167</v>
      </c>
      <c r="H170" t="s">
        <v>1288</v>
      </c>
      <c r="I170" t="s">
        <v>1336</v>
      </c>
      <c r="J170" t="s">
        <v>1337</v>
      </c>
      <c r="K170">
        <v>1</v>
      </c>
      <c r="L170">
        <v>47543</v>
      </c>
      <c r="M170">
        <v>0.1</v>
      </c>
      <c r="N170">
        <v>42788.7</v>
      </c>
      <c r="O170">
        <v>0.12</v>
      </c>
      <c r="P170">
        <v>42788.7</v>
      </c>
      <c r="Q170">
        <v>5134.6440000000002</v>
      </c>
      <c r="R170">
        <v>47923.343999999997</v>
      </c>
      <c r="S170" t="s">
        <v>1360</v>
      </c>
      <c r="T170" t="s">
        <v>1361</v>
      </c>
      <c r="U170" s="4">
        <v>45695</v>
      </c>
      <c r="V170" s="4">
        <v>45699</v>
      </c>
      <c r="W170" t="b">
        <v>0</v>
      </c>
      <c r="Z170" t="s">
        <v>1376</v>
      </c>
      <c r="AA170" t="s">
        <v>1387</v>
      </c>
      <c r="AB170" t="s">
        <v>1380</v>
      </c>
    </row>
    <row r="171" spans="1:28" x14ac:dyDescent="0.3">
      <c r="A171" t="s">
        <v>987</v>
      </c>
      <c r="B171" s="6">
        <v>45551.669444444444</v>
      </c>
      <c r="C171" t="s">
        <v>81</v>
      </c>
      <c r="D171" t="s">
        <v>1148</v>
      </c>
      <c r="E171" t="s">
        <v>1149</v>
      </c>
      <c r="F171" t="s">
        <v>1187</v>
      </c>
      <c r="G171" t="s">
        <v>1172</v>
      </c>
      <c r="H171" t="s">
        <v>1198</v>
      </c>
      <c r="I171" t="s">
        <v>1303</v>
      </c>
      <c r="J171" t="s">
        <v>1304</v>
      </c>
      <c r="K171">
        <v>1</v>
      </c>
      <c r="L171">
        <v>2150</v>
      </c>
      <c r="M171">
        <v>0</v>
      </c>
      <c r="N171">
        <v>2150</v>
      </c>
      <c r="O171">
        <v>0.05</v>
      </c>
      <c r="P171">
        <v>2150</v>
      </c>
      <c r="Q171">
        <v>107.5</v>
      </c>
      <c r="R171">
        <v>2257.5</v>
      </c>
      <c r="S171" t="s">
        <v>1365</v>
      </c>
      <c r="T171" t="s">
        <v>1361</v>
      </c>
      <c r="U171" s="4">
        <v>45551</v>
      </c>
      <c r="V171" s="4">
        <v>45552</v>
      </c>
      <c r="W171" t="b">
        <v>0</v>
      </c>
      <c r="Z171" t="s">
        <v>1386</v>
      </c>
      <c r="AA171" t="s">
        <v>1397</v>
      </c>
      <c r="AB171" t="s">
        <v>1393</v>
      </c>
    </row>
    <row r="172" spans="1:28" x14ac:dyDescent="0.3">
      <c r="A172" t="s">
        <v>1003</v>
      </c>
      <c r="B172" s="6">
        <v>45306.493750000001</v>
      </c>
      <c r="C172" t="s">
        <v>200</v>
      </c>
      <c r="D172" t="s">
        <v>1182</v>
      </c>
      <c r="E172" t="s">
        <v>1183</v>
      </c>
      <c r="F172" t="s">
        <v>1187</v>
      </c>
      <c r="G172" t="s">
        <v>1167</v>
      </c>
      <c r="H172" t="s">
        <v>1208</v>
      </c>
      <c r="I172" t="s">
        <v>1209</v>
      </c>
      <c r="J172" t="s">
        <v>1210</v>
      </c>
      <c r="K172">
        <v>1</v>
      </c>
      <c r="L172">
        <v>17030</v>
      </c>
      <c r="M172">
        <v>0.05</v>
      </c>
      <c r="N172">
        <v>16178.5</v>
      </c>
      <c r="O172">
        <v>0.18</v>
      </c>
      <c r="P172">
        <v>16178.5</v>
      </c>
      <c r="Q172">
        <v>2912.13</v>
      </c>
      <c r="R172">
        <v>19090.63</v>
      </c>
      <c r="S172" t="s">
        <v>1363</v>
      </c>
      <c r="T172" t="s">
        <v>1361</v>
      </c>
      <c r="U172" s="4">
        <v>45306</v>
      </c>
      <c r="V172" s="4">
        <v>45308</v>
      </c>
      <c r="W172" t="b">
        <v>0</v>
      </c>
      <c r="Z172" t="s">
        <v>1379</v>
      </c>
      <c r="AA172" t="s">
        <v>1385</v>
      </c>
      <c r="AB172" t="s">
        <v>1389</v>
      </c>
    </row>
    <row r="173" spans="1:28" x14ac:dyDescent="0.3">
      <c r="A173" t="s">
        <v>1013</v>
      </c>
      <c r="B173" s="6">
        <v>45363.47152777778</v>
      </c>
      <c r="C173" t="s">
        <v>75</v>
      </c>
      <c r="D173" t="s">
        <v>1182</v>
      </c>
      <c r="E173" t="s">
        <v>1183</v>
      </c>
      <c r="F173" t="s">
        <v>1187</v>
      </c>
      <c r="G173" t="s">
        <v>1163</v>
      </c>
      <c r="H173" t="s">
        <v>1266</v>
      </c>
      <c r="I173" t="s">
        <v>1348</v>
      </c>
      <c r="J173" t="s">
        <v>1349</v>
      </c>
      <c r="K173">
        <v>2</v>
      </c>
      <c r="L173">
        <v>1095</v>
      </c>
      <c r="M173">
        <v>0</v>
      </c>
      <c r="N173">
        <v>1095</v>
      </c>
      <c r="O173">
        <v>0.05</v>
      </c>
      <c r="P173">
        <v>2190</v>
      </c>
      <c r="Q173">
        <v>109.5</v>
      </c>
      <c r="R173">
        <v>2299.5</v>
      </c>
      <c r="S173" t="s">
        <v>1360</v>
      </c>
      <c r="T173" t="s">
        <v>1361</v>
      </c>
      <c r="U173" s="4">
        <v>45363</v>
      </c>
      <c r="V173" s="4">
        <v>45365</v>
      </c>
      <c r="W173" t="b">
        <v>0</v>
      </c>
      <c r="Z173" t="s">
        <v>1376</v>
      </c>
      <c r="AA173" t="s">
        <v>1397</v>
      </c>
      <c r="AB173" t="s">
        <v>1395</v>
      </c>
    </row>
    <row r="174" spans="1:28" x14ac:dyDescent="0.3">
      <c r="A174" t="s">
        <v>1018</v>
      </c>
      <c r="B174" s="6">
        <v>45494.544444444444</v>
      </c>
      <c r="C174" t="s">
        <v>346</v>
      </c>
      <c r="D174" t="s">
        <v>1153</v>
      </c>
      <c r="E174" t="s">
        <v>1162</v>
      </c>
      <c r="F174" t="s">
        <v>1187</v>
      </c>
      <c r="G174" t="s">
        <v>1177</v>
      </c>
      <c r="H174" t="s">
        <v>1309</v>
      </c>
      <c r="I174" t="s">
        <v>1310</v>
      </c>
      <c r="J174" t="s">
        <v>1311</v>
      </c>
      <c r="K174">
        <v>1</v>
      </c>
      <c r="L174">
        <v>1135</v>
      </c>
      <c r="M174">
        <v>0.1</v>
      </c>
      <c r="N174">
        <v>1021.5</v>
      </c>
      <c r="O174">
        <v>0.12</v>
      </c>
      <c r="P174">
        <v>1021.5</v>
      </c>
      <c r="Q174">
        <v>122.58</v>
      </c>
      <c r="R174">
        <v>1144.08</v>
      </c>
      <c r="S174" t="s">
        <v>1360</v>
      </c>
      <c r="T174" t="s">
        <v>1361</v>
      </c>
      <c r="U174" s="4">
        <v>45496</v>
      </c>
      <c r="V174" s="4">
        <v>45500</v>
      </c>
      <c r="W174" t="b">
        <v>0</v>
      </c>
      <c r="Z174" t="s">
        <v>1384</v>
      </c>
      <c r="AA174" t="s">
        <v>1397</v>
      </c>
      <c r="AB174" t="s">
        <v>1378</v>
      </c>
    </row>
    <row r="175" spans="1:28" x14ac:dyDescent="0.3">
      <c r="A175" t="s">
        <v>1023</v>
      </c>
      <c r="B175" s="6">
        <v>45734.584722222222</v>
      </c>
      <c r="C175" t="s">
        <v>339</v>
      </c>
      <c r="D175" t="s">
        <v>1157</v>
      </c>
      <c r="E175" t="s">
        <v>1249</v>
      </c>
      <c r="F175" t="s">
        <v>1187</v>
      </c>
      <c r="G175" t="s">
        <v>1172</v>
      </c>
      <c r="H175" t="s">
        <v>1204</v>
      </c>
      <c r="I175" t="s">
        <v>1297</v>
      </c>
      <c r="J175" t="s">
        <v>1298</v>
      </c>
      <c r="K175">
        <v>1</v>
      </c>
      <c r="L175">
        <v>5045</v>
      </c>
      <c r="M175">
        <v>0.05</v>
      </c>
      <c r="N175">
        <v>4792.75</v>
      </c>
      <c r="O175">
        <v>0.12</v>
      </c>
      <c r="P175">
        <v>4792.75</v>
      </c>
      <c r="Q175">
        <v>575.13</v>
      </c>
      <c r="R175">
        <v>5367.88</v>
      </c>
      <c r="S175" t="s">
        <v>1363</v>
      </c>
      <c r="T175" t="s">
        <v>1361</v>
      </c>
      <c r="U175" s="4">
        <v>45734</v>
      </c>
      <c r="V175" s="4">
        <v>45736</v>
      </c>
      <c r="W175" t="b">
        <v>0</v>
      </c>
      <c r="Z175" t="s">
        <v>1396</v>
      </c>
      <c r="AA175" t="s">
        <v>1394</v>
      </c>
      <c r="AB175" t="s">
        <v>1389</v>
      </c>
    </row>
    <row r="176" spans="1:28" x14ac:dyDescent="0.3">
      <c r="A176" t="s">
        <v>1030</v>
      </c>
      <c r="B176" s="6">
        <v>45689.53125</v>
      </c>
      <c r="C176" t="s">
        <v>16</v>
      </c>
      <c r="D176" t="s">
        <v>1148</v>
      </c>
      <c r="E176" t="s">
        <v>1171</v>
      </c>
      <c r="F176" t="s">
        <v>1187</v>
      </c>
      <c r="G176" t="s">
        <v>1163</v>
      </c>
      <c r="H176" t="s">
        <v>1266</v>
      </c>
      <c r="I176" t="s">
        <v>1267</v>
      </c>
      <c r="J176" t="s">
        <v>1268</v>
      </c>
      <c r="K176">
        <v>4</v>
      </c>
      <c r="L176">
        <v>580</v>
      </c>
      <c r="M176">
        <v>0</v>
      </c>
      <c r="N176">
        <v>580</v>
      </c>
      <c r="O176">
        <v>0.05</v>
      </c>
      <c r="P176">
        <v>2320</v>
      </c>
      <c r="Q176">
        <v>116</v>
      </c>
      <c r="R176">
        <v>2436</v>
      </c>
      <c r="S176" t="s">
        <v>1363</v>
      </c>
      <c r="T176" t="s">
        <v>1361</v>
      </c>
      <c r="U176" s="4">
        <v>45689</v>
      </c>
      <c r="V176" s="4">
        <v>45690</v>
      </c>
      <c r="W176" t="b">
        <v>0</v>
      </c>
      <c r="Z176" t="s">
        <v>1376</v>
      </c>
      <c r="AA176" t="s">
        <v>1377</v>
      </c>
      <c r="AB176" t="s">
        <v>1380</v>
      </c>
    </row>
    <row r="177" spans="1:28" x14ac:dyDescent="0.3">
      <c r="A177" t="s">
        <v>1037</v>
      </c>
      <c r="B177" s="6">
        <v>45594.509722222225</v>
      </c>
      <c r="C177" t="s">
        <v>51</v>
      </c>
      <c r="D177" t="s">
        <v>1141</v>
      </c>
      <c r="E177" t="s">
        <v>1227</v>
      </c>
      <c r="F177" t="s">
        <v>1187</v>
      </c>
      <c r="G177" t="s">
        <v>1144</v>
      </c>
      <c r="H177" t="s">
        <v>1276</v>
      </c>
      <c r="I177" t="s">
        <v>1307</v>
      </c>
      <c r="J177" t="s">
        <v>1308</v>
      </c>
      <c r="K177">
        <v>2</v>
      </c>
      <c r="L177">
        <v>14321</v>
      </c>
      <c r="M177">
        <v>0</v>
      </c>
      <c r="N177">
        <v>14321</v>
      </c>
      <c r="O177">
        <v>0.12</v>
      </c>
      <c r="P177">
        <v>28642</v>
      </c>
      <c r="Q177">
        <v>3437.04</v>
      </c>
      <c r="R177">
        <v>32079.040000000001</v>
      </c>
      <c r="S177" t="s">
        <v>1360</v>
      </c>
      <c r="T177" t="s">
        <v>1369</v>
      </c>
      <c r="W177" t="b">
        <v>0</v>
      </c>
      <c r="Z177" t="s">
        <v>1388</v>
      </c>
      <c r="AA177" t="s">
        <v>1394</v>
      </c>
      <c r="AB177" t="s">
        <v>1380</v>
      </c>
    </row>
    <row r="178" spans="1:28" x14ac:dyDescent="0.3">
      <c r="A178" t="s">
        <v>1042</v>
      </c>
      <c r="B178" s="6">
        <v>45590.54791666667</v>
      </c>
      <c r="C178" t="s">
        <v>462</v>
      </c>
      <c r="D178" t="s">
        <v>1148</v>
      </c>
      <c r="E178" t="s">
        <v>1149</v>
      </c>
      <c r="F178" t="s">
        <v>1187</v>
      </c>
      <c r="G178" t="s">
        <v>1144</v>
      </c>
      <c r="H178" t="s">
        <v>1276</v>
      </c>
      <c r="I178" t="s">
        <v>1307</v>
      </c>
      <c r="J178" t="s">
        <v>1308</v>
      </c>
      <c r="K178">
        <v>2</v>
      </c>
      <c r="L178">
        <v>9886</v>
      </c>
      <c r="M178">
        <v>0</v>
      </c>
      <c r="N178">
        <v>9886</v>
      </c>
      <c r="O178">
        <v>0.05</v>
      </c>
      <c r="P178">
        <v>19772</v>
      </c>
      <c r="Q178">
        <v>988.6</v>
      </c>
      <c r="R178">
        <v>20760.599999999999</v>
      </c>
      <c r="S178" t="s">
        <v>1366</v>
      </c>
      <c r="T178" t="s">
        <v>1361</v>
      </c>
      <c r="U178" s="4">
        <v>45591</v>
      </c>
      <c r="V178" s="4">
        <v>45596</v>
      </c>
      <c r="W178" t="b">
        <v>0</v>
      </c>
      <c r="Z178" t="s">
        <v>1388</v>
      </c>
      <c r="AA178" t="s">
        <v>1397</v>
      </c>
      <c r="AB178" t="s">
        <v>1395</v>
      </c>
    </row>
    <row r="179" spans="1:28" x14ac:dyDescent="0.3">
      <c r="A179" t="s">
        <v>1049</v>
      </c>
      <c r="B179" s="6">
        <v>45317.556250000001</v>
      </c>
      <c r="C179" t="s">
        <v>318</v>
      </c>
      <c r="D179" t="s">
        <v>1153</v>
      </c>
      <c r="E179" t="s">
        <v>1176</v>
      </c>
      <c r="F179" t="s">
        <v>1187</v>
      </c>
      <c r="G179" t="s">
        <v>1144</v>
      </c>
      <c r="H179" t="s">
        <v>1269</v>
      </c>
      <c r="I179" t="s">
        <v>1301</v>
      </c>
      <c r="J179" t="s">
        <v>1302</v>
      </c>
      <c r="K179">
        <v>3</v>
      </c>
      <c r="L179">
        <v>3275</v>
      </c>
      <c r="M179">
        <v>0.15</v>
      </c>
      <c r="N179">
        <v>2783.75</v>
      </c>
      <c r="O179">
        <v>0.12</v>
      </c>
      <c r="P179">
        <v>8351.25</v>
      </c>
      <c r="Q179">
        <v>1002.15</v>
      </c>
      <c r="R179">
        <v>9353.4</v>
      </c>
      <c r="S179" t="s">
        <v>1360</v>
      </c>
      <c r="T179" t="s">
        <v>1361</v>
      </c>
      <c r="U179" s="4">
        <v>45317</v>
      </c>
      <c r="V179" s="4">
        <v>45321</v>
      </c>
      <c r="W179" t="b">
        <v>0</v>
      </c>
      <c r="Z179" t="s">
        <v>1396</v>
      </c>
      <c r="AA179" t="s">
        <v>1397</v>
      </c>
      <c r="AB179" t="s">
        <v>1380</v>
      </c>
    </row>
    <row r="180" spans="1:28" x14ac:dyDescent="0.3">
      <c r="A180" t="s">
        <v>1062</v>
      </c>
      <c r="B180" s="6">
        <v>45693.529861111114</v>
      </c>
      <c r="C180" t="s">
        <v>95</v>
      </c>
      <c r="D180" t="s">
        <v>1182</v>
      </c>
      <c r="E180" t="s">
        <v>1207</v>
      </c>
      <c r="F180" t="s">
        <v>1187</v>
      </c>
      <c r="G180" t="s">
        <v>1172</v>
      </c>
      <c r="H180" t="s">
        <v>1188</v>
      </c>
      <c r="I180" t="s">
        <v>1232</v>
      </c>
      <c r="J180" t="s">
        <v>1233</v>
      </c>
      <c r="K180">
        <v>1</v>
      </c>
      <c r="L180">
        <v>5497</v>
      </c>
      <c r="M180">
        <v>0</v>
      </c>
      <c r="N180">
        <v>5497</v>
      </c>
      <c r="O180">
        <v>0.12</v>
      </c>
      <c r="P180">
        <v>5497</v>
      </c>
      <c r="Q180">
        <v>659.64</v>
      </c>
      <c r="R180">
        <v>6156.64</v>
      </c>
      <c r="S180" t="s">
        <v>1365</v>
      </c>
      <c r="T180" t="s">
        <v>1361</v>
      </c>
      <c r="U180" s="4">
        <v>45695</v>
      </c>
      <c r="V180" s="4">
        <v>45698</v>
      </c>
      <c r="W180" t="b">
        <v>0</v>
      </c>
      <c r="Z180" t="s">
        <v>1396</v>
      </c>
      <c r="AA180" t="s">
        <v>1397</v>
      </c>
      <c r="AB180" t="s">
        <v>1383</v>
      </c>
    </row>
    <row r="181" spans="1:28" x14ac:dyDescent="0.3">
      <c r="A181" t="s">
        <v>1063</v>
      </c>
      <c r="B181" s="6">
        <v>45509.584027777775</v>
      </c>
      <c r="C181" t="s">
        <v>179</v>
      </c>
      <c r="D181" t="s">
        <v>1141</v>
      </c>
      <c r="E181" t="s">
        <v>1239</v>
      </c>
      <c r="F181" t="s">
        <v>1187</v>
      </c>
      <c r="G181" t="s">
        <v>1167</v>
      </c>
      <c r="H181" t="s">
        <v>1168</v>
      </c>
      <c r="I181" t="s">
        <v>1169</v>
      </c>
      <c r="J181" t="s">
        <v>1170</v>
      </c>
      <c r="K181">
        <v>3</v>
      </c>
      <c r="L181">
        <v>30291</v>
      </c>
      <c r="M181">
        <v>0.1</v>
      </c>
      <c r="N181">
        <v>27261.9</v>
      </c>
      <c r="O181">
        <v>0.12</v>
      </c>
      <c r="P181">
        <v>81785.700000000012</v>
      </c>
      <c r="Q181">
        <v>9814.2840000000015</v>
      </c>
      <c r="R181">
        <v>91599.984000000011</v>
      </c>
      <c r="S181" t="s">
        <v>1362</v>
      </c>
      <c r="T181" t="s">
        <v>1361</v>
      </c>
      <c r="U181" s="4">
        <v>45510</v>
      </c>
      <c r="V181" s="4">
        <v>45514</v>
      </c>
      <c r="W181" t="b">
        <v>0</v>
      </c>
      <c r="Z181" t="s">
        <v>1398</v>
      </c>
      <c r="AA181" t="s">
        <v>1399</v>
      </c>
      <c r="AB181" t="s">
        <v>1395</v>
      </c>
    </row>
    <row r="182" spans="1:28" x14ac:dyDescent="0.3">
      <c r="A182" t="s">
        <v>1075</v>
      </c>
      <c r="B182" s="6">
        <v>45329.584722222222</v>
      </c>
      <c r="C182" t="s">
        <v>510</v>
      </c>
      <c r="D182" t="s">
        <v>1153</v>
      </c>
      <c r="E182" t="s">
        <v>1191</v>
      </c>
      <c r="F182" t="s">
        <v>1187</v>
      </c>
      <c r="G182" t="s">
        <v>1172</v>
      </c>
      <c r="H182" t="s">
        <v>1173</v>
      </c>
      <c r="I182" t="s">
        <v>1174</v>
      </c>
      <c r="J182" t="s">
        <v>1175</v>
      </c>
      <c r="K182">
        <v>2</v>
      </c>
      <c r="L182">
        <v>5743</v>
      </c>
      <c r="M182">
        <v>0</v>
      </c>
      <c r="N182">
        <v>5743</v>
      </c>
      <c r="O182">
        <v>0.05</v>
      </c>
      <c r="P182">
        <v>11486</v>
      </c>
      <c r="Q182">
        <v>574.30000000000007</v>
      </c>
      <c r="R182">
        <v>12060.3</v>
      </c>
      <c r="S182" t="s">
        <v>1363</v>
      </c>
      <c r="T182" t="s">
        <v>1361</v>
      </c>
      <c r="U182" s="4">
        <v>45330</v>
      </c>
      <c r="V182" s="4">
        <v>45333</v>
      </c>
      <c r="W182" t="b">
        <v>0</v>
      </c>
      <c r="Z182" t="s">
        <v>1398</v>
      </c>
      <c r="AA182" t="s">
        <v>1387</v>
      </c>
      <c r="AB182" t="s">
        <v>1391</v>
      </c>
    </row>
    <row r="183" spans="1:28" x14ac:dyDescent="0.3">
      <c r="A183" t="s">
        <v>1080</v>
      </c>
      <c r="B183" s="6">
        <v>45583.490277777775</v>
      </c>
      <c r="C183" t="s">
        <v>81</v>
      </c>
      <c r="D183" t="s">
        <v>1148</v>
      </c>
      <c r="E183" t="s">
        <v>1149</v>
      </c>
      <c r="F183" t="s">
        <v>1187</v>
      </c>
      <c r="G183" t="s">
        <v>1144</v>
      </c>
      <c r="H183" t="s">
        <v>1276</v>
      </c>
      <c r="I183" t="s">
        <v>1286</v>
      </c>
      <c r="J183" t="s">
        <v>1287</v>
      </c>
      <c r="K183">
        <v>2</v>
      </c>
      <c r="L183">
        <v>1922</v>
      </c>
      <c r="M183">
        <v>0</v>
      </c>
      <c r="N183">
        <v>1922</v>
      </c>
      <c r="O183">
        <v>0.18</v>
      </c>
      <c r="P183">
        <v>3844</v>
      </c>
      <c r="Q183">
        <v>691.92</v>
      </c>
      <c r="R183">
        <v>4535.92</v>
      </c>
      <c r="S183" t="s">
        <v>1363</v>
      </c>
      <c r="T183" t="s">
        <v>1368</v>
      </c>
      <c r="U183" s="4">
        <v>45583</v>
      </c>
      <c r="W183" t="b">
        <v>0</v>
      </c>
      <c r="Z183" t="s">
        <v>1379</v>
      </c>
      <c r="AA183" t="s">
        <v>1385</v>
      </c>
      <c r="AB183" t="s">
        <v>1395</v>
      </c>
    </row>
    <row r="184" spans="1:28" x14ac:dyDescent="0.3">
      <c r="A184" t="s">
        <v>1090</v>
      </c>
      <c r="B184" s="6">
        <v>45589.658333333333</v>
      </c>
      <c r="C184" t="s">
        <v>117</v>
      </c>
      <c r="D184" t="s">
        <v>1141</v>
      </c>
      <c r="E184" t="s">
        <v>1285</v>
      </c>
      <c r="F184" t="s">
        <v>1187</v>
      </c>
      <c r="G184" t="s">
        <v>1167</v>
      </c>
      <c r="H184" t="s">
        <v>1288</v>
      </c>
      <c r="I184" t="s">
        <v>1336</v>
      </c>
      <c r="J184" t="s">
        <v>1337</v>
      </c>
      <c r="K184">
        <v>3</v>
      </c>
      <c r="L184">
        <v>8178</v>
      </c>
      <c r="M184">
        <v>0</v>
      </c>
      <c r="N184">
        <v>8178</v>
      </c>
      <c r="O184">
        <v>0.12</v>
      </c>
      <c r="P184">
        <v>24534</v>
      </c>
      <c r="Q184">
        <v>2944.08</v>
      </c>
      <c r="R184">
        <v>27478.080000000002</v>
      </c>
      <c r="S184" t="s">
        <v>1363</v>
      </c>
      <c r="T184" t="s">
        <v>1368</v>
      </c>
      <c r="U184" s="4">
        <v>45591</v>
      </c>
      <c r="W184" t="b">
        <v>0</v>
      </c>
      <c r="Z184" t="s">
        <v>1388</v>
      </c>
      <c r="AA184" t="s">
        <v>1387</v>
      </c>
      <c r="AB184" t="s">
        <v>1391</v>
      </c>
    </row>
    <row r="185" spans="1:28" x14ac:dyDescent="0.3">
      <c r="A185" t="s">
        <v>1116</v>
      </c>
      <c r="B185" s="6">
        <v>45381.602083333331</v>
      </c>
      <c r="C185" t="s">
        <v>505</v>
      </c>
      <c r="D185" t="s">
        <v>1157</v>
      </c>
      <c r="E185" t="s">
        <v>1158</v>
      </c>
      <c r="F185" t="s">
        <v>1187</v>
      </c>
      <c r="G185" t="s">
        <v>1144</v>
      </c>
      <c r="H185" t="s">
        <v>1145</v>
      </c>
      <c r="I185" t="s">
        <v>1151</v>
      </c>
      <c r="J185" t="s">
        <v>1152</v>
      </c>
      <c r="K185">
        <v>1</v>
      </c>
      <c r="L185">
        <v>9012</v>
      </c>
      <c r="M185">
        <v>0</v>
      </c>
      <c r="N185">
        <v>9012</v>
      </c>
      <c r="O185">
        <v>0.12</v>
      </c>
      <c r="P185">
        <v>9012</v>
      </c>
      <c r="Q185">
        <v>1081.44</v>
      </c>
      <c r="R185">
        <v>10093.44</v>
      </c>
      <c r="S185" t="s">
        <v>1363</v>
      </c>
      <c r="T185" t="s">
        <v>1361</v>
      </c>
      <c r="U185" s="4">
        <v>45383</v>
      </c>
      <c r="V185" s="4">
        <v>45388</v>
      </c>
      <c r="W185" t="b">
        <v>0</v>
      </c>
      <c r="Z185" t="s">
        <v>1398</v>
      </c>
      <c r="AA185" t="s">
        <v>1377</v>
      </c>
      <c r="AB185" t="s">
        <v>1378</v>
      </c>
    </row>
    <row r="186" spans="1:28" x14ac:dyDescent="0.3">
      <c r="A186" t="s">
        <v>1120</v>
      </c>
      <c r="B186" s="6">
        <v>45374.493750000001</v>
      </c>
      <c r="C186" t="s">
        <v>382</v>
      </c>
      <c r="D186" t="s">
        <v>1157</v>
      </c>
      <c r="E186" t="s">
        <v>1158</v>
      </c>
      <c r="F186" t="s">
        <v>1187</v>
      </c>
      <c r="G186" t="s">
        <v>1172</v>
      </c>
      <c r="H186" t="s">
        <v>1173</v>
      </c>
      <c r="I186" t="s">
        <v>1222</v>
      </c>
      <c r="J186" t="s">
        <v>1223</v>
      </c>
      <c r="K186">
        <v>1</v>
      </c>
      <c r="L186">
        <v>8508</v>
      </c>
      <c r="M186">
        <v>0.15</v>
      </c>
      <c r="N186">
        <v>7231.8</v>
      </c>
      <c r="O186">
        <v>0.12</v>
      </c>
      <c r="P186">
        <v>7231.8</v>
      </c>
      <c r="Q186">
        <v>867.81600000000003</v>
      </c>
      <c r="R186">
        <v>8099.616</v>
      </c>
      <c r="S186" t="s">
        <v>1363</v>
      </c>
      <c r="T186" t="s">
        <v>1361</v>
      </c>
      <c r="U186" s="4">
        <v>45375</v>
      </c>
      <c r="V186" s="4">
        <v>45379</v>
      </c>
      <c r="W186" t="b">
        <v>0</v>
      </c>
      <c r="Z186" t="s">
        <v>1379</v>
      </c>
      <c r="AA186" t="s">
        <v>1397</v>
      </c>
      <c r="AB186" t="s">
        <v>1391</v>
      </c>
    </row>
    <row r="187" spans="1:28" x14ac:dyDescent="0.3">
      <c r="A187" t="s">
        <v>1130</v>
      </c>
      <c r="B187" s="6">
        <v>45661.654166666667</v>
      </c>
      <c r="C187" t="s">
        <v>330</v>
      </c>
      <c r="D187" t="s">
        <v>1153</v>
      </c>
      <c r="E187" t="s">
        <v>1162</v>
      </c>
      <c r="F187" t="s">
        <v>1187</v>
      </c>
      <c r="G187" t="s">
        <v>1144</v>
      </c>
      <c r="H187" t="s">
        <v>1214</v>
      </c>
      <c r="I187" t="s">
        <v>1320</v>
      </c>
      <c r="J187" t="s">
        <v>1321</v>
      </c>
      <c r="K187">
        <v>2</v>
      </c>
      <c r="L187">
        <v>9176</v>
      </c>
      <c r="M187">
        <v>0.1</v>
      </c>
      <c r="N187">
        <v>8258.4</v>
      </c>
      <c r="O187">
        <v>0.18</v>
      </c>
      <c r="P187">
        <v>16516.8</v>
      </c>
      <c r="Q187">
        <v>2973.0239999999999</v>
      </c>
      <c r="R187">
        <v>19489.824000000001</v>
      </c>
      <c r="S187" t="s">
        <v>1366</v>
      </c>
      <c r="T187" t="s">
        <v>1361</v>
      </c>
      <c r="U187" s="4">
        <v>45661</v>
      </c>
      <c r="V187" s="4">
        <v>45663</v>
      </c>
      <c r="W187" t="b">
        <v>0</v>
      </c>
      <c r="Z187" t="s">
        <v>1379</v>
      </c>
      <c r="AA187" t="s">
        <v>1399</v>
      </c>
      <c r="AB187" t="s">
        <v>1395</v>
      </c>
    </row>
    <row r="188" spans="1:28" x14ac:dyDescent="0.3">
      <c r="A188" t="s">
        <v>3</v>
      </c>
      <c r="B188" s="6">
        <v>45597.490972222222</v>
      </c>
      <c r="C188" t="s">
        <v>4</v>
      </c>
      <c r="D188" t="s">
        <v>1141</v>
      </c>
      <c r="E188" t="s">
        <v>1142</v>
      </c>
      <c r="F188" t="s">
        <v>1143</v>
      </c>
      <c r="G188" t="s">
        <v>1144</v>
      </c>
      <c r="H188" t="s">
        <v>1145</v>
      </c>
      <c r="I188" t="s">
        <v>1146</v>
      </c>
      <c r="J188" t="s">
        <v>1147</v>
      </c>
      <c r="K188">
        <v>1</v>
      </c>
      <c r="L188">
        <v>14986</v>
      </c>
      <c r="M188">
        <v>0.05</v>
      </c>
      <c r="N188">
        <v>14236.7</v>
      </c>
      <c r="O188">
        <v>0.12</v>
      </c>
      <c r="P188">
        <v>14236.7</v>
      </c>
      <c r="Q188">
        <v>1708.404</v>
      </c>
      <c r="R188">
        <v>15945.103999999999</v>
      </c>
      <c r="S188" t="s">
        <v>1360</v>
      </c>
      <c r="T188" t="s">
        <v>1361</v>
      </c>
      <c r="U188" s="4">
        <v>45598</v>
      </c>
      <c r="V188" s="4">
        <v>45601</v>
      </c>
      <c r="W188" t="b">
        <v>0</v>
      </c>
      <c r="Z188" t="s">
        <v>1376</v>
      </c>
      <c r="AA188" t="s">
        <v>1377</v>
      </c>
      <c r="AB188" t="s">
        <v>1378</v>
      </c>
    </row>
    <row r="189" spans="1:28" x14ac:dyDescent="0.3">
      <c r="A189" t="s">
        <v>7</v>
      </c>
      <c r="B189" s="6">
        <v>45614.472916666666</v>
      </c>
      <c r="C189" t="s">
        <v>8</v>
      </c>
      <c r="D189" t="s">
        <v>1153</v>
      </c>
      <c r="E189" t="s">
        <v>1154</v>
      </c>
      <c r="F189" t="s">
        <v>1143</v>
      </c>
      <c r="G189" t="s">
        <v>1144</v>
      </c>
      <c r="H189" t="s">
        <v>1145</v>
      </c>
      <c r="I189" t="s">
        <v>1155</v>
      </c>
      <c r="J189" t="s">
        <v>1156</v>
      </c>
      <c r="K189">
        <v>4</v>
      </c>
      <c r="L189">
        <v>6782</v>
      </c>
      <c r="M189">
        <v>0.2</v>
      </c>
      <c r="N189">
        <v>5425.6</v>
      </c>
      <c r="O189">
        <v>0.18</v>
      </c>
      <c r="P189">
        <v>21702.400000000001</v>
      </c>
      <c r="Q189">
        <v>3906.4319999999998</v>
      </c>
      <c r="R189">
        <v>25608.831999999999</v>
      </c>
      <c r="S189" t="s">
        <v>1363</v>
      </c>
      <c r="T189" t="s">
        <v>1364</v>
      </c>
      <c r="U189" s="4">
        <v>45616</v>
      </c>
      <c r="W189" t="b">
        <v>1</v>
      </c>
      <c r="X189" s="4">
        <v>45626</v>
      </c>
      <c r="Y189" s="4">
        <v>45626</v>
      </c>
      <c r="Z189" t="s">
        <v>1382</v>
      </c>
      <c r="AA189" t="s">
        <v>1377</v>
      </c>
      <c r="AB189" t="s">
        <v>1383</v>
      </c>
    </row>
    <row r="190" spans="1:28" x14ac:dyDescent="0.3">
      <c r="A190" t="s">
        <v>11</v>
      </c>
      <c r="B190" s="6">
        <v>45627.498611111114</v>
      </c>
      <c r="C190" t="s">
        <v>12</v>
      </c>
      <c r="D190" t="s">
        <v>1153</v>
      </c>
      <c r="E190" t="s">
        <v>1162</v>
      </c>
      <c r="F190" t="s">
        <v>1143</v>
      </c>
      <c r="G190" t="s">
        <v>1163</v>
      </c>
      <c r="H190" t="s">
        <v>1164</v>
      </c>
      <c r="I190" t="s">
        <v>1165</v>
      </c>
      <c r="J190" t="s">
        <v>1166</v>
      </c>
      <c r="K190">
        <v>2</v>
      </c>
      <c r="L190">
        <v>730</v>
      </c>
      <c r="M190">
        <v>0.15</v>
      </c>
      <c r="N190">
        <v>620.5</v>
      </c>
      <c r="O190">
        <v>0.18</v>
      </c>
      <c r="P190">
        <v>1241</v>
      </c>
      <c r="Q190">
        <v>223.38</v>
      </c>
      <c r="R190">
        <v>1464.38</v>
      </c>
      <c r="S190" t="s">
        <v>1365</v>
      </c>
      <c r="T190" t="s">
        <v>1361</v>
      </c>
      <c r="U190" s="4">
        <v>45629</v>
      </c>
      <c r="V190" s="4">
        <v>45630</v>
      </c>
      <c r="W190" t="b">
        <v>0</v>
      </c>
      <c r="Z190" t="s">
        <v>1386</v>
      </c>
      <c r="AA190" t="s">
        <v>1387</v>
      </c>
      <c r="AB190" t="s">
        <v>1383</v>
      </c>
    </row>
    <row r="191" spans="1:28" x14ac:dyDescent="0.3">
      <c r="A191" t="s">
        <v>15</v>
      </c>
      <c r="B191" s="6">
        <v>45716.523611111108</v>
      </c>
      <c r="C191" t="s">
        <v>16</v>
      </c>
      <c r="D191" t="s">
        <v>1148</v>
      </c>
      <c r="E191" t="s">
        <v>1171</v>
      </c>
      <c r="F191" t="s">
        <v>1143</v>
      </c>
      <c r="G191" t="s">
        <v>1172</v>
      </c>
      <c r="H191" t="s">
        <v>1173</v>
      </c>
      <c r="I191" t="s">
        <v>1174</v>
      </c>
      <c r="J191" t="s">
        <v>1175</v>
      </c>
      <c r="K191">
        <v>3</v>
      </c>
      <c r="L191">
        <v>5345</v>
      </c>
      <c r="M191">
        <v>0.1</v>
      </c>
      <c r="N191">
        <v>4810.5</v>
      </c>
      <c r="O191">
        <v>0.12</v>
      </c>
      <c r="P191">
        <v>14431.5</v>
      </c>
      <c r="Q191">
        <v>1731.78</v>
      </c>
      <c r="R191">
        <v>16163.28</v>
      </c>
      <c r="S191" t="s">
        <v>1365</v>
      </c>
      <c r="T191" t="s">
        <v>1361</v>
      </c>
      <c r="U191" s="4">
        <v>45717</v>
      </c>
      <c r="V191" s="4">
        <v>45722</v>
      </c>
      <c r="W191" t="b">
        <v>0</v>
      </c>
      <c r="Z191" t="s">
        <v>1388</v>
      </c>
      <c r="AA191" t="s">
        <v>1385</v>
      </c>
      <c r="AB191" t="s">
        <v>1389</v>
      </c>
    </row>
    <row r="192" spans="1:28" x14ac:dyDescent="0.3">
      <c r="A192" t="s">
        <v>17</v>
      </c>
      <c r="B192" s="6">
        <v>45452.529166666667</v>
      </c>
      <c r="C192" t="s">
        <v>18</v>
      </c>
      <c r="D192" t="s">
        <v>1153</v>
      </c>
      <c r="E192" t="s">
        <v>1176</v>
      </c>
      <c r="F192" t="s">
        <v>1143</v>
      </c>
      <c r="G192" t="s">
        <v>1177</v>
      </c>
      <c r="H192" t="s">
        <v>1178</v>
      </c>
      <c r="I192" t="s">
        <v>1179</v>
      </c>
      <c r="J192" t="s">
        <v>1180</v>
      </c>
      <c r="K192">
        <v>4</v>
      </c>
      <c r="L192">
        <v>1607</v>
      </c>
      <c r="M192">
        <v>0</v>
      </c>
      <c r="N192">
        <v>1607</v>
      </c>
      <c r="O192">
        <v>0.12</v>
      </c>
      <c r="P192">
        <v>6428</v>
      </c>
      <c r="Q192">
        <v>771.36</v>
      </c>
      <c r="R192">
        <v>7199.36</v>
      </c>
      <c r="S192" t="s">
        <v>1366</v>
      </c>
      <c r="T192" t="s">
        <v>1367</v>
      </c>
      <c r="U192" s="4">
        <v>45453</v>
      </c>
      <c r="W192" t="b">
        <v>0</v>
      </c>
      <c r="Z192" t="s">
        <v>1390</v>
      </c>
      <c r="AA192" t="s">
        <v>1385</v>
      </c>
      <c r="AB192" t="s">
        <v>1391</v>
      </c>
    </row>
    <row r="193" spans="1:28" x14ac:dyDescent="0.3">
      <c r="A193" t="s">
        <v>19</v>
      </c>
      <c r="B193" s="6">
        <v>45602.490972222222</v>
      </c>
      <c r="C193" t="s">
        <v>20</v>
      </c>
      <c r="D193" t="s">
        <v>1157</v>
      </c>
      <c r="E193" t="s">
        <v>1181</v>
      </c>
      <c r="F193" t="s">
        <v>1143</v>
      </c>
      <c r="G193" t="s">
        <v>1144</v>
      </c>
      <c r="H193" t="s">
        <v>1145</v>
      </c>
      <c r="I193" t="s">
        <v>1146</v>
      </c>
      <c r="J193" t="s">
        <v>1147</v>
      </c>
      <c r="K193">
        <v>1</v>
      </c>
      <c r="L193">
        <v>2340</v>
      </c>
      <c r="M193">
        <v>0.1</v>
      </c>
      <c r="N193">
        <v>2106</v>
      </c>
      <c r="O193">
        <v>0.12</v>
      </c>
      <c r="P193">
        <v>2106</v>
      </c>
      <c r="Q193">
        <v>252.72</v>
      </c>
      <c r="R193">
        <v>2358.7199999999998</v>
      </c>
      <c r="S193" t="s">
        <v>1362</v>
      </c>
      <c r="T193" t="s">
        <v>1361</v>
      </c>
      <c r="U193" s="4">
        <v>45602</v>
      </c>
      <c r="V193" s="4">
        <v>45607</v>
      </c>
      <c r="W193" t="b">
        <v>0</v>
      </c>
      <c r="Z193" t="s">
        <v>1392</v>
      </c>
      <c r="AA193" t="s">
        <v>1387</v>
      </c>
      <c r="AB193" t="s">
        <v>1393</v>
      </c>
    </row>
    <row r="194" spans="1:28" x14ac:dyDescent="0.3">
      <c r="A194" t="s">
        <v>21</v>
      </c>
      <c r="B194" s="6">
        <v>45373.501388888886</v>
      </c>
      <c r="C194" t="s">
        <v>22</v>
      </c>
      <c r="D194" t="s">
        <v>1182</v>
      </c>
      <c r="E194" t="s">
        <v>1183</v>
      </c>
      <c r="F194" t="s">
        <v>1143</v>
      </c>
      <c r="G194" t="s">
        <v>1163</v>
      </c>
      <c r="H194" t="s">
        <v>1184</v>
      </c>
      <c r="I194" t="s">
        <v>1185</v>
      </c>
      <c r="J194" t="s">
        <v>1186</v>
      </c>
      <c r="K194">
        <v>5</v>
      </c>
      <c r="L194">
        <v>308</v>
      </c>
      <c r="M194">
        <v>0</v>
      </c>
      <c r="N194">
        <v>308</v>
      </c>
      <c r="O194">
        <v>0.12</v>
      </c>
      <c r="P194">
        <v>1540</v>
      </c>
      <c r="Q194">
        <v>184.8</v>
      </c>
      <c r="R194">
        <v>1724.8</v>
      </c>
      <c r="S194" t="s">
        <v>1362</v>
      </c>
      <c r="T194" t="s">
        <v>1361</v>
      </c>
      <c r="U194" s="4">
        <v>45374</v>
      </c>
      <c r="V194" s="4">
        <v>45376</v>
      </c>
      <c r="W194" t="b">
        <v>0</v>
      </c>
      <c r="Z194" t="s">
        <v>1384</v>
      </c>
      <c r="AA194" t="s">
        <v>1394</v>
      </c>
      <c r="AB194" t="s">
        <v>1395</v>
      </c>
    </row>
    <row r="195" spans="1:28" x14ac:dyDescent="0.3">
      <c r="A195" t="s">
        <v>27</v>
      </c>
      <c r="B195" s="6">
        <v>45750.501388888886</v>
      </c>
      <c r="C195" t="s">
        <v>28</v>
      </c>
      <c r="D195" t="s">
        <v>1153</v>
      </c>
      <c r="E195" t="s">
        <v>1162</v>
      </c>
      <c r="F195" t="s">
        <v>1143</v>
      </c>
      <c r="G195" t="s">
        <v>1177</v>
      </c>
      <c r="H195" t="s">
        <v>1195</v>
      </c>
      <c r="I195" t="s">
        <v>1196</v>
      </c>
      <c r="J195" t="s">
        <v>1197</v>
      </c>
      <c r="K195">
        <v>1</v>
      </c>
      <c r="L195">
        <v>1363</v>
      </c>
      <c r="M195">
        <v>0.05</v>
      </c>
      <c r="N195">
        <v>1294.8499999999999</v>
      </c>
      <c r="O195">
        <v>0.05</v>
      </c>
      <c r="P195">
        <v>1294.8499999999999</v>
      </c>
      <c r="Q195">
        <v>64.742499999999993</v>
      </c>
      <c r="R195">
        <v>1359.5925</v>
      </c>
      <c r="S195" t="s">
        <v>1360</v>
      </c>
      <c r="T195" t="s">
        <v>1361</v>
      </c>
      <c r="U195" s="4">
        <v>45750</v>
      </c>
      <c r="V195" s="4">
        <v>45753</v>
      </c>
      <c r="W195" t="b">
        <v>0</v>
      </c>
      <c r="Z195" t="s">
        <v>1390</v>
      </c>
      <c r="AA195" t="s">
        <v>1397</v>
      </c>
      <c r="AB195" t="s">
        <v>1391</v>
      </c>
    </row>
    <row r="196" spans="1:28" x14ac:dyDescent="0.3">
      <c r="A196" t="s">
        <v>31</v>
      </c>
      <c r="B196" s="6">
        <v>45636.591666666667</v>
      </c>
      <c r="C196" t="s">
        <v>32</v>
      </c>
      <c r="D196" t="s">
        <v>1157</v>
      </c>
      <c r="E196" t="s">
        <v>1201</v>
      </c>
      <c r="F196" t="s">
        <v>1143</v>
      </c>
      <c r="G196" t="s">
        <v>1177</v>
      </c>
      <c r="H196" t="s">
        <v>1195</v>
      </c>
      <c r="I196" t="s">
        <v>1202</v>
      </c>
      <c r="J196" t="s">
        <v>1203</v>
      </c>
      <c r="K196">
        <v>2</v>
      </c>
      <c r="L196">
        <v>1267</v>
      </c>
      <c r="M196">
        <v>0.1</v>
      </c>
      <c r="N196">
        <v>1140.3</v>
      </c>
      <c r="O196">
        <v>0.12</v>
      </c>
      <c r="P196">
        <v>2280.6</v>
      </c>
      <c r="Q196">
        <v>273.67200000000003</v>
      </c>
      <c r="R196">
        <v>2554.2719999999999</v>
      </c>
      <c r="S196" t="s">
        <v>1365</v>
      </c>
      <c r="T196" t="s">
        <v>1368</v>
      </c>
      <c r="U196" s="4">
        <v>45636</v>
      </c>
      <c r="W196" t="b">
        <v>0</v>
      </c>
      <c r="Z196" t="s">
        <v>1396</v>
      </c>
      <c r="AA196" t="s">
        <v>1399</v>
      </c>
      <c r="AB196" t="s">
        <v>1380</v>
      </c>
    </row>
    <row r="197" spans="1:28" x14ac:dyDescent="0.3">
      <c r="A197" t="s">
        <v>33</v>
      </c>
      <c r="B197" s="6">
        <v>45617.612500000003</v>
      </c>
      <c r="C197" t="s">
        <v>34</v>
      </c>
      <c r="D197" t="s">
        <v>1148</v>
      </c>
      <c r="E197" t="s">
        <v>1149</v>
      </c>
      <c r="F197" t="s">
        <v>1143</v>
      </c>
      <c r="G197" t="s">
        <v>1172</v>
      </c>
      <c r="H197" t="s">
        <v>1204</v>
      </c>
      <c r="I197" t="s">
        <v>1205</v>
      </c>
      <c r="J197" t="s">
        <v>1206</v>
      </c>
      <c r="K197">
        <v>1</v>
      </c>
      <c r="L197">
        <v>7214</v>
      </c>
      <c r="M197">
        <v>0</v>
      </c>
      <c r="N197">
        <v>7214</v>
      </c>
      <c r="O197">
        <v>0.18</v>
      </c>
      <c r="P197">
        <v>7214</v>
      </c>
      <c r="Q197">
        <v>1298.52</v>
      </c>
      <c r="R197">
        <v>8512.52</v>
      </c>
      <c r="S197" t="s">
        <v>1365</v>
      </c>
      <c r="T197" t="s">
        <v>1361</v>
      </c>
      <c r="U197" s="4">
        <v>45618</v>
      </c>
      <c r="V197" s="4">
        <v>45622</v>
      </c>
      <c r="W197" t="b">
        <v>0</v>
      </c>
      <c r="Z197" t="s">
        <v>1379</v>
      </c>
      <c r="AA197" t="s">
        <v>1394</v>
      </c>
      <c r="AB197" t="s">
        <v>1389</v>
      </c>
    </row>
    <row r="198" spans="1:28" x14ac:dyDescent="0.3">
      <c r="A198" t="s">
        <v>37</v>
      </c>
      <c r="B198" s="6">
        <v>45722.520138888889</v>
      </c>
      <c r="C198" t="s">
        <v>38</v>
      </c>
      <c r="D198" t="s">
        <v>1148</v>
      </c>
      <c r="E198" t="s">
        <v>1149</v>
      </c>
      <c r="F198" t="s">
        <v>1143</v>
      </c>
      <c r="G198" t="s">
        <v>1167</v>
      </c>
      <c r="H198" t="s">
        <v>1211</v>
      </c>
      <c r="I198" t="s">
        <v>1212</v>
      </c>
      <c r="J198" t="s">
        <v>1213</v>
      </c>
      <c r="K198">
        <v>1</v>
      </c>
      <c r="L198">
        <v>24583</v>
      </c>
      <c r="M198">
        <v>0.05</v>
      </c>
      <c r="N198">
        <v>23353.85</v>
      </c>
      <c r="O198">
        <v>0.12</v>
      </c>
      <c r="P198">
        <v>23353.85</v>
      </c>
      <c r="Q198">
        <v>2802.462</v>
      </c>
      <c r="R198">
        <v>26156.312000000002</v>
      </c>
      <c r="S198" t="s">
        <v>1363</v>
      </c>
      <c r="T198" t="s">
        <v>1361</v>
      </c>
      <c r="U198" s="4">
        <v>45722</v>
      </c>
      <c r="V198" s="4">
        <v>45724</v>
      </c>
      <c r="W198" t="b">
        <v>0</v>
      </c>
      <c r="Z198" t="s">
        <v>1382</v>
      </c>
      <c r="AA198" t="s">
        <v>1397</v>
      </c>
      <c r="AB198" t="s">
        <v>1391</v>
      </c>
    </row>
    <row r="199" spans="1:28" x14ac:dyDescent="0.3">
      <c r="A199" t="s">
        <v>39</v>
      </c>
      <c r="B199" s="6">
        <v>45520.696527777778</v>
      </c>
      <c r="C199" t="s">
        <v>40</v>
      </c>
      <c r="D199" t="s">
        <v>1141</v>
      </c>
      <c r="E199" t="s">
        <v>1142</v>
      </c>
      <c r="F199" t="s">
        <v>1143</v>
      </c>
      <c r="G199" t="s">
        <v>1144</v>
      </c>
      <c r="H199" t="s">
        <v>1214</v>
      </c>
      <c r="I199" t="s">
        <v>1215</v>
      </c>
      <c r="J199" t="s">
        <v>1216</v>
      </c>
      <c r="K199">
        <v>1</v>
      </c>
      <c r="L199">
        <v>10764</v>
      </c>
      <c r="M199">
        <v>0.1</v>
      </c>
      <c r="N199">
        <v>9687.6</v>
      </c>
      <c r="O199">
        <v>0.05</v>
      </c>
      <c r="P199">
        <v>9687.6</v>
      </c>
      <c r="Q199">
        <v>484.38000000000011</v>
      </c>
      <c r="R199">
        <v>10171.98</v>
      </c>
      <c r="S199" t="s">
        <v>1363</v>
      </c>
      <c r="T199" t="s">
        <v>1361</v>
      </c>
      <c r="U199" s="4">
        <v>45520</v>
      </c>
      <c r="V199" s="4">
        <v>45521</v>
      </c>
      <c r="W199" t="b">
        <v>0</v>
      </c>
      <c r="Z199" t="s">
        <v>1376</v>
      </c>
      <c r="AA199" t="s">
        <v>1400</v>
      </c>
      <c r="AB199" t="s">
        <v>1389</v>
      </c>
    </row>
    <row r="200" spans="1:28" x14ac:dyDescent="0.3">
      <c r="A200" t="s">
        <v>44</v>
      </c>
      <c r="B200" s="6">
        <v>45425.552777777775</v>
      </c>
      <c r="C200" t="s">
        <v>45</v>
      </c>
      <c r="D200" t="s">
        <v>1141</v>
      </c>
      <c r="E200" t="s">
        <v>1142</v>
      </c>
      <c r="F200" t="s">
        <v>1143</v>
      </c>
      <c r="G200" t="s">
        <v>1172</v>
      </c>
      <c r="H200" t="s">
        <v>1173</v>
      </c>
      <c r="I200" t="s">
        <v>1222</v>
      </c>
      <c r="J200" t="s">
        <v>1223</v>
      </c>
      <c r="K200">
        <v>2</v>
      </c>
      <c r="L200">
        <v>9718</v>
      </c>
      <c r="M200">
        <v>0</v>
      </c>
      <c r="N200">
        <v>9718</v>
      </c>
      <c r="O200">
        <v>0.12</v>
      </c>
      <c r="P200">
        <v>19436</v>
      </c>
      <c r="Q200">
        <v>2332.3200000000002</v>
      </c>
      <c r="R200">
        <v>21768.32</v>
      </c>
      <c r="S200" t="s">
        <v>1360</v>
      </c>
      <c r="T200" t="s">
        <v>1361</v>
      </c>
      <c r="U200" s="4">
        <v>45425</v>
      </c>
      <c r="V200" s="4">
        <v>45426</v>
      </c>
      <c r="W200" t="b">
        <v>0</v>
      </c>
      <c r="Z200" t="s">
        <v>1398</v>
      </c>
      <c r="AA200" t="s">
        <v>1399</v>
      </c>
      <c r="AB200" t="s">
        <v>1393</v>
      </c>
    </row>
    <row r="201" spans="1:28" x14ac:dyDescent="0.3">
      <c r="A201" t="s">
        <v>48</v>
      </c>
      <c r="B201" s="6">
        <v>45543.50277777778</v>
      </c>
      <c r="C201" t="s">
        <v>16</v>
      </c>
      <c r="D201" t="s">
        <v>1148</v>
      </c>
      <c r="E201" t="s">
        <v>1171</v>
      </c>
      <c r="F201" t="s">
        <v>1143</v>
      </c>
      <c r="G201" t="s">
        <v>1177</v>
      </c>
      <c r="H201" t="s">
        <v>1195</v>
      </c>
      <c r="I201" t="s">
        <v>1218</v>
      </c>
      <c r="J201" t="s">
        <v>1219</v>
      </c>
      <c r="K201">
        <v>2</v>
      </c>
      <c r="L201">
        <v>2227</v>
      </c>
      <c r="M201">
        <v>0.1</v>
      </c>
      <c r="N201">
        <v>2004.3</v>
      </c>
      <c r="O201">
        <v>0.05</v>
      </c>
      <c r="P201">
        <v>4008.6</v>
      </c>
      <c r="Q201">
        <v>200.43</v>
      </c>
      <c r="R201">
        <v>4209.03</v>
      </c>
      <c r="S201" t="s">
        <v>1363</v>
      </c>
      <c r="T201" t="s">
        <v>1361</v>
      </c>
      <c r="U201" s="4">
        <v>45545</v>
      </c>
      <c r="V201" s="4">
        <v>45549</v>
      </c>
      <c r="W201" t="b">
        <v>0</v>
      </c>
      <c r="Z201" t="s">
        <v>1384</v>
      </c>
      <c r="AA201" t="s">
        <v>1399</v>
      </c>
      <c r="AB201" t="s">
        <v>1395</v>
      </c>
    </row>
    <row r="202" spans="1:28" x14ac:dyDescent="0.3">
      <c r="A202" t="s">
        <v>50</v>
      </c>
      <c r="B202" s="6">
        <v>45608.629166666666</v>
      </c>
      <c r="C202" t="s">
        <v>51</v>
      </c>
      <c r="D202" t="s">
        <v>1141</v>
      </c>
      <c r="E202" t="s">
        <v>1227</v>
      </c>
      <c r="F202" t="s">
        <v>1143</v>
      </c>
      <c r="G202" t="s">
        <v>1167</v>
      </c>
      <c r="H202" t="s">
        <v>1208</v>
      </c>
      <c r="I202" t="s">
        <v>1209</v>
      </c>
      <c r="J202" t="s">
        <v>1210</v>
      </c>
      <c r="K202">
        <v>3</v>
      </c>
      <c r="L202">
        <v>50822</v>
      </c>
      <c r="M202">
        <v>0</v>
      </c>
      <c r="N202">
        <v>50822</v>
      </c>
      <c r="O202">
        <v>0.18</v>
      </c>
      <c r="P202">
        <v>152466</v>
      </c>
      <c r="Q202">
        <v>27443.88</v>
      </c>
      <c r="R202">
        <v>179909.88</v>
      </c>
      <c r="S202" t="s">
        <v>1362</v>
      </c>
      <c r="T202" t="s">
        <v>1361</v>
      </c>
      <c r="U202" s="4">
        <v>45608</v>
      </c>
      <c r="V202" s="4">
        <v>45611</v>
      </c>
      <c r="W202" t="b">
        <v>0</v>
      </c>
      <c r="Z202" t="s">
        <v>1396</v>
      </c>
      <c r="AA202" t="s">
        <v>1387</v>
      </c>
      <c r="AB202" t="s">
        <v>1378</v>
      </c>
    </row>
    <row r="203" spans="1:28" x14ac:dyDescent="0.3">
      <c r="A203" t="s">
        <v>56</v>
      </c>
      <c r="B203" s="6">
        <v>45350.52847222222</v>
      </c>
      <c r="C203" t="s">
        <v>57</v>
      </c>
      <c r="D203" t="s">
        <v>1153</v>
      </c>
      <c r="E203" t="s">
        <v>1176</v>
      </c>
      <c r="F203" t="s">
        <v>1143</v>
      </c>
      <c r="G203" t="s">
        <v>1172</v>
      </c>
      <c r="H203" t="s">
        <v>1188</v>
      </c>
      <c r="I203" t="s">
        <v>1232</v>
      </c>
      <c r="J203" t="s">
        <v>1233</v>
      </c>
      <c r="K203">
        <v>1</v>
      </c>
      <c r="L203">
        <v>2695</v>
      </c>
      <c r="M203">
        <v>0.05</v>
      </c>
      <c r="N203">
        <v>2560.25</v>
      </c>
      <c r="O203">
        <v>0.12</v>
      </c>
      <c r="P203">
        <v>2560.25</v>
      </c>
      <c r="Q203">
        <v>307.23</v>
      </c>
      <c r="R203">
        <v>2867.48</v>
      </c>
      <c r="S203" t="s">
        <v>1365</v>
      </c>
      <c r="T203" t="s">
        <v>1367</v>
      </c>
      <c r="U203" s="4">
        <v>45352</v>
      </c>
      <c r="W203" t="b">
        <v>0</v>
      </c>
      <c r="Z203" t="s">
        <v>1379</v>
      </c>
      <c r="AA203" t="s">
        <v>1397</v>
      </c>
      <c r="AB203" t="s">
        <v>1378</v>
      </c>
    </row>
    <row r="204" spans="1:28" x14ac:dyDescent="0.3">
      <c r="A204" t="s">
        <v>58</v>
      </c>
      <c r="B204" s="6">
        <v>45576.494444444441</v>
      </c>
      <c r="C204" t="s">
        <v>59</v>
      </c>
      <c r="D204" t="s">
        <v>1148</v>
      </c>
      <c r="E204" t="s">
        <v>1217</v>
      </c>
      <c r="F204" t="s">
        <v>1143</v>
      </c>
      <c r="G204" t="s">
        <v>1172</v>
      </c>
      <c r="H204" t="s">
        <v>1204</v>
      </c>
      <c r="I204" t="s">
        <v>1234</v>
      </c>
      <c r="J204" t="s">
        <v>1235</v>
      </c>
      <c r="K204">
        <v>1</v>
      </c>
      <c r="L204">
        <v>2986</v>
      </c>
      <c r="M204">
        <v>0.05</v>
      </c>
      <c r="N204">
        <v>2836.7</v>
      </c>
      <c r="O204">
        <v>0.05</v>
      </c>
      <c r="P204">
        <v>2836.7</v>
      </c>
      <c r="Q204">
        <v>141.83500000000001</v>
      </c>
      <c r="R204">
        <v>2978.5349999999999</v>
      </c>
      <c r="S204" t="s">
        <v>1362</v>
      </c>
      <c r="T204" t="s">
        <v>1361</v>
      </c>
      <c r="U204" s="4">
        <v>45576</v>
      </c>
      <c r="V204" s="4">
        <v>45578</v>
      </c>
      <c r="W204" t="b">
        <v>0</v>
      </c>
      <c r="Z204" t="s">
        <v>1379</v>
      </c>
      <c r="AA204" t="s">
        <v>1387</v>
      </c>
      <c r="AB204" t="s">
        <v>1393</v>
      </c>
    </row>
    <row r="205" spans="1:28" x14ac:dyDescent="0.3">
      <c r="A205" t="s">
        <v>62</v>
      </c>
      <c r="B205" s="6">
        <v>45576.423611111109</v>
      </c>
      <c r="C205" t="s">
        <v>63</v>
      </c>
      <c r="D205" t="s">
        <v>1141</v>
      </c>
      <c r="E205" t="s">
        <v>1239</v>
      </c>
      <c r="F205" t="s">
        <v>1143</v>
      </c>
      <c r="G205" t="s">
        <v>1163</v>
      </c>
      <c r="H205" t="s">
        <v>1240</v>
      </c>
      <c r="I205" t="s">
        <v>1241</v>
      </c>
      <c r="J205" t="s">
        <v>1242</v>
      </c>
      <c r="K205">
        <v>1</v>
      </c>
      <c r="L205">
        <v>925</v>
      </c>
      <c r="M205">
        <v>0.1</v>
      </c>
      <c r="N205">
        <v>832.5</v>
      </c>
      <c r="O205">
        <v>0.18</v>
      </c>
      <c r="P205">
        <v>832.5</v>
      </c>
      <c r="Q205">
        <v>149.85</v>
      </c>
      <c r="R205">
        <v>982.35</v>
      </c>
      <c r="S205" t="s">
        <v>1365</v>
      </c>
      <c r="T205" t="s">
        <v>1361</v>
      </c>
      <c r="U205" s="4">
        <v>45577</v>
      </c>
      <c r="V205" s="4">
        <v>45581</v>
      </c>
      <c r="W205" t="b">
        <v>0</v>
      </c>
      <c r="Z205" t="s">
        <v>1392</v>
      </c>
      <c r="AA205" t="s">
        <v>1400</v>
      </c>
      <c r="AB205" t="s">
        <v>1395</v>
      </c>
    </row>
    <row r="206" spans="1:28" x14ac:dyDescent="0.3">
      <c r="A206" t="s">
        <v>64</v>
      </c>
      <c r="B206" s="6">
        <v>45466.652083333334</v>
      </c>
      <c r="C206" t="s">
        <v>65</v>
      </c>
      <c r="D206" t="s">
        <v>1141</v>
      </c>
      <c r="E206" t="s">
        <v>1142</v>
      </c>
      <c r="F206" t="s">
        <v>1143</v>
      </c>
      <c r="G206" t="s">
        <v>1163</v>
      </c>
      <c r="H206" t="s">
        <v>1224</v>
      </c>
      <c r="I206" t="s">
        <v>1243</v>
      </c>
      <c r="J206" t="s">
        <v>1244</v>
      </c>
      <c r="K206">
        <v>4</v>
      </c>
      <c r="L206">
        <v>217</v>
      </c>
      <c r="M206">
        <v>0</v>
      </c>
      <c r="N206">
        <v>217</v>
      </c>
      <c r="O206">
        <v>0.05</v>
      </c>
      <c r="P206">
        <v>868</v>
      </c>
      <c r="Q206">
        <v>43.400000000000013</v>
      </c>
      <c r="R206">
        <v>911.4</v>
      </c>
      <c r="S206" t="s">
        <v>1365</v>
      </c>
      <c r="T206" t="s">
        <v>1361</v>
      </c>
      <c r="U206" s="4">
        <v>45467</v>
      </c>
      <c r="V206" s="4">
        <v>45469</v>
      </c>
      <c r="W206" t="b">
        <v>0</v>
      </c>
      <c r="Z206" t="s">
        <v>1382</v>
      </c>
      <c r="AA206" t="s">
        <v>1394</v>
      </c>
      <c r="AB206" t="s">
        <v>1378</v>
      </c>
    </row>
    <row r="207" spans="1:28" x14ac:dyDescent="0.3">
      <c r="A207" t="s">
        <v>74</v>
      </c>
      <c r="B207" s="6">
        <v>45593.577777777777</v>
      </c>
      <c r="C207" t="s">
        <v>75</v>
      </c>
      <c r="D207" t="s">
        <v>1182</v>
      </c>
      <c r="E207" t="s">
        <v>1183</v>
      </c>
      <c r="F207" t="s">
        <v>1143</v>
      </c>
      <c r="G207" t="s">
        <v>1177</v>
      </c>
      <c r="H207" t="s">
        <v>1236</v>
      </c>
      <c r="I207" t="s">
        <v>1254</v>
      </c>
      <c r="J207" t="s">
        <v>1255</v>
      </c>
      <c r="K207">
        <v>1</v>
      </c>
      <c r="L207">
        <v>1020</v>
      </c>
      <c r="M207">
        <v>0.05</v>
      </c>
      <c r="N207">
        <v>969</v>
      </c>
      <c r="O207">
        <v>0.18</v>
      </c>
      <c r="P207">
        <v>969</v>
      </c>
      <c r="Q207">
        <v>174.42</v>
      </c>
      <c r="R207">
        <v>1143.42</v>
      </c>
      <c r="S207" t="s">
        <v>1360</v>
      </c>
      <c r="T207" t="s">
        <v>1361</v>
      </c>
      <c r="U207" s="4">
        <v>45593</v>
      </c>
      <c r="V207" s="4">
        <v>45595</v>
      </c>
      <c r="W207" t="b">
        <v>0</v>
      </c>
      <c r="Z207" t="s">
        <v>1386</v>
      </c>
      <c r="AA207" t="s">
        <v>1394</v>
      </c>
      <c r="AB207" t="s">
        <v>1383</v>
      </c>
    </row>
    <row r="208" spans="1:28" x14ac:dyDescent="0.3">
      <c r="A208" t="s">
        <v>78</v>
      </c>
      <c r="B208" s="6">
        <v>45593.597916666666</v>
      </c>
      <c r="C208" t="s">
        <v>79</v>
      </c>
      <c r="D208" t="s">
        <v>1182</v>
      </c>
      <c r="E208" t="s">
        <v>1257</v>
      </c>
      <c r="F208" t="s">
        <v>1143</v>
      </c>
      <c r="G208" t="s">
        <v>1172</v>
      </c>
      <c r="H208" t="s">
        <v>1188</v>
      </c>
      <c r="I208" t="s">
        <v>1258</v>
      </c>
      <c r="J208" t="s">
        <v>1259</v>
      </c>
      <c r="K208">
        <v>3</v>
      </c>
      <c r="L208">
        <v>5257</v>
      </c>
      <c r="M208">
        <v>0.05</v>
      </c>
      <c r="N208">
        <v>4994.1499999999996</v>
      </c>
      <c r="O208">
        <v>0.12</v>
      </c>
      <c r="P208">
        <v>14982.45</v>
      </c>
      <c r="Q208">
        <v>1797.894</v>
      </c>
      <c r="R208">
        <v>16780.344000000001</v>
      </c>
      <c r="S208" t="s">
        <v>1362</v>
      </c>
      <c r="T208" t="s">
        <v>1361</v>
      </c>
      <c r="U208" s="4">
        <v>45595</v>
      </c>
      <c r="V208" s="4">
        <v>45597</v>
      </c>
      <c r="W208" t="b">
        <v>0</v>
      </c>
      <c r="Z208" t="s">
        <v>1396</v>
      </c>
      <c r="AA208" t="s">
        <v>1385</v>
      </c>
      <c r="AB208" t="s">
        <v>1393</v>
      </c>
    </row>
    <row r="209" spans="1:28" x14ac:dyDescent="0.3">
      <c r="A209" t="s">
        <v>84</v>
      </c>
      <c r="B209" s="6">
        <v>45427.67291666667</v>
      </c>
      <c r="C209" t="s">
        <v>12</v>
      </c>
      <c r="D209" t="s">
        <v>1153</v>
      </c>
      <c r="E209" t="s">
        <v>1162</v>
      </c>
      <c r="F209" t="s">
        <v>1143</v>
      </c>
      <c r="G209" t="s">
        <v>1163</v>
      </c>
      <c r="H209" t="s">
        <v>1240</v>
      </c>
      <c r="I209" t="s">
        <v>1247</v>
      </c>
      <c r="J209" t="s">
        <v>1248</v>
      </c>
      <c r="K209">
        <v>1</v>
      </c>
      <c r="L209">
        <v>281</v>
      </c>
      <c r="M209">
        <v>0</v>
      </c>
      <c r="N209">
        <v>281</v>
      </c>
      <c r="O209">
        <v>0.12</v>
      </c>
      <c r="P209">
        <v>281</v>
      </c>
      <c r="Q209">
        <v>33.72</v>
      </c>
      <c r="R209">
        <v>314.72000000000003</v>
      </c>
      <c r="S209" t="s">
        <v>1362</v>
      </c>
      <c r="T209" t="s">
        <v>1361</v>
      </c>
      <c r="U209" s="4">
        <v>45428</v>
      </c>
      <c r="V209" s="4">
        <v>45429</v>
      </c>
      <c r="W209" t="b">
        <v>0</v>
      </c>
      <c r="Z209" t="s">
        <v>1388</v>
      </c>
      <c r="AA209" t="s">
        <v>1387</v>
      </c>
      <c r="AB209" t="s">
        <v>1380</v>
      </c>
    </row>
    <row r="210" spans="1:28" x14ac:dyDescent="0.3">
      <c r="A210" t="s">
        <v>85</v>
      </c>
      <c r="B210" s="6">
        <v>45614.604166666664</v>
      </c>
      <c r="C210" t="s">
        <v>86</v>
      </c>
      <c r="D210" t="s">
        <v>1182</v>
      </c>
      <c r="E210" t="s">
        <v>1207</v>
      </c>
      <c r="F210" t="s">
        <v>1143</v>
      </c>
      <c r="G210" t="s">
        <v>1144</v>
      </c>
      <c r="H210" t="s">
        <v>1214</v>
      </c>
      <c r="I210" t="s">
        <v>1215</v>
      </c>
      <c r="J210" t="s">
        <v>1216</v>
      </c>
      <c r="K210">
        <v>5</v>
      </c>
      <c r="L210">
        <v>9869</v>
      </c>
      <c r="M210">
        <v>0.05</v>
      </c>
      <c r="N210">
        <v>9375.5499999999993</v>
      </c>
      <c r="O210">
        <v>0.18</v>
      </c>
      <c r="P210">
        <v>46877.75</v>
      </c>
      <c r="Q210">
        <v>8437.994999999999</v>
      </c>
      <c r="R210">
        <v>55315.745000000003</v>
      </c>
      <c r="S210" t="s">
        <v>1360</v>
      </c>
      <c r="T210" t="s">
        <v>1369</v>
      </c>
      <c r="W210" t="b">
        <v>0</v>
      </c>
      <c r="Z210" t="s">
        <v>1390</v>
      </c>
      <c r="AA210" t="s">
        <v>1377</v>
      </c>
      <c r="AB210" t="s">
        <v>1378</v>
      </c>
    </row>
    <row r="211" spans="1:28" x14ac:dyDescent="0.3">
      <c r="A211" t="s">
        <v>87</v>
      </c>
      <c r="B211" s="6">
        <v>45769.529861111114</v>
      </c>
      <c r="C211" t="s">
        <v>88</v>
      </c>
      <c r="D211" t="s">
        <v>1148</v>
      </c>
      <c r="E211" t="s">
        <v>1262</v>
      </c>
      <c r="F211" t="s">
        <v>1143</v>
      </c>
      <c r="G211" t="s">
        <v>1144</v>
      </c>
      <c r="H211" t="s">
        <v>1214</v>
      </c>
      <c r="I211" t="s">
        <v>1215</v>
      </c>
      <c r="J211" t="s">
        <v>1216</v>
      </c>
      <c r="K211">
        <v>2</v>
      </c>
      <c r="L211">
        <v>13996</v>
      </c>
      <c r="M211">
        <v>0</v>
      </c>
      <c r="N211">
        <v>13996</v>
      </c>
      <c r="O211">
        <v>0.12</v>
      </c>
      <c r="P211">
        <v>27992</v>
      </c>
      <c r="Q211">
        <v>3359.04</v>
      </c>
      <c r="R211">
        <v>31351.040000000001</v>
      </c>
      <c r="S211" t="s">
        <v>1363</v>
      </c>
      <c r="T211" t="s">
        <v>1361</v>
      </c>
      <c r="U211" s="4">
        <v>45769</v>
      </c>
      <c r="V211" s="4">
        <v>45774</v>
      </c>
      <c r="W211" t="b">
        <v>0</v>
      </c>
      <c r="Z211" t="s">
        <v>1388</v>
      </c>
      <c r="AA211" t="s">
        <v>1399</v>
      </c>
      <c r="AB211" t="s">
        <v>1395</v>
      </c>
    </row>
    <row r="212" spans="1:28" x14ac:dyDescent="0.3">
      <c r="A212" t="s">
        <v>90</v>
      </c>
      <c r="B212" s="6">
        <v>45673.607638888891</v>
      </c>
      <c r="C212" t="s">
        <v>91</v>
      </c>
      <c r="D212" t="s">
        <v>1182</v>
      </c>
      <c r="E212" t="s">
        <v>1207</v>
      </c>
      <c r="F212" t="s">
        <v>1143</v>
      </c>
      <c r="G212" t="s">
        <v>1167</v>
      </c>
      <c r="H212" t="s">
        <v>1263</v>
      </c>
      <c r="I212" t="s">
        <v>1264</v>
      </c>
      <c r="J212" t="s">
        <v>1265</v>
      </c>
      <c r="K212">
        <v>1</v>
      </c>
      <c r="L212">
        <v>51254</v>
      </c>
      <c r="M212">
        <v>0</v>
      </c>
      <c r="N212">
        <v>51254</v>
      </c>
      <c r="O212">
        <v>0.05</v>
      </c>
      <c r="P212">
        <v>51254</v>
      </c>
      <c r="Q212">
        <v>2562.6999999999998</v>
      </c>
      <c r="R212">
        <v>53816.7</v>
      </c>
      <c r="S212" t="s">
        <v>1360</v>
      </c>
      <c r="T212" t="s">
        <v>1367</v>
      </c>
      <c r="U212" s="4">
        <v>45675</v>
      </c>
      <c r="W212" t="b">
        <v>0</v>
      </c>
      <c r="Z212" t="s">
        <v>1379</v>
      </c>
      <c r="AA212" t="s">
        <v>1400</v>
      </c>
      <c r="AB212" t="s">
        <v>1383</v>
      </c>
    </row>
    <row r="213" spans="1:28" x14ac:dyDescent="0.3">
      <c r="A213" t="s">
        <v>92</v>
      </c>
      <c r="B213" s="6">
        <v>45561.605555555558</v>
      </c>
      <c r="C213" t="s">
        <v>93</v>
      </c>
      <c r="D213" t="s">
        <v>1157</v>
      </c>
      <c r="E213" t="s">
        <v>1201</v>
      </c>
      <c r="F213" t="s">
        <v>1143</v>
      </c>
      <c r="G213" t="s">
        <v>1163</v>
      </c>
      <c r="H213" t="s">
        <v>1266</v>
      </c>
      <c r="I213" t="s">
        <v>1267</v>
      </c>
      <c r="J213" t="s">
        <v>1268</v>
      </c>
      <c r="K213">
        <v>2</v>
      </c>
      <c r="L213">
        <v>364</v>
      </c>
      <c r="M213">
        <v>0.1</v>
      </c>
      <c r="N213">
        <v>327.60000000000002</v>
      </c>
      <c r="O213">
        <v>0.12</v>
      </c>
      <c r="P213">
        <v>655.20000000000005</v>
      </c>
      <c r="Q213">
        <v>78.624000000000009</v>
      </c>
      <c r="R213">
        <v>733.82400000000007</v>
      </c>
      <c r="S213" t="s">
        <v>1366</v>
      </c>
      <c r="T213" t="s">
        <v>1361</v>
      </c>
      <c r="U213" s="4">
        <v>45562</v>
      </c>
      <c r="V213" s="4">
        <v>45565</v>
      </c>
      <c r="W213" t="b">
        <v>0</v>
      </c>
      <c r="Z213" t="s">
        <v>1388</v>
      </c>
      <c r="AA213" t="s">
        <v>1394</v>
      </c>
      <c r="AB213" t="s">
        <v>1380</v>
      </c>
    </row>
    <row r="214" spans="1:28" x14ac:dyDescent="0.3">
      <c r="A214" t="s">
        <v>94</v>
      </c>
      <c r="B214" s="6">
        <v>45753.662499999999</v>
      </c>
      <c r="C214" t="s">
        <v>95</v>
      </c>
      <c r="D214" t="s">
        <v>1182</v>
      </c>
      <c r="E214" t="s">
        <v>1207</v>
      </c>
      <c r="F214" t="s">
        <v>1143</v>
      </c>
      <c r="G214" t="s">
        <v>1144</v>
      </c>
      <c r="H214" t="s">
        <v>1269</v>
      </c>
      <c r="I214" t="s">
        <v>1270</v>
      </c>
      <c r="J214" t="s">
        <v>1271</v>
      </c>
      <c r="K214">
        <v>1</v>
      </c>
      <c r="L214">
        <v>6102</v>
      </c>
      <c r="M214">
        <v>0</v>
      </c>
      <c r="N214">
        <v>6102</v>
      </c>
      <c r="O214">
        <v>0.05</v>
      </c>
      <c r="P214">
        <v>6102</v>
      </c>
      <c r="Q214">
        <v>305.10000000000002</v>
      </c>
      <c r="R214">
        <v>6407.1</v>
      </c>
      <c r="S214" t="s">
        <v>1360</v>
      </c>
      <c r="T214" t="s">
        <v>1361</v>
      </c>
      <c r="U214" s="4">
        <v>45754</v>
      </c>
      <c r="V214" s="4">
        <v>45757</v>
      </c>
      <c r="W214" t="b">
        <v>0</v>
      </c>
      <c r="Z214" t="s">
        <v>1379</v>
      </c>
      <c r="AA214" t="s">
        <v>1394</v>
      </c>
      <c r="AB214" t="s">
        <v>1383</v>
      </c>
    </row>
    <row r="215" spans="1:28" x14ac:dyDescent="0.3">
      <c r="A215" t="s">
        <v>96</v>
      </c>
      <c r="B215" s="6">
        <v>45660.429861111108</v>
      </c>
      <c r="C215" t="s">
        <v>53</v>
      </c>
      <c r="D215" t="s">
        <v>1141</v>
      </c>
      <c r="E215" t="s">
        <v>1227</v>
      </c>
      <c r="F215" t="s">
        <v>1143</v>
      </c>
      <c r="G215" t="s">
        <v>1163</v>
      </c>
      <c r="H215" t="s">
        <v>1164</v>
      </c>
      <c r="I215" t="s">
        <v>1165</v>
      </c>
      <c r="J215" t="s">
        <v>1166</v>
      </c>
      <c r="K215">
        <v>1</v>
      </c>
      <c r="L215">
        <v>597</v>
      </c>
      <c r="M215">
        <v>0.05</v>
      </c>
      <c r="N215">
        <v>567.15</v>
      </c>
      <c r="O215">
        <v>0.05</v>
      </c>
      <c r="P215">
        <v>567.15</v>
      </c>
      <c r="Q215">
        <v>28.357500000000002</v>
      </c>
      <c r="R215">
        <v>595.50749999999994</v>
      </c>
      <c r="S215" t="s">
        <v>1365</v>
      </c>
      <c r="T215" t="s">
        <v>1361</v>
      </c>
      <c r="U215" s="4">
        <v>45661</v>
      </c>
      <c r="V215" s="4">
        <v>45662</v>
      </c>
      <c r="W215" t="b">
        <v>0</v>
      </c>
      <c r="Z215" t="s">
        <v>1390</v>
      </c>
      <c r="AA215" t="s">
        <v>1400</v>
      </c>
      <c r="AB215" t="s">
        <v>1395</v>
      </c>
    </row>
    <row r="216" spans="1:28" x14ac:dyDescent="0.3">
      <c r="A216" t="s">
        <v>97</v>
      </c>
      <c r="B216" s="6">
        <v>45681.484722222223</v>
      </c>
      <c r="C216" t="s">
        <v>98</v>
      </c>
      <c r="D216" t="s">
        <v>1148</v>
      </c>
      <c r="E216" t="s">
        <v>1171</v>
      </c>
      <c r="F216" t="s">
        <v>1143</v>
      </c>
      <c r="G216" t="s">
        <v>1144</v>
      </c>
      <c r="H216" t="s">
        <v>1159</v>
      </c>
      <c r="I216" t="s">
        <v>1272</v>
      </c>
      <c r="J216" t="s">
        <v>1273</v>
      </c>
      <c r="K216">
        <v>2</v>
      </c>
      <c r="L216">
        <v>11990</v>
      </c>
      <c r="M216">
        <v>0.15</v>
      </c>
      <c r="N216">
        <v>10191.5</v>
      </c>
      <c r="O216">
        <v>0.05</v>
      </c>
      <c r="P216">
        <v>20383</v>
      </c>
      <c r="Q216">
        <v>1019.15</v>
      </c>
      <c r="R216">
        <v>21402.15</v>
      </c>
      <c r="S216" t="s">
        <v>1360</v>
      </c>
      <c r="T216" t="s">
        <v>1361</v>
      </c>
      <c r="U216" s="4">
        <v>45683</v>
      </c>
      <c r="V216" s="4">
        <v>45688</v>
      </c>
      <c r="W216" t="b">
        <v>0</v>
      </c>
      <c r="Z216" t="s">
        <v>1384</v>
      </c>
      <c r="AA216" t="s">
        <v>1377</v>
      </c>
      <c r="AB216" t="s">
        <v>1380</v>
      </c>
    </row>
    <row r="217" spans="1:28" x14ac:dyDescent="0.3">
      <c r="A217" t="s">
        <v>101</v>
      </c>
      <c r="B217" s="6">
        <v>45386.469444444447</v>
      </c>
      <c r="C217" t="s">
        <v>102</v>
      </c>
      <c r="D217" t="s">
        <v>1141</v>
      </c>
      <c r="E217" t="s">
        <v>1239</v>
      </c>
      <c r="F217" t="s">
        <v>1143</v>
      </c>
      <c r="G217" t="s">
        <v>1144</v>
      </c>
      <c r="H217" t="s">
        <v>1276</v>
      </c>
      <c r="I217" t="s">
        <v>1277</v>
      </c>
      <c r="J217" t="s">
        <v>1278</v>
      </c>
      <c r="K217">
        <v>1</v>
      </c>
      <c r="L217">
        <v>2079</v>
      </c>
      <c r="M217">
        <v>0.05</v>
      </c>
      <c r="N217">
        <v>1975.05</v>
      </c>
      <c r="O217">
        <v>0.12</v>
      </c>
      <c r="P217">
        <v>1975.05</v>
      </c>
      <c r="Q217">
        <v>237.006</v>
      </c>
      <c r="R217">
        <v>2212.056</v>
      </c>
      <c r="S217" t="s">
        <v>1363</v>
      </c>
      <c r="T217" t="s">
        <v>1361</v>
      </c>
      <c r="U217" s="4">
        <v>45387</v>
      </c>
      <c r="V217" s="4">
        <v>45392</v>
      </c>
      <c r="W217" t="b">
        <v>0</v>
      </c>
      <c r="Z217" t="s">
        <v>1390</v>
      </c>
      <c r="AA217" t="s">
        <v>1377</v>
      </c>
      <c r="AB217" t="s">
        <v>1383</v>
      </c>
    </row>
    <row r="218" spans="1:28" x14ac:dyDescent="0.3">
      <c r="A218" t="s">
        <v>103</v>
      </c>
      <c r="B218" s="6">
        <v>45755.647916666669</v>
      </c>
      <c r="C218" t="s">
        <v>38</v>
      </c>
      <c r="D218" t="s">
        <v>1148</v>
      </c>
      <c r="E218" t="s">
        <v>1149</v>
      </c>
      <c r="F218" t="s">
        <v>1143</v>
      </c>
      <c r="G218" t="s">
        <v>1172</v>
      </c>
      <c r="H218" t="s">
        <v>1198</v>
      </c>
      <c r="I218" t="s">
        <v>1199</v>
      </c>
      <c r="J218" t="s">
        <v>1200</v>
      </c>
      <c r="K218">
        <v>1</v>
      </c>
      <c r="L218">
        <v>6343</v>
      </c>
      <c r="M218">
        <v>0</v>
      </c>
      <c r="N218">
        <v>6343</v>
      </c>
      <c r="O218">
        <v>0.18</v>
      </c>
      <c r="P218">
        <v>6343</v>
      </c>
      <c r="Q218">
        <v>1141.74</v>
      </c>
      <c r="R218">
        <v>7484.74</v>
      </c>
      <c r="S218" t="s">
        <v>1365</v>
      </c>
      <c r="T218" t="s">
        <v>1361</v>
      </c>
      <c r="U218" s="4">
        <v>45756</v>
      </c>
      <c r="V218" s="4">
        <v>45757</v>
      </c>
      <c r="W218" t="b">
        <v>0</v>
      </c>
      <c r="Z218" t="s">
        <v>1390</v>
      </c>
      <c r="AA218" t="s">
        <v>1394</v>
      </c>
      <c r="AB218" t="s">
        <v>1393</v>
      </c>
    </row>
    <row r="219" spans="1:28" x14ac:dyDescent="0.3">
      <c r="A219" t="s">
        <v>104</v>
      </c>
      <c r="B219" s="6">
        <v>45362.581944444442</v>
      </c>
      <c r="C219" t="s">
        <v>105</v>
      </c>
      <c r="D219" t="s">
        <v>1182</v>
      </c>
      <c r="E219" t="s">
        <v>1207</v>
      </c>
      <c r="F219" t="s">
        <v>1143</v>
      </c>
      <c r="G219" t="s">
        <v>1172</v>
      </c>
      <c r="H219" t="s">
        <v>1198</v>
      </c>
      <c r="I219" t="s">
        <v>1199</v>
      </c>
      <c r="J219" t="s">
        <v>1200</v>
      </c>
      <c r="K219">
        <v>2</v>
      </c>
      <c r="L219">
        <v>1586</v>
      </c>
      <c r="M219">
        <v>0</v>
      </c>
      <c r="N219">
        <v>1586</v>
      </c>
      <c r="O219">
        <v>0.05</v>
      </c>
      <c r="P219">
        <v>3172</v>
      </c>
      <c r="Q219">
        <v>158.6</v>
      </c>
      <c r="R219">
        <v>3330.6</v>
      </c>
      <c r="S219" t="s">
        <v>1360</v>
      </c>
      <c r="T219" t="s">
        <v>1361</v>
      </c>
      <c r="U219" s="4">
        <v>45364</v>
      </c>
      <c r="V219" s="4">
        <v>45366</v>
      </c>
      <c r="W219" t="b">
        <v>0</v>
      </c>
      <c r="Z219" t="s">
        <v>1384</v>
      </c>
      <c r="AA219" t="s">
        <v>1400</v>
      </c>
      <c r="AB219" t="s">
        <v>1380</v>
      </c>
    </row>
    <row r="220" spans="1:28" x14ac:dyDescent="0.3">
      <c r="A220" t="s">
        <v>106</v>
      </c>
      <c r="B220" s="6">
        <v>45660.420138888891</v>
      </c>
      <c r="C220" t="s">
        <v>107</v>
      </c>
      <c r="D220" t="s">
        <v>1153</v>
      </c>
      <c r="E220" t="s">
        <v>1176</v>
      </c>
      <c r="F220" t="s">
        <v>1143</v>
      </c>
      <c r="G220" t="s">
        <v>1177</v>
      </c>
      <c r="H220" t="s">
        <v>1195</v>
      </c>
      <c r="I220" t="s">
        <v>1218</v>
      </c>
      <c r="J220" t="s">
        <v>1219</v>
      </c>
      <c r="K220">
        <v>1</v>
      </c>
      <c r="L220">
        <v>1678</v>
      </c>
      <c r="M220">
        <v>0.15</v>
      </c>
      <c r="N220">
        <v>1426.3</v>
      </c>
      <c r="O220">
        <v>0.12</v>
      </c>
      <c r="P220">
        <v>1426.3</v>
      </c>
      <c r="Q220">
        <v>171.15600000000001</v>
      </c>
      <c r="R220">
        <v>1597.4559999999999</v>
      </c>
      <c r="S220" t="s">
        <v>1362</v>
      </c>
      <c r="T220" t="s">
        <v>1364</v>
      </c>
      <c r="U220" s="4">
        <v>45660</v>
      </c>
      <c r="W220" t="b">
        <v>1</v>
      </c>
      <c r="X220" s="4">
        <v>45672</v>
      </c>
      <c r="Y220" s="4">
        <v>45672</v>
      </c>
      <c r="Z220" t="s">
        <v>1388</v>
      </c>
      <c r="AA220" t="s">
        <v>1394</v>
      </c>
      <c r="AB220" t="s">
        <v>1391</v>
      </c>
    </row>
    <row r="221" spans="1:28" x14ac:dyDescent="0.3">
      <c r="A221" t="s">
        <v>110</v>
      </c>
      <c r="B221" s="6">
        <v>45500.49722222222</v>
      </c>
      <c r="C221" t="s">
        <v>111</v>
      </c>
      <c r="D221" t="s">
        <v>1153</v>
      </c>
      <c r="E221" t="s">
        <v>1162</v>
      </c>
      <c r="F221" t="s">
        <v>1143</v>
      </c>
      <c r="G221" t="s">
        <v>1167</v>
      </c>
      <c r="H221" t="s">
        <v>1211</v>
      </c>
      <c r="I221" t="s">
        <v>1279</v>
      </c>
      <c r="J221" t="s">
        <v>1280</v>
      </c>
      <c r="K221">
        <v>1</v>
      </c>
      <c r="L221">
        <v>57661</v>
      </c>
      <c r="M221">
        <v>0</v>
      </c>
      <c r="N221">
        <v>57661</v>
      </c>
      <c r="O221">
        <v>0.18</v>
      </c>
      <c r="P221">
        <v>57661</v>
      </c>
      <c r="Q221">
        <v>10378.98</v>
      </c>
      <c r="R221">
        <v>68039.98</v>
      </c>
      <c r="S221" t="s">
        <v>1360</v>
      </c>
      <c r="T221" t="s">
        <v>1361</v>
      </c>
      <c r="U221" s="4">
        <v>45502</v>
      </c>
      <c r="V221" s="4">
        <v>45505</v>
      </c>
      <c r="W221" t="b">
        <v>0</v>
      </c>
      <c r="Z221" t="s">
        <v>1386</v>
      </c>
      <c r="AA221" t="s">
        <v>1387</v>
      </c>
      <c r="AB221" t="s">
        <v>1380</v>
      </c>
    </row>
    <row r="222" spans="1:28" x14ac:dyDescent="0.3">
      <c r="A222" t="s">
        <v>112</v>
      </c>
      <c r="B222" s="6">
        <v>45317.536111111112</v>
      </c>
      <c r="C222" t="s">
        <v>32</v>
      </c>
      <c r="D222" t="s">
        <v>1157</v>
      </c>
      <c r="E222" t="s">
        <v>1201</v>
      </c>
      <c r="F222" t="s">
        <v>1143</v>
      </c>
      <c r="G222" t="s">
        <v>1167</v>
      </c>
      <c r="H222" t="s">
        <v>1211</v>
      </c>
      <c r="I222" t="s">
        <v>1212</v>
      </c>
      <c r="J222" t="s">
        <v>1213</v>
      </c>
      <c r="K222">
        <v>1</v>
      </c>
      <c r="L222">
        <v>53784</v>
      </c>
      <c r="M222">
        <v>0</v>
      </c>
      <c r="N222">
        <v>53784</v>
      </c>
      <c r="O222">
        <v>0.18</v>
      </c>
      <c r="P222">
        <v>53784</v>
      </c>
      <c r="Q222">
        <v>9681.119999999999</v>
      </c>
      <c r="R222">
        <v>63465.120000000003</v>
      </c>
      <c r="S222" t="s">
        <v>1360</v>
      </c>
      <c r="T222" t="s">
        <v>1361</v>
      </c>
      <c r="U222" s="4">
        <v>45319</v>
      </c>
      <c r="V222" s="4">
        <v>45322</v>
      </c>
      <c r="W222" t="b">
        <v>0</v>
      </c>
      <c r="Z222" t="s">
        <v>1379</v>
      </c>
      <c r="AA222" t="s">
        <v>1385</v>
      </c>
      <c r="AB222" t="s">
        <v>1389</v>
      </c>
    </row>
    <row r="223" spans="1:28" x14ac:dyDescent="0.3">
      <c r="A223" t="s">
        <v>114</v>
      </c>
      <c r="B223" s="6">
        <v>45397.563888888886</v>
      </c>
      <c r="C223" t="s">
        <v>115</v>
      </c>
      <c r="D223" t="s">
        <v>1157</v>
      </c>
      <c r="E223" t="s">
        <v>1249</v>
      </c>
      <c r="F223" t="s">
        <v>1143</v>
      </c>
      <c r="G223" t="s">
        <v>1177</v>
      </c>
      <c r="H223" t="s">
        <v>1192</v>
      </c>
      <c r="I223" t="s">
        <v>1283</v>
      </c>
      <c r="J223" t="s">
        <v>1284</v>
      </c>
      <c r="K223">
        <v>1</v>
      </c>
      <c r="L223">
        <v>1140</v>
      </c>
      <c r="M223">
        <v>0.05</v>
      </c>
      <c r="N223">
        <v>1083</v>
      </c>
      <c r="O223">
        <v>0.12</v>
      </c>
      <c r="P223">
        <v>1083</v>
      </c>
      <c r="Q223">
        <v>129.96</v>
      </c>
      <c r="R223">
        <v>1212.96</v>
      </c>
      <c r="S223" t="s">
        <v>1360</v>
      </c>
      <c r="T223" t="s">
        <v>1361</v>
      </c>
      <c r="U223" s="4">
        <v>45398</v>
      </c>
      <c r="V223" s="4">
        <v>45402</v>
      </c>
      <c r="W223" t="b">
        <v>0</v>
      </c>
      <c r="Z223" t="s">
        <v>1386</v>
      </c>
      <c r="AA223" t="s">
        <v>1394</v>
      </c>
      <c r="AB223" t="s">
        <v>1383</v>
      </c>
    </row>
    <row r="224" spans="1:28" x14ac:dyDescent="0.3">
      <c r="A224" t="s">
        <v>116</v>
      </c>
      <c r="B224" s="6">
        <v>45445.511111111111</v>
      </c>
      <c r="C224" t="s">
        <v>117</v>
      </c>
      <c r="D224" t="s">
        <v>1141</v>
      </c>
      <c r="E224" t="s">
        <v>1285</v>
      </c>
      <c r="F224" t="s">
        <v>1143</v>
      </c>
      <c r="G224" t="s">
        <v>1144</v>
      </c>
      <c r="H224" t="s">
        <v>1276</v>
      </c>
      <c r="I224" t="s">
        <v>1286</v>
      </c>
      <c r="J224" t="s">
        <v>1287</v>
      </c>
      <c r="K224">
        <v>2</v>
      </c>
      <c r="L224">
        <v>9230</v>
      </c>
      <c r="M224">
        <v>0.05</v>
      </c>
      <c r="N224">
        <v>8768.5</v>
      </c>
      <c r="O224">
        <v>0.05</v>
      </c>
      <c r="P224">
        <v>17537</v>
      </c>
      <c r="Q224">
        <v>876.85</v>
      </c>
      <c r="R224">
        <v>18413.849999999999</v>
      </c>
      <c r="S224" t="s">
        <v>1360</v>
      </c>
      <c r="T224" t="s">
        <v>1364</v>
      </c>
      <c r="U224" s="4">
        <v>45447</v>
      </c>
      <c r="W224" t="b">
        <v>1</v>
      </c>
      <c r="X224" s="4">
        <v>45460</v>
      </c>
      <c r="Y224" s="4">
        <v>45460</v>
      </c>
      <c r="Z224" t="s">
        <v>1376</v>
      </c>
      <c r="AA224" t="s">
        <v>1400</v>
      </c>
      <c r="AB224" t="s">
        <v>1389</v>
      </c>
    </row>
    <row r="225" spans="1:28" x14ac:dyDescent="0.3">
      <c r="A225" t="s">
        <v>118</v>
      </c>
      <c r="B225" s="6">
        <v>45615.504861111112</v>
      </c>
      <c r="C225" t="s">
        <v>119</v>
      </c>
      <c r="D225" t="s">
        <v>1148</v>
      </c>
      <c r="E225" t="s">
        <v>1149</v>
      </c>
      <c r="F225" t="s">
        <v>1143</v>
      </c>
      <c r="G225" t="s">
        <v>1172</v>
      </c>
      <c r="H225" t="s">
        <v>1198</v>
      </c>
      <c r="I225" t="s">
        <v>1250</v>
      </c>
      <c r="J225" t="s">
        <v>1251</v>
      </c>
      <c r="K225">
        <v>2</v>
      </c>
      <c r="L225">
        <v>7006</v>
      </c>
      <c r="M225">
        <v>0</v>
      </c>
      <c r="N225">
        <v>7006</v>
      </c>
      <c r="O225">
        <v>0.05</v>
      </c>
      <c r="P225">
        <v>14012</v>
      </c>
      <c r="Q225">
        <v>700.6</v>
      </c>
      <c r="R225">
        <v>14712.6</v>
      </c>
      <c r="S225" t="s">
        <v>1365</v>
      </c>
      <c r="T225" t="s">
        <v>1361</v>
      </c>
      <c r="U225" s="4">
        <v>45617</v>
      </c>
      <c r="V225" s="4">
        <v>45622</v>
      </c>
      <c r="W225" t="b">
        <v>0</v>
      </c>
      <c r="Z225" t="s">
        <v>1382</v>
      </c>
      <c r="AA225" t="s">
        <v>1394</v>
      </c>
      <c r="AB225" t="s">
        <v>1395</v>
      </c>
    </row>
    <row r="226" spans="1:28" x14ac:dyDescent="0.3">
      <c r="A226" t="s">
        <v>120</v>
      </c>
      <c r="B226" s="6">
        <v>45574.656944444447</v>
      </c>
      <c r="C226" t="s">
        <v>121</v>
      </c>
      <c r="D226" t="s">
        <v>1141</v>
      </c>
      <c r="E226" t="s">
        <v>1142</v>
      </c>
      <c r="F226" t="s">
        <v>1143</v>
      </c>
      <c r="G226" t="s">
        <v>1163</v>
      </c>
      <c r="H226" t="s">
        <v>1184</v>
      </c>
      <c r="I226" t="s">
        <v>1260</v>
      </c>
      <c r="J226" t="s">
        <v>1261</v>
      </c>
      <c r="K226">
        <v>1</v>
      </c>
      <c r="L226">
        <v>445</v>
      </c>
      <c r="M226">
        <v>0.1</v>
      </c>
      <c r="N226">
        <v>400.5</v>
      </c>
      <c r="O226">
        <v>0.18</v>
      </c>
      <c r="P226">
        <v>400.5</v>
      </c>
      <c r="Q226">
        <v>72.09</v>
      </c>
      <c r="R226">
        <v>472.59</v>
      </c>
      <c r="S226" t="s">
        <v>1362</v>
      </c>
      <c r="T226" t="s">
        <v>1361</v>
      </c>
      <c r="U226" s="4">
        <v>45574</v>
      </c>
      <c r="V226" s="4">
        <v>45577</v>
      </c>
      <c r="W226" t="b">
        <v>0</v>
      </c>
      <c r="Z226" t="s">
        <v>1384</v>
      </c>
      <c r="AA226" t="s">
        <v>1394</v>
      </c>
      <c r="AB226" t="s">
        <v>1378</v>
      </c>
    </row>
    <row r="227" spans="1:28" x14ac:dyDescent="0.3">
      <c r="A227" t="s">
        <v>122</v>
      </c>
      <c r="B227" s="6">
        <v>45575.619444444441</v>
      </c>
      <c r="C227" t="s">
        <v>71</v>
      </c>
      <c r="D227" t="s">
        <v>1157</v>
      </c>
      <c r="E227" t="s">
        <v>1249</v>
      </c>
      <c r="F227" t="s">
        <v>1143</v>
      </c>
      <c r="G227" t="s">
        <v>1172</v>
      </c>
      <c r="H227" t="s">
        <v>1188</v>
      </c>
      <c r="I227" t="s">
        <v>1258</v>
      </c>
      <c r="J227" t="s">
        <v>1259</v>
      </c>
      <c r="K227">
        <v>3</v>
      </c>
      <c r="L227">
        <v>2377</v>
      </c>
      <c r="M227">
        <v>0</v>
      </c>
      <c r="N227">
        <v>2377</v>
      </c>
      <c r="O227">
        <v>0.18</v>
      </c>
      <c r="P227">
        <v>7131</v>
      </c>
      <c r="Q227">
        <v>1283.58</v>
      </c>
      <c r="R227">
        <v>8414.58</v>
      </c>
      <c r="S227" t="s">
        <v>1360</v>
      </c>
      <c r="T227" t="s">
        <v>1361</v>
      </c>
      <c r="U227" s="4">
        <v>45576</v>
      </c>
      <c r="V227" s="4">
        <v>45581</v>
      </c>
      <c r="W227" t="b">
        <v>0</v>
      </c>
      <c r="Z227" t="s">
        <v>1382</v>
      </c>
      <c r="AA227" t="s">
        <v>1399</v>
      </c>
      <c r="AB227" t="s">
        <v>1393</v>
      </c>
    </row>
    <row r="228" spans="1:28" x14ac:dyDescent="0.3">
      <c r="A228" t="s">
        <v>123</v>
      </c>
      <c r="B228" s="6">
        <v>45463.536111111112</v>
      </c>
      <c r="C228" t="s">
        <v>124</v>
      </c>
      <c r="D228" t="s">
        <v>1153</v>
      </c>
      <c r="E228" t="s">
        <v>1191</v>
      </c>
      <c r="F228" t="s">
        <v>1143</v>
      </c>
      <c r="G228" t="s">
        <v>1172</v>
      </c>
      <c r="H228" t="s">
        <v>1198</v>
      </c>
      <c r="I228" t="s">
        <v>1250</v>
      </c>
      <c r="J228" t="s">
        <v>1251</v>
      </c>
      <c r="K228">
        <v>1</v>
      </c>
      <c r="L228">
        <v>9383</v>
      </c>
      <c r="M228">
        <v>0</v>
      </c>
      <c r="N228">
        <v>9383</v>
      </c>
      <c r="O228">
        <v>0.18</v>
      </c>
      <c r="P228">
        <v>9383</v>
      </c>
      <c r="Q228">
        <v>1688.94</v>
      </c>
      <c r="R228">
        <v>11071.94</v>
      </c>
      <c r="S228" t="s">
        <v>1363</v>
      </c>
      <c r="T228" t="s">
        <v>1361</v>
      </c>
      <c r="U228" s="4">
        <v>45465</v>
      </c>
      <c r="V228" s="4">
        <v>45466</v>
      </c>
      <c r="W228" t="b">
        <v>0</v>
      </c>
      <c r="Z228" t="s">
        <v>1386</v>
      </c>
      <c r="AA228" t="s">
        <v>1387</v>
      </c>
      <c r="AB228" t="s">
        <v>1383</v>
      </c>
    </row>
    <row r="229" spans="1:28" x14ac:dyDescent="0.3">
      <c r="A229" t="s">
        <v>129</v>
      </c>
      <c r="B229" s="6">
        <v>45496.439583333333</v>
      </c>
      <c r="C229" t="s">
        <v>130</v>
      </c>
      <c r="D229" t="s">
        <v>1153</v>
      </c>
      <c r="E229" t="s">
        <v>1176</v>
      </c>
      <c r="F229" t="s">
        <v>1143</v>
      </c>
      <c r="G229" t="s">
        <v>1177</v>
      </c>
      <c r="H229" t="s">
        <v>1195</v>
      </c>
      <c r="I229" t="s">
        <v>1196</v>
      </c>
      <c r="J229" t="s">
        <v>1197</v>
      </c>
      <c r="K229">
        <v>1</v>
      </c>
      <c r="L229">
        <v>1963</v>
      </c>
      <c r="M229">
        <v>0.05</v>
      </c>
      <c r="N229">
        <v>1864.85</v>
      </c>
      <c r="O229">
        <v>0.12</v>
      </c>
      <c r="P229">
        <v>1864.85</v>
      </c>
      <c r="Q229">
        <v>223.78200000000001</v>
      </c>
      <c r="R229">
        <v>2088.6320000000001</v>
      </c>
      <c r="S229" t="s">
        <v>1360</v>
      </c>
      <c r="T229" t="s">
        <v>1361</v>
      </c>
      <c r="U229" s="4">
        <v>45496</v>
      </c>
      <c r="V229" s="4">
        <v>45501</v>
      </c>
      <c r="W229" t="b">
        <v>0</v>
      </c>
      <c r="Z229" t="s">
        <v>1392</v>
      </c>
      <c r="AA229" t="s">
        <v>1400</v>
      </c>
      <c r="AB229" t="s">
        <v>1389</v>
      </c>
    </row>
    <row r="230" spans="1:28" x14ac:dyDescent="0.3">
      <c r="A230" t="s">
        <v>131</v>
      </c>
      <c r="B230" s="6">
        <v>45389.589583333334</v>
      </c>
      <c r="C230" t="s">
        <v>132</v>
      </c>
      <c r="D230" t="s">
        <v>1182</v>
      </c>
      <c r="E230" t="s">
        <v>1257</v>
      </c>
      <c r="F230" t="s">
        <v>1143</v>
      </c>
      <c r="G230" t="s">
        <v>1167</v>
      </c>
      <c r="H230" t="s">
        <v>1288</v>
      </c>
      <c r="I230" t="s">
        <v>1289</v>
      </c>
      <c r="J230" t="s">
        <v>1290</v>
      </c>
      <c r="K230">
        <v>1</v>
      </c>
      <c r="L230">
        <v>45946</v>
      </c>
      <c r="M230">
        <v>0.05</v>
      </c>
      <c r="N230">
        <v>43648.7</v>
      </c>
      <c r="O230">
        <v>0.18</v>
      </c>
      <c r="P230">
        <v>43648.7</v>
      </c>
      <c r="Q230">
        <v>7856.7659999999996</v>
      </c>
      <c r="R230">
        <v>51505.466</v>
      </c>
      <c r="S230" t="s">
        <v>1362</v>
      </c>
      <c r="T230" t="s">
        <v>1361</v>
      </c>
      <c r="U230" s="4">
        <v>45391</v>
      </c>
      <c r="V230" s="4">
        <v>45395</v>
      </c>
      <c r="W230" t="b">
        <v>0</v>
      </c>
      <c r="Z230" t="s">
        <v>1398</v>
      </c>
      <c r="AA230" t="s">
        <v>1387</v>
      </c>
      <c r="AB230" t="s">
        <v>1389</v>
      </c>
    </row>
    <row r="231" spans="1:28" x14ac:dyDescent="0.3">
      <c r="A231" t="s">
        <v>142</v>
      </c>
      <c r="B231" s="6">
        <v>45323.556250000001</v>
      </c>
      <c r="C231" t="s">
        <v>143</v>
      </c>
      <c r="D231" t="s">
        <v>1153</v>
      </c>
      <c r="E231" t="s">
        <v>1154</v>
      </c>
      <c r="F231" t="s">
        <v>1143</v>
      </c>
      <c r="G231" t="s">
        <v>1172</v>
      </c>
      <c r="H231" t="s">
        <v>1204</v>
      </c>
      <c r="I231" t="s">
        <v>1205</v>
      </c>
      <c r="J231" t="s">
        <v>1206</v>
      </c>
      <c r="K231">
        <v>2</v>
      </c>
      <c r="L231">
        <v>8641</v>
      </c>
      <c r="M231">
        <v>0.1</v>
      </c>
      <c r="N231">
        <v>7776.9000000000005</v>
      </c>
      <c r="O231">
        <v>0.12</v>
      </c>
      <c r="P231">
        <v>15553.8</v>
      </c>
      <c r="Q231">
        <v>1866.4559999999999</v>
      </c>
      <c r="R231">
        <v>17420.256000000001</v>
      </c>
      <c r="S231" t="s">
        <v>1360</v>
      </c>
      <c r="T231" t="s">
        <v>1369</v>
      </c>
      <c r="W231" t="b">
        <v>0</v>
      </c>
      <c r="Z231" t="s">
        <v>1396</v>
      </c>
      <c r="AA231" t="s">
        <v>1397</v>
      </c>
      <c r="AB231" t="s">
        <v>1389</v>
      </c>
    </row>
    <row r="232" spans="1:28" x14ac:dyDescent="0.3">
      <c r="A232" t="s">
        <v>145</v>
      </c>
      <c r="B232" s="6">
        <v>45724.44027777778</v>
      </c>
      <c r="C232" t="s">
        <v>146</v>
      </c>
      <c r="D232" t="s">
        <v>1148</v>
      </c>
      <c r="E232" t="s">
        <v>1149</v>
      </c>
      <c r="F232" t="s">
        <v>1143</v>
      </c>
      <c r="G232" t="s">
        <v>1172</v>
      </c>
      <c r="H232" t="s">
        <v>1204</v>
      </c>
      <c r="I232" t="s">
        <v>1297</v>
      </c>
      <c r="J232" t="s">
        <v>1298</v>
      </c>
      <c r="K232">
        <v>1</v>
      </c>
      <c r="L232">
        <v>1068</v>
      </c>
      <c r="M232">
        <v>0</v>
      </c>
      <c r="N232">
        <v>1068</v>
      </c>
      <c r="O232">
        <v>0.18</v>
      </c>
      <c r="P232">
        <v>1068</v>
      </c>
      <c r="Q232">
        <v>192.24</v>
      </c>
      <c r="R232">
        <v>1260.24</v>
      </c>
      <c r="S232" t="s">
        <v>1360</v>
      </c>
      <c r="T232" t="s">
        <v>1364</v>
      </c>
      <c r="U232" s="4">
        <v>45724</v>
      </c>
      <c r="W232" t="b">
        <v>1</v>
      </c>
      <c r="X232" s="4">
        <v>45733</v>
      </c>
      <c r="Y232" s="4">
        <v>45733</v>
      </c>
      <c r="Z232" t="s">
        <v>1388</v>
      </c>
      <c r="AA232" t="s">
        <v>1394</v>
      </c>
      <c r="AB232" t="s">
        <v>1378</v>
      </c>
    </row>
    <row r="233" spans="1:28" x14ac:dyDescent="0.3">
      <c r="A233" t="s">
        <v>151</v>
      </c>
      <c r="B233" s="6">
        <v>45307.492361111108</v>
      </c>
      <c r="C233" t="s">
        <v>141</v>
      </c>
      <c r="D233" t="s">
        <v>1141</v>
      </c>
      <c r="E233" t="s">
        <v>1227</v>
      </c>
      <c r="F233" t="s">
        <v>1143</v>
      </c>
      <c r="G233" t="s">
        <v>1167</v>
      </c>
      <c r="H233" t="s">
        <v>1288</v>
      </c>
      <c r="I233" t="s">
        <v>1289</v>
      </c>
      <c r="J233" t="s">
        <v>1290</v>
      </c>
      <c r="K233">
        <v>1</v>
      </c>
      <c r="L233">
        <v>39212</v>
      </c>
      <c r="M233">
        <v>0.05</v>
      </c>
      <c r="N233">
        <v>37251.4</v>
      </c>
      <c r="O233">
        <v>0.12</v>
      </c>
      <c r="P233">
        <v>37251.4</v>
      </c>
      <c r="Q233">
        <v>4470.1679999999997</v>
      </c>
      <c r="R233">
        <v>41721.567999999999</v>
      </c>
      <c r="S233" t="s">
        <v>1360</v>
      </c>
      <c r="T233" t="s">
        <v>1361</v>
      </c>
      <c r="U233" s="4">
        <v>45308</v>
      </c>
      <c r="V233" s="4">
        <v>45312</v>
      </c>
      <c r="W233" t="b">
        <v>0</v>
      </c>
      <c r="Z233" t="s">
        <v>1390</v>
      </c>
      <c r="AA233" t="s">
        <v>1387</v>
      </c>
      <c r="AB233" t="s">
        <v>1391</v>
      </c>
    </row>
    <row r="234" spans="1:28" x14ac:dyDescent="0.3">
      <c r="A234" t="s">
        <v>152</v>
      </c>
      <c r="B234" s="6">
        <v>45391.444444444445</v>
      </c>
      <c r="C234" t="s">
        <v>153</v>
      </c>
      <c r="D234" t="s">
        <v>1141</v>
      </c>
      <c r="E234" t="s">
        <v>1239</v>
      </c>
      <c r="F234" t="s">
        <v>1143</v>
      </c>
      <c r="G234" t="s">
        <v>1172</v>
      </c>
      <c r="H234" t="s">
        <v>1204</v>
      </c>
      <c r="I234" t="s">
        <v>1205</v>
      </c>
      <c r="J234" t="s">
        <v>1206</v>
      </c>
      <c r="K234">
        <v>2</v>
      </c>
      <c r="L234">
        <v>5528</v>
      </c>
      <c r="M234">
        <v>0.05</v>
      </c>
      <c r="N234">
        <v>5251.5999999999995</v>
      </c>
      <c r="O234">
        <v>0.12</v>
      </c>
      <c r="P234">
        <v>10503.2</v>
      </c>
      <c r="Q234">
        <v>1260.384</v>
      </c>
      <c r="R234">
        <v>11763.584000000001</v>
      </c>
      <c r="S234" t="s">
        <v>1363</v>
      </c>
      <c r="T234" t="s">
        <v>1367</v>
      </c>
      <c r="U234" s="4">
        <v>45392</v>
      </c>
      <c r="W234" t="b">
        <v>0</v>
      </c>
      <c r="Z234" t="s">
        <v>1390</v>
      </c>
      <c r="AA234" t="s">
        <v>1394</v>
      </c>
      <c r="AB234" t="s">
        <v>1380</v>
      </c>
    </row>
    <row r="235" spans="1:28" x14ac:dyDescent="0.3">
      <c r="A235" t="s">
        <v>156</v>
      </c>
      <c r="B235" s="6">
        <v>45618.488194444442</v>
      </c>
      <c r="C235" t="s">
        <v>71</v>
      </c>
      <c r="D235" t="s">
        <v>1157</v>
      </c>
      <c r="E235" t="s">
        <v>1249</v>
      </c>
      <c r="F235" t="s">
        <v>1143</v>
      </c>
      <c r="G235" t="s">
        <v>1163</v>
      </c>
      <c r="H235" t="s">
        <v>1266</v>
      </c>
      <c r="I235" t="s">
        <v>1267</v>
      </c>
      <c r="J235" t="s">
        <v>1268</v>
      </c>
      <c r="K235">
        <v>3</v>
      </c>
      <c r="L235">
        <v>1009</v>
      </c>
      <c r="M235">
        <v>0.15</v>
      </c>
      <c r="N235">
        <v>857.65</v>
      </c>
      <c r="O235">
        <v>0.12</v>
      </c>
      <c r="P235">
        <v>2572.9499999999998</v>
      </c>
      <c r="Q235">
        <v>308.75400000000002</v>
      </c>
      <c r="R235">
        <v>2881.7040000000002</v>
      </c>
      <c r="S235" t="s">
        <v>1363</v>
      </c>
      <c r="T235" t="s">
        <v>1361</v>
      </c>
      <c r="U235" s="4">
        <v>45618</v>
      </c>
      <c r="V235" s="4">
        <v>45622</v>
      </c>
      <c r="W235" t="b">
        <v>0</v>
      </c>
      <c r="Z235" t="s">
        <v>1376</v>
      </c>
      <c r="AA235" t="s">
        <v>1387</v>
      </c>
      <c r="AB235" t="s">
        <v>1393</v>
      </c>
    </row>
    <row r="236" spans="1:28" x14ac:dyDescent="0.3">
      <c r="A236" t="s">
        <v>159</v>
      </c>
      <c r="B236" s="6">
        <v>45382.508333333331</v>
      </c>
      <c r="C236" t="s">
        <v>160</v>
      </c>
      <c r="D236" t="s">
        <v>1157</v>
      </c>
      <c r="E236" t="s">
        <v>1201</v>
      </c>
      <c r="F236" t="s">
        <v>1143</v>
      </c>
      <c r="G236" t="s">
        <v>1172</v>
      </c>
      <c r="H236" t="s">
        <v>1173</v>
      </c>
      <c r="I236" t="s">
        <v>1174</v>
      </c>
      <c r="J236" t="s">
        <v>1175</v>
      </c>
      <c r="K236">
        <v>4</v>
      </c>
      <c r="L236">
        <v>2876</v>
      </c>
      <c r="M236">
        <v>0.15</v>
      </c>
      <c r="N236">
        <v>2444.6</v>
      </c>
      <c r="O236">
        <v>0.12</v>
      </c>
      <c r="P236">
        <v>9778.4</v>
      </c>
      <c r="Q236">
        <v>1173.4079999999999</v>
      </c>
      <c r="R236">
        <v>10951.808000000001</v>
      </c>
      <c r="S236" t="s">
        <v>1363</v>
      </c>
      <c r="T236" t="s">
        <v>1361</v>
      </c>
      <c r="U236" s="4">
        <v>45382</v>
      </c>
      <c r="V236" s="4">
        <v>45387</v>
      </c>
      <c r="W236" t="b">
        <v>0</v>
      </c>
      <c r="Z236" t="s">
        <v>1398</v>
      </c>
      <c r="AA236" t="s">
        <v>1377</v>
      </c>
      <c r="AB236" t="s">
        <v>1395</v>
      </c>
    </row>
    <row r="237" spans="1:28" x14ac:dyDescent="0.3">
      <c r="A237" t="s">
        <v>161</v>
      </c>
      <c r="B237" s="6">
        <v>45597.615277777775</v>
      </c>
      <c r="C237" t="s">
        <v>10</v>
      </c>
      <c r="D237" t="s">
        <v>1157</v>
      </c>
      <c r="E237" t="s">
        <v>1158</v>
      </c>
      <c r="F237" t="s">
        <v>1143</v>
      </c>
      <c r="G237" t="s">
        <v>1172</v>
      </c>
      <c r="H237" t="s">
        <v>1188</v>
      </c>
      <c r="I237" t="s">
        <v>1232</v>
      </c>
      <c r="J237" t="s">
        <v>1233</v>
      </c>
      <c r="K237">
        <v>1</v>
      </c>
      <c r="L237">
        <v>887</v>
      </c>
      <c r="M237">
        <v>0.05</v>
      </c>
      <c r="N237">
        <v>842.65</v>
      </c>
      <c r="O237">
        <v>0.18</v>
      </c>
      <c r="P237">
        <v>842.65</v>
      </c>
      <c r="Q237">
        <v>151.67699999999999</v>
      </c>
      <c r="R237">
        <v>994.327</v>
      </c>
      <c r="S237" t="s">
        <v>1365</v>
      </c>
      <c r="T237" t="s">
        <v>1361</v>
      </c>
      <c r="U237" s="4">
        <v>45598</v>
      </c>
      <c r="V237" s="4">
        <v>45601</v>
      </c>
      <c r="W237" t="b">
        <v>0</v>
      </c>
      <c r="Z237" t="s">
        <v>1382</v>
      </c>
      <c r="AA237" t="s">
        <v>1387</v>
      </c>
      <c r="AB237" t="s">
        <v>1378</v>
      </c>
    </row>
    <row r="238" spans="1:28" x14ac:dyDescent="0.3">
      <c r="A238" t="s">
        <v>163</v>
      </c>
      <c r="B238" s="6">
        <v>45601.517361111109</v>
      </c>
      <c r="C238" t="s">
        <v>164</v>
      </c>
      <c r="D238" t="s">
        <v>1157</v>
      </c>
      <c r="E238" t="s">
        <v>1249</v>
      </c>
      <c r="F238" t="s">
        <v>1143</v>
      </c>
      <c r="G238" t="s">
        <v>1144</v>
      </c>
      <c r="H238" t="s">
        <v>1269</v>
      </c>
      <c r="I238" t="s">
        <v>1301</v>
      </c>
      <c r="J238" t="s">
        <v>1302</v>
      </c>
      <c r="K238">
        <v>1</v>
      </c>
      <c r="L238">
        <v>3817</v>
      </c>
      <c r="M238">
        <v>0</v>
      </c>
      <c r="N238">
        <v>3817</v>
      </c>
      <c r="O238">
        <v>0.12</v>
      </c>
      <c r="P238">
        <v>3817</v>
      </c>
      <c r="Q238">
        <v>458.04</v>
      </c>
      <c r="R238">
        <v>4275.04</v>
      </c>
      <c r="S238" t="s">
        <v>1366</v>
      </c>
      <c r="T238" t="s">
        <v>1369</v>
      </c>
      <c r="W238" t="b">
        <v>0</v>
      </c>
      <c r="Z238" t="s">
        <v>1384</v>
      </c>
      <c r="AA238" t="s">
        <v>1385</v>
      </c>
      <c r="AB238" t="s">
        <v>1395</v>
      </c>
    </row>
    <row r="239" spans="1:28" x14ac:dyDescent="0.3">
      <c r="A239" t="s">
        <v>165</v>
      </c>
      <c r="B239" s="6">
        <v>45353.488194444442</v>
      </c>
      <c r="C239" t="s">
        <v>128</v>
      </c>
      <c r="D239" t="s">
        <v>1182</v>
      </c>
      <c r="E239" t="s">
        <v>1183</v>
      </c>
      <c r="F239" t="s">
        <v>1143</v>
      </c>
      <c r="G239" t="s">
        <v>1172</v>
      </c>
      <c r="H239" t="s">
        <v>1204</v>
      </c>
      <c r="I239" t="s">
        <v>1234</v>
      </c>
      <c r="J239" t="s">
        <v>1235</v>
      </c>
      <c r="K239">
        <v>1</v>
      </c>
      <c r="L239">
        <v>2317</v>
      </c>
      <c r="M239">
        <v>0.15</v>
      </c>
      <c r="N239">
        <v>1969.45</v>
      </c>
      <c r="O239">
        <v>0.05</v>
      </c>
      <c r="P239">
        <v>1969.45</v>
      </c>
      <c r="Q239">
        <v>98.472500000000011</v>
      </c>
      <c r="R239">
        <v>2067.9225000000001</v>
      </c>
      <c r="S239" t="s">
        <v>1365</v>
      </c>
      <c r="T239" t="s">
        <v>1368</v>
      </c>
      <c r="U239" s="4">
        <v>45353</v>
      </c>
      <c r="W239" t="b">
        <v>0</v>
      </c>
      <c r="Z239" t="s">
        <v>1388</v>
      </c>
      <c r="AA239" t="s">
        <v>1387</v>
      </c>
      <c r="AB239" t="s">
        <v>1393</v>
      </c>
    </row>
    <row r="240" spans="1:28" x14ac:dyDescent="0.3">
      <c r="A240" t="s">
        <v>168</v>
      </c>
      <c r="B240" s="6">
        <v>45636.621527777781</v>
      </c>
      <c r="C240" t="s">
        <v>169</v>
      </c>
      <c r="D240" t="s">
        <v>1148</v>
      </c>
      <c r="E240" t="s">
        <v>1149</v>
      </c>
      <c r="F240" t="s">
        <v>1143</v>
      </c>
      <c r="G240" t="s">
        <v>1177</v>
      </c>
      <c r="H240" t="s">
        <v>1195</v>
      </c>
      <c r="I240" t="s">
        <v>1196</v>
      </c>
      <c r="J240" t="s">
        <v>1197</v>
      </c>
      <c r="K240">
        <v>2</v>
      </c>
      <c r="L240">
        <v>1018</v>
      </c>
      <c r="M240">
        <v>0.15</v>
      </c>
      <c r="N240">
        <v>865.3</v>
      </c>
      <c r="O240">
        <v>0.18</v>
      </c>
      <c r="P240">
        <v>1730.6</v>
      </c>
      <c r="Q240">
        <v>311.50799999999998</v>
      </c>
      <c r="R240">
        <v>2042.1079999999999</v>
      </c>
      <c r="S240" t="s">
        <v>1360</v>
      </c>
      <c r="T240" t="s">
        <v>1361</v>
      </c>
      <c r="U240" s="4">
        <v>45638</v>
      </c>
      <c r="V240" s="4">
        <v>45642</v>
      </c>
      <c r="W240" t="b">
        <v>0</v>
      </c>
      <c r="Z240" t="s">
        <v>1386</v>
      </c>
      <c r="AA240" t="s">
        <v>1387</v>
      </c>
      <c r="AB240" t="s">
        <v>1380</v>
      </c>
    </row>
    <row r="241" spans="1:28" x14ac:dyDescent="0.3">
      <c r="A241" t="s">
        <v>172</v>
      </c>
      <c r="B241" s="6">
        <v>45442.716666666667</v>
      </c>
      <c r="C241" t="s">
        <v>173</v>
      </c>
      <c r="D241" t="s">
        <v>1153</v>
      </c>
      <c r="E241" t="s">
        <v>1176</v>
      </c>
      <c r="F241" t="s">
        <v>1143</v>
      </c>
      <c r="G241" t="s">
        <v>1167</v>
      </c>
      <c r="H241" t="s">
        <v>1288</v>
      </c>
      <c r="I241" t="s">
        <v>1289</v>
      </c>
      <c r="J241" t="s">
        <v>1290</v>
      </c>
      <c r="K241">
        <v>1</v>
      </c>
      <c r="L241">
        <v>53882</v>
      </c>
      <c r="M241">
        <v>0.1</v>
      </c>
      <c r="N241">
        <v>48493.8</v>
      </c>
      <c r="O241">
        <v>0.18</v>
      </c>
      <c r="P241">
        <v>48493.8</v>
      </c>
      <c r="Q241">
        <v>8728.884</v>
      </c>
      <c r="R241">
        <v>57222.684000000001</v>
      </c>
      <c r="S241" t="s">
        <v>1366</v>
      </c>
      <c r="T241" t="s">
        <v>1361</v>
      </c>
      <c r="U241" s="4">
        <v>45443</v>
      </c>
      <c r="V241" s="4">
        <v>45445</v>
      </c>
      <c r="W241" t="b">
        <v>0</v>
      </c>
      <c r="Z241" t="s">
        <v>1398</v>
      </c>
      <c r="AA241" t="s">
        <v>1399</v>
      </c>
      <c r="AB241" t="s">
        <v>1393</v>
      </c>
    </row>
    <row r="242" spans="1:28" x14ac:dyDescent="0.3">
      <c r="A242" t="s">
        <v>174</v>
      </c>
      <c r="B242" s="6">
        <v>45670.425694444442</v>
      </c>
      <c r="C242" t="s">
        <v>63</v>
      </c>
      <c r="D242" t="s">
        <v>1141</v>
      </c>
      <c r="E242" t="s">
        <v>1239</v>
      </c>
      <c r="F242" t="s">
        <v>1143</v>
      </c>
      <c r="G242" t="s">
        <v>1167</v>
      </c>
      <c r="H242" t="s">
        <v>1211</v>
      </c>
      <c r="I242" t="s">
        <v>1279</v>
      </c>
      <c r="J242" t="s">
        <v>1280</v>
      </c>
      <c r="K242">
        <v>1</v>
      </c>
      <c r="L242">
        <v>26546</v>
      </c>
      <c r="M242">
        <v>0.1</v>
      </c>
      <c r="N242">
        <v>23891.4</v>
      </c>
      <c r="O242">
        <v>0.12</v>
      </c>
      <c r="P242">
        <v>23891.4</v>
      </c>
      <c r="Q242">
        <v>2866.9679999999998</v>
      </c>
      <c r="R242">
        <v>26758.367999999999</v>
      </c>
      <c r="S242" t="s">
        <v>1362</v>
      </c>
      <c r="T242" t="s">
        <v>1361</v>
      </c>
      <c r="U242" s="4">
        <v>45671</v>
      </c>
      <c r="V242" s="4">
        <v>45672</v>
      </c>
      <c r="W242" t="b">
        <v>0</v>
      </c>
      <c r="Z242" t="s">
        <v>1384</v>
      </c>
      <c r="AA242" t="s">
        <v>1377</v>
      </c>
      <c r="AB242" t="s">
        <v>1389</v>
      </c>
    </row>
    <row r="243" spans="1:28" x14ac:dyDescent="0.3">
      <c r="A243" t="s">
        <v>175</v>
      </c>
      <c r="B243" s="6">
        <v>45337.469444444447</v>
      </c>
      <c r="C243" t="s">
        <v>176</v>
      </c>
      <c r="D243" t="s">
        <v>1148</v>
      </c>
      <c r="E243" t="s">
        <v>1262</v>
      </c>
      <c r="F243" t="s">
        <v>1143</v>
      </c>
      <c r="G243" t="s">
        <v>1167</v>
      </c>
      <c r="H243" t="s">
        <v>1263</v>
      </c>
      <c r="I243" t="s">
        <v>1264</v>
      </c>
      <c r="J243" t="s">
        <v>1265</v>
      </c>
      <c r="K243">
        <v>1</v>
      </c>
      <c r="L243">
        <v>21377</v>
      </c>
      <c r="M243">
        <v>0.05</v>
      </c>
      <c r="N243">
        <v>20308.150000000001</v>
      </c>
      <c r="O243">
        <v>0.12</v>
      </c>
      <c r="P243">
        <v>20308.150000000001</v>
      </c>
      <c r="Q243">
        <v>2436.9780000000001</v>
      </c>
      <c r="R243">
        <v>22745.128000000001</v>
      </c>
      <c r="S243" t="s">
        <v>1360</v>
      </c>
      <c r="T243" t="s">
        <v>1361</v>
      </c>
      <c r="U243" s="4">
        <v>45338</v>
      </c>
      <c r="V243" s="4">
        <v>45340</v>
      </c>
      <c r="W243" t="b">
        <v>0</v>
      </c>
      <c r="Z243" t="s">
        <v>1382</v>
      </c>
      <c r="AA243" t="s">
        <v>1385</v>
      </c>
      <c r="AB243" t="s">
        <v>1389</v>
      </c>
    </row>
    <row r="244" spans="1:28" x14ac:dyDescent="0.3">
      <c r="A244" t="s">
        <v>177</v>
      </c>
      <c r="B244" s="6">
        <v>45577.440972222219</v>
      </c>
      <c r="C244" t="s">
        <v>141</v>
      </c>
      <c r="D244" t="s">
        <v>1141</v>
      </c>
      <c r="E244" t="s">
        <v>1227</v>
      </c>
      <c r="F244" t="s">
        <v>1143</v>
      </c>
      <c r="G244" t="s">
        <v>1177</v>
      </c>
      <c r="H244" t="s">
        <v>1178</v>
      </c>
      <c r="I244" t="s">
        <v>1305</v>
      </c>
      <c r="J244" t="s">
        <v>1306</v>
      </c>
      <c r="K244">
        <v>2</v>
      </c>
      <c r="L244">
        <v>1828</v>
      </c>
      <c r="M244">
        <v>0.1</v>
      </c>
      <c r="N244">
        <v>1645.2</v>
      </c>
      <c r="O244">
        <v>0.18</v>
      </c>
      <c r="P244">
        <v>3290.4</v>
      </c>
      <c r="Q244">
        <v>592.27200000000005</v>
      </c>
      <c r="R244">
        <v>3882.672</v>
      </c>
      <c r="S244" t="s">
        <v>1363</v>
      </c>
      <c r="T244" t="s">
        <v>1361</v>
      </c>
      <c r="U244" s="4">
        <v>45577</v>
      </c>
      <c r="V244" s="4">
        <v>45579</v>
      </c>
      <c r="W244" t="b">
        <v>0</v>
      </c>
      <c r="Z244" t="s">
        <v>1388</v>
      </c>
      <c r="AA244" t="s">
        <v>1377</v>
      </c>
      <c r="AB244" t="s">
        <v>1395</v>
      </c>
    </row>
    <row r="245" spans="1:28" x14ac:dyDescent="0.3">
      <c r="A245" t="s">
        <v>182</v>
      </c>
      <c r="B245" s="6">
        <v>45615.579861111109</v>
      </c>
      <c r="C245" t="s">
        <v>183</v>
      </c>
      <c r="D245" t="s">
        <v>1182</v>
      </c>
      <c r="E245" t="s">
        <v>1256</v>
      </c>
      <c r="F245" t="s">
        <v>1143</v>
      </c>
      <c r="G245" t="s">
        <v>1172</v>
      </c>
      <c r="H245" t="s">
        <v>1188</v>
      </c>
      <c r="I245" t="s">
        <v>1258</v>
      </c>
      <c r="J245" t="s">
        <v>1259</v>
      </c>
      <c r="K245">
        <v>4</v>
      </c>
      <c r="L245">
        <v>9457</v>
      </c>
      <c r="M245">
        <v>0.05</v>
      </c>
      <c r="N245">
        <v>8984.15</v>
      </c>
      <c r="O245">
        <v>0.18</v>
      </c>
      <c r="P245">
        <v>35936.6</v>
      </c>
      <c r="Q245">
        <v>6468.5879999999997</v>
      </c>
      <c r="R245">
        <v>42405.187999999987</v>
      </c>
      <c r="S245" t="s">
        <v>1360</v>
      </c>
      <c r="T245" t="s">
        <v>1361</v>
      </c>
      <c r="U245" s="4">
        <v>45617</v>
      </c>
      <c r="V245" s="4">
        <v>45622</v>
      </c>
      <c r="W245" t="b">
        <v>0</v>
      </c>
      <c r="Z245" t="s">
        <v>1398</v>
      </c>
      <c r="AA245" t="s">
        <v>1399</v>
      </c>
      <c r="AB245" t="s">
        <v>1395</v>
      </c>
    </row>
    <row r="246" spans="1:28" x14ac:dyDescent="0.3">
      <c r="A246" t="s">
        <v>184</v>
      </c>
      <c r="B246" s="6">
        <v>45297.511111111111</v>
      </c>
      <c r="C246" t="s">
        <v>185</v>
      </c>
      <c r="D246" t="s">
        <v>1153</v>
      </c>
      <c r="E246" t="s">
        <v>1154</v>
      </c>
      <c r="F246" t="s">
        <v>1143</v>
      </c>
      <c r="G246" t="s">
        <v>1172</v>
      </c>
      <c r="H246" t="s">
        <v>1173</v>
      </c>
      <c r="I246" t="s">
        <v>1174</v>
      </c>
      <c r="J246" t="s">
        <v>1175</v>
      </c>
      <c r="K246">
        <v>5</v>
      </c>
      <c r="L246">
        <v>6521</v>
      </c>
      <c r="M246">
        <v>0.2</v>
      </c>
      <c r="N246">
        <v>5216.8</v>
      </c>
      <c r="O246">
        <v>0.05</v>
      </c>
      <c r="P246">
        <v>26084</v>
      </c>
      <c r="Q246">
        <v>1304.2</v>
      </c>
      <c r="R246">
        <v>27388.2</v>
      </c>
      <c r="S246" t="s">
        <v>1363</v>
      </c>
      <c r="T246" t="s">
        <v>1361</v>
      </c>
      <c r="U246" s="4">
        <v>45297</v>
      </c>
      <c r="V246" s="4">
        <v>45302</v>
      </c>
      <c r="W246" t="b">
        <v>0</v>
      </c>
      <c r="Z246" t="s">
        <v>1384</v>
      </c>
      <c r="AA246" t="s">
        <v>1397</v>
      </c>
      <c r="AB246" t="s">
        <v>1378</v>
      </c>
    </row>
    <row r="247" spans="1:28" x14ac:dyDescent="0.3">
      <c r="A247" t="s">
        <v>190</v>
      </c>
      <c r="B247" s="6">
        <v>45300.615972222222</v>
      </c>
      <c r="C247" t="s">
        <v>191</v>
      </c>
      <c r="D247" t="s">
        <v>1153</v>
      </c>
      <c r="E247" t="s">
        <v>1154</v>
      </c>
      <c r="F247" t="s">
        <v>1143</v>
      </c>
      <c r="G247" t="s">
        <v>1177</v>
      </c>
      <c r="H247" t="s">
        <v>1178</v>
      </c>
      <c r="I247" t="s">
        <v>1220</v>
      </c>
      <c r="J247" t="s">
        <v>1221</v>
      </c>
      <c r="K247">
        <v>2</v>
      </c>
      <c r="L247">
        <v>1630</v>
      </c>
      <c r="M247">
        <v>0.1</v>
      </c>
      <c r="N247">
        <v>1467</v>
      </c>
      <c r="O247">
        <v>0.12</v>
      </c>
      <c r="P247">
        <v>2934</v>
      </c>
      <c r="Q247">
        <v>352.08</v>
      </c>
      <c r="R247">
        <v>3286.08</v>
      </c>
      <c r="S247" t="s">
        <v>1360</v>
      </c>
      <c r="T247" t="s">
        <v>1368</v>
      </c>
      <c r="U247" s="4">
        <v>45302</v>
      </c>
      <c r="W247" t="b">
        <v>0</v>
      </c>
      <c r="Z247" t="s">
        <v>1379</v>
      </c>
      <c r="AA247" t="s">
        <v>1377</v>
      </c>
      <c r="AB247" t="s">
        <v>1378</v>
      </c>
    </row>
    <row r="248" spans="1:28" x14ac:dyDescent="0.3">
      <c r="A248" t="s">
        <v>192</v>
      </c>
      <c r="B248" s="6">
        <v>45709.479861111111</v>
      </c>
      <c r="C248" t="s">
        <v>193</v>
      </c>
      <c r="D248" t="s">
        <v>1148</v>
      </c>
      <c r="E248" t="s">
        <v>1217</v>
      </c>
      <c r="F248" t="s">
        <v>1143</v>
      </c>
      <c r="G248" t="s">
        <v>1177</v>
      </c>
      <c r="H248" t="s">
        <v>1195</v>
      </c>
      <c r="I248" t="s">
        <v>1196</v>
      </c>
      <c r="J248" t="s">
        <v>1197</v>
      </c>
      <c r="K248">
        <v>2</v>
      </c>
      <c r="L248">
        <v>2793</v>
      </c>
      <c r="M248">
        <v>0.05</v>
      </c>
      <c r="N248">
        <v>2653.35</v>
      </c>
      <c r="O248">
        <v>0.18</v>
      </c>
      <c r="P248">
        <v>5306.7</v>
      </c>
      <c r="Q248">
        <v>955.2059999999999</v>
      </c>
      <c r="R248">
        <v>6261.9059999999999</v>
      </c>
      <c r="S248" t="s">
        <v>1360</v>
      </c>
      <c r="T248" t="s">
        <v>1369</v>
      </c>
      <c r="W248" t="b">
        <v>0</v>
      </c>
      <c r="Z248" t="s">
        <v>1386</v>
      </c>
      <c r="AA248" t="s">
        <v>1385</v>
      </c>
      <c r="AB248" t="s">
        <v>1378</v>
      </c>
    </row>
    <row r="249" spans="1:28" x14ac:dyDescent="0.3">
      <c r="A249" t="s">
        <v>202</v>
      </c>
      <c r="B249" s="6">
        <v>45504.548611111109</v>
      </c>
      <c r="C249" t="s">
        <v>137</v>
      </c>
      <c r="D249" t="s">
        <v>1182</v>
      </c>
      <c r="E249" t="s">
        <v>1183</v>
      </c>
      <c r="F249" t="s">
        <v>1143</v>
      </c>
      <c r="G249" t="s">
        <v>1177</v>
      </c>
      <c r="H249" t="s">
        <v>1309</v>
      </c>
      <c r="I249" t="s">
        <v>1310</v>
      </c>
      <c r="J249" t="s">
        <v>1311</v>
      </c>
      <c r="K249">
        <v>2</v>
      </c>
      <c r="L249">
        <v>2306</v>
      </c>
      <c r="M249">
        <v>0.1</v>
      </c>
      <c r="N249">
        <v>2075.4</v>
      </c>
      <c r="O249">
        <v>0.12</v>
      </c>
      <c r="P249">
        <v>4150.8</v>
      </c>
      <c r="Q249">
        <v>498.096</v>
      </c>
      <c r="R249">
        <v>4648.8960000000006</v>
      </c>
      <c r="S249" t="s">
        <v>1360</v>
      </c>
      <c r="T249" t="s">
        <v>1361</v>
      </c>
      <c r="U249" s="4">
        <v>45506</v>
      </c>
      <c r="V249" s="4">
        <v>45511</v>
      </c>
      <c r="W249" t="b">
        <v>0</v>
      </c>
      <c r="Z249" t="s">
        <v>1388</v>
      </c>
      <c r="AA249" t="s">
        <v>1394</v>
      </c>
      <c r="AB249" t="s">
        <v>1393</v>
      </c>
    </row>
    <row r="250" spans="1:28" x14ac:dyDescent="0.3">
      <c r="A250" t="s">
        <v>204</v>
      </c>
      <c r="B250" s="6">
        <v>45569.498611111114</v>
      </c>
      <c r="C250" t="s">
        <v>135</v>
      </c>
      <c r="D250" t="s">
        <v>1182</v>
      </c>
      <c r="E250" t="s">
        <v>1207</v>
      </c>
      <c r="F250" t="s">
        <v>1143</v>
      </c>
      <c r="G250" t="s">
        <v>1167</v>
      </c>
      <c r="H250" t="s">
        <v>1211</v>
      </c>
      <c r="I250" t="s">
        <v>1212</v>
      </c>
      <c r="J250" t="s">
        <v>1213</v>
      </c>
      <c r="K250">
        <v>1</v>
      </c>
      <c r="L250">
        <v>21713</v>
      </c>
      <c r="M250">
        <v>0</v>
      </c>
      <c r="N250">
        <v>21713</v>
      </c>
      <c r="O250">
        <v>0.05</v>
      </c>
      <c r="P250">
        <v>21713</v>
      </c>
      <c r="Q250">
        <v>1085.6500000000001</v>
      </c>
      <c r="R250">
        <v>22798.65</v>
      </c>
      <c r="S250" t="s">
        <v>1360</v>
      </c>
      <c r="T250" t="s">
        <v>1361</v>
      </c>
      <c r="U250" s="4">
        <v>45569</v>
      </c>
      <c r="V250" s="4">
        <v>45570</v>
      </c>
      <c r="W250" t="b">
        <v>0</v>
      </c>
      <c r="Z250" t="s">
        <v>1398</v>
      </c>
      <c r="AA250" t="s">
        <v>1377</v>
      </c>
      <c r="AB250" t="s">
        <v>1395</v>
      </c>
    </row>
    <row r="251" spans="1:28" x14ac:dyDescent="0.3">
      <c r="A251" t="s">
        <v>207</v>
      </c>
      <c r="B251" s="6">
        <v>45466.490972222222</v>
      </c>
      <c r="C251" t="s">
        <v>208</v>
      </c>
      <c r="D251" t="s">
        <v>1157</v>
      </c>
      <c r="E251" t="s">
        <v>1201</v>
      </c>
      <c r="F251" t="s">
        <v>1143</v>
      </c>
      <c r="G251" t="s">
        <v>1167</v>
      </c>
      <c r="H251" t="s">
        <v>1168</v>
      </c>
      <c r="I251" t="s">
        <v>1312</v>
      </c>
      <c r="J251" t="s">
        <v>1313</v>
      </c>
      <c r="K251">
        <v>5</v>
      </c>
      <c r="L251">
        <v>46353</v>
      </c>
      <c r="M251">
        <v>0.1</v>
      </c>
      <c r="N251">
        <v>41717.699999999997</v>
      </c>
      <c r="O251">
        <v>0.12</v>
      </c>
      <c r="P251">
        <v>208588.5</v>
      </c>
      <c r="Q251">
        <v>25030.62</v>
      </c>
      <c r="R251">
        <v>233619.12</v>
      </c>
      <c r="S251" t="s">
        <v>1365</v>
      </c>
      <c r="T251" t="s">
        <v>1361</v>
      </c>
      <c r="U251" s="4">
        <v>45468</v>
      </c>
      <c r="V251" s="4">
        <v>45471</v>
      </c>
      <c r="W251" t="b">
        <v>0</v>
      </c>
      <c r="Z251" t="s">
        <v>1392</v>
      </c>
      <c r="AA251" t="s">
        <v>1399</v>
      </c>
      <c r="AB251" t="s">
        <v>1380</v>
      </c>
    </row>
    <row r="252" spans="1:28" x14ac:dyDescent="0.3">
      <c r="A252" t="s">
        <v>210</v>
      </c>
      <c r="B252" s="6">
        <v>45699.410416666666</v>
      </c>
      <c r="C252" t="s">
        <v>211</v>
      </c>
      <c r="D252" t="s">
        <v>1157</v>
      </c>
      <c r="E252" t="s">
        <v>1181</v>
      </c>
      <c r="F252" t="s">
        <v>1143</v>
      </c>
      <c r="G252" t="s">
        <v>1167</v>
      </c>
      <c r="H252" t="s">
        <v>1168</v>
      </c>
      <c r="I252" t="s">
        <v>1314</v>
      </c>
      <c r="J252" t="s">
        <v>1315</v>
      </c>
      <c r="K252">
        <v>3</v>
      </c>
      <c r="L252">
        <v>39885</v>
      </c>
      <c r="M252">
        <v>0</v>
      </c>
      <c r="N252">
        <v>39885</v>
      </c>
      <c r="O252">
        <v>0.18</v>
      </c>
      <c r="P252">
        <v>119655</v>
      </c>
      <c r="Q252">
        <v>21537.9</v>
      </c>
      <c r="R252">
        <v>141192.9</v>
      </c>
      <c r="S252" t="s">
        <v>1363</v>
      </c>
      <c r="T252" t="s">
        <v>1364</v>
      </c>
      <c r="U252" s="4">
        <v>45701</v>
      </c>
      <c r="W252" t="b">
        <v>1</v>
      </c>
      <c r="X252" s="4">
        <v>45710</v>
      </c>
      <c r="Y252" s="4">
        <v>45710</v>
      </c>
      <c r="Z252" t="s">
        <v>1398</v>
      </c>
      <c r="AA252" t="s">
        <v>1385</v>
      </c>
      <c r="AB252" t="s">
        <v>1378</v>
      </c>
    </row>
    <row r="253" spans="1:28" x14ac:dyDescent="0.3">
      <c r="A253" t="s">
        <v>212</v>
      </c>
      <c r="B253" s="6">
        <v>45478.469444444447</v>
      </c>
      <c r="C253" t="s">
        <v>213</v>
      </c>
      <c r="D253" t="s">
        <v>1182</v>
      </c>
      <c r="E253" t="s">
        <v>1256</v>
      </c>
      <c r="F253" t="s">
        <v>1143</v>
      </c>
      <c r="G253" t="s">
        <v>1167</v>
      </c>
      <c r="H253" t="s">
        <v>1288</v>
      </c>
      <c r="I253" t="s">
        <v>1289</v>
      </c>
      <c r="J253" t="s">
        <v>1290</v>
      </c>
      <c r="K253">
        <v>1</v>
      </c>
      <c r="L253">
        <v>7411</v>
      </c>
      <c r="M253">
        <v>0</v>
      </c>
      <c r="N253">
        <v>7411</v>
      </c>
      <c r="O253">
        <v>0.12</v>
      </c>
      <c r="P253">
        <v>7411</v>
      </c>
      <c r="Q253">
        <v>889.31999999999994</v>
      </c>
      <c r="R253">
        <v>8300.32</v>
      </c>
      <c r="S253" t="s">
        <v>1363</v>
      </c>
      <c r="T253" t="s">
        <v>1361</v>
      </c>
      <c r="U253" s="4">
        <v>45479</v>
      </c>
      <c r="V253" s="4">
        <v>45480</v>
      </c>
      <c r="W253" t="b">
        <v>0</v>
      </c>
      <c r="Z253" t="s">
        <v>1398</v>
      </c>
      <c r="AA253" t="s">
        <v>1400</v>
      </c>
      <c r="AB253" t="s">
        <v>1393</v>
      </c>
    </row>
    <row r="254" spans="1:28" x14ac:dyDescent="0.3">
      <c r="A254" t="s">
        <v>214</v>
      </c>
      <c r="B254" s="6">
        <v>45337.597916666666</v>
      </c>
      <c r="C254" t="s">
        <v>22</v>
      </c>
      <c r="D254" t="s">
        <v>1182</v>
      </c>
      <c r="E254" t="s">
        <v>1183</v>
      </c>
      <c r="F254" t="s">
        <v>1143</v>
      </c>
      <c r="G254" t="s">
        <v>1163</v>
      </c>
      <c r="H254" t="s">
        <v>1184</v>
      </c>
      <c r="I254" t="s">
        <v>1185</v>
      </c>
      <c r="J254" t="s">
        <v>1186</v>
      </c>
      <c r="K254">
        <v>1</v>
      </c>
      <c r="L254">
        <v>205</v>
      </c>
      <c r="M254">
        <v>0</v>
      </c>
      <c r="N254">
        <v>205</v>
      </c>
      <c r="O254">
        <v>0.12</v>
      </c>
      <c r="P254">
        <v>205</v>
      </c>
      <c r="Q254">
        <v>24.6</v>
      </c>
      <c r="R254">
        <v>229.6</v>
      </c>
      <c r="S254" t="s">
        <v>1363</v>
      </c>
      <c r="T254" t="s">
        <v>1361</v>
      </c>
      <c r="U254" s="4">
        <v>45339</v>
      </c>
      <c r="V254" s="4">
        <v>45342</v>
      </c>
      <c r="W254" t="b">
        <v>0</v>
      </c>
      <c r="Z254" t="s">
        <v>1376</v>
      </c>
      <c r="AA254" t="s">
        <v>1394</v>
      </c>
      <c r="AB254" t="s">
        <v>1393</v>
      </c>
    </row>
    <row r="255" spans="1:28" x14ac:dyDescent="0.3">
      <c r="A255" t="s">
        <v>219</v>
      </c>
      <c r="B255" s="6">
        <v>45719.35</v>
      </c>
      <c r="C255" t="s">
        <v>77</v>
      </c>
      <c r="D255" t="s">
        <v>1182</v>
      </c>
      <c r="E255" t="s">
        <v>1256</v>
      </c>
      <c r="F255" t="s">
        <v>1143</v>
      </c>
      <c r="G255" t="s">
        <v>1172</v>
      </c>
      <c r="H255" t="s">
        <v>1188</v>
      </c>
      <c r="I255" t="s">
        <v>1258</v>
      </c>
      <c r="J255" t="s">
        <v>1259</v>
      </c>
      <c r="K255">
        <v>3</v>
      </c>
      <c r="L255">
        <v>8929</v>
      </c>
      <c r="M255">
        <v>0</v>
      </c>
      <c r="N255">
        <v>8929</v>
      </c>
      <c r="O255">
        <v>0.05</v>
      </c>
      <c r="P255">
        <v>26787</v>
      </c>
      <c r="Q255">
        <v>1339.35</v>
      </c>
      <c r="R255">
        <v>28126.35</v>
      </c>
      <c r="S255" t="s">
        <v>1365</v>
      </c>
      <c r="T255" t="s">
        <v>1361</v>
      </c>
      <c r="U255" s="4">
        <v>45720</v>
      </c>
      <c r="V255" s="4">
        <v>45723</v>
      </c>
      <c r="W255" t="b">
        <v>0</v>
      </c>
      <c r="Z255" t="s">
        <v>1384</v>
      </c>
      <c r="AA255" t="s">
        <v>1394</v>
      </c>
      <c r="AB255" t="s">
        <v>1393</v>
      </c>
    </row>
    <row r="256" spans="1:28" x14ac:dyDescent="0.3">
      <c r="A256" t="s">
        <v>221</v>
      </c>
      <c r="B256" s="6">
        <v>45630.383333333331</v>
      </c>
      <c r="C256" t="s">
        <v>155</v>
      </c>
      <c r="D256" t="s">
        <v>1157</v>
      </c>
      <c r="E256" t="s">
        <v>1158</v>
      </c>
      <c r="F256" t="s">
        <v>1143</v>
      </c>
      <c r="G256" t="s">
        <v>1177</v>
      </c>
      <c r="H256" t="s">
        <v>1195</v>
      </c>
      <c r="I256" t="s">
        <v>1196</v>
      </c>
      <c r="J256" t="s">
        <v>1197</v>
      </c>
      <c r="K256">
        <v>1</v>
      </c>
      <c r="L256">
        <v>1040</v>
      </c>
      <c r="M256">
        <v>0</v>
      </c>
      <c r="N256">
        <v>1040</v>
      </c>
      <c r="O256">
        <v>0.12</v>
      </c>
      <c r="P256">
        <v>1040</v>
      </c>
      <c r="Q256">
        <v>124.8</v>
      </c>
      <c r="R256">
        <v>1164.8</v>
      </c>
      <c r="S256" t="s">
        <v>1360</v>
      </c>
      <c r="T256" t="s">
        <v>1368</v>
      </c>
      <c r="U256" s="4">
        <v>45630</v>
      </c>
      <c r="W256" t="b">
        <v>0</v>
      </c>
      <c r="Z256" t="s">
        <v>1390</v>
      </c>
      <c r="AA256" t="s">
        <v>1399</v>
      </c>
      <c r="AB256" t="s">
        <v>1393</v>
      </c>
    </row>
    <row r="257" spans="1:28" x14ac:dyDescent="0.3">
      <c r="A257" t="s">
        <v>225</v>
      </c>
      <c r="B257" s="6">
        <v>45690.419444444444</v>
      </c>
      <c r="C257" t="s">
        <v>117</v>
      </c>
      <c r="D257" t="s">
        <v>1141</v>
      </c>
      <c r="E257" t="s">
        <v>1285</v>
      </c>
      <c r="F257" t="s">
        <v>1143</v>
      </c>
      <c r="G257" t="s">
        <v>1144</v>
      </c>
      <c r="H257" t="s">
        <v>1159</v>
      </c>
      <c r="I257" t="s">
        <v>1160</v>
      </c>
      <c r="J257" t="s">
        <v>1161</v>
      </c>
      <c r="K257">
        <v>1</v>
      </c>
      <c r="L257">
        <v>2729</v>
      </c>
      <c r="M257">
        <v>0</v>
      </c>
      <c r="N257">
        <v>2729</v>
      </c>
      <c r="O257">
        <v>0.18</v>
      </c>
      <c r="P257">
        <v>2729</v>
      </c>
      <c r="Q257">
        <v>491.22</v>
      </c>
      <c r="R257">
        <v>3220.22</v>
      </c>
      <c r="S257" t="s">
        <v>1366</v>
      </c>
      <c r="T257" t="s">
        <v>1368</v>
      </c>
      <c r="U257" s="4">
        <v>45690</v>
      </c>
      <c r="W257" t="b">
        <v>0</v>
      </c>
      <c r="Z257" t="s">
        <v>1384</v>
      </c>
      <c r="AA257" t="s">
        <v>1399</v>
      </c>
      <c r="AB257" t="s">
        <v>1383</v>
      </c>
    </row>
    <row r="258" spans="1:28" x14ac:dyDescent="0.3">
      <c r="A258" t="s">
        <v>226</v>
      </c>
      <c r="B258" s="6">
        <v>45699.585416666669</v>
      </c>
      <c r="C258" t="s">
        <v>227</v>
      </c>
      <c r="D258" t="s">
        <v>1153</v>
      </c>
      <c r="E258" t="s">
        <v>1154</v>
      </c>
      <c r="F258" t="s">
        <v>1143</v>
      </c>
      <c r="G258" t="s">
        <v>1144</v>
      </c>
      <c r="H258" t="s">
        <v>1269</v>
      </c>
      <c r="I258" t="s">
        <v>1301</v>
      </c>
      <c r="J258" t="s">
        <v>1302</v>
      </c>
      <c r="K258">
        <v>2</v>
      </c>
      <c r="L258">
        <v>1658</v>
      </c>
      <c r="M258">
        <v>0</v>
      </c>
      <c r="N258">
        <v>1658</v>
      </c>
      <c r="O258">
        <v>0.05</v>
      </c>
      <c r="P258">
        <v>3316</v>
      </c>
      <c r="Q258">
        <v>165.8</v>
      </c>
      <c r="R258">
        <v>3481.8</v>
      </c>
      <c r="S258" t="s">
        <v>1366</v>
      </c>
      <c r="T258" t="s">
        <v>1361</v>
      </c>
      <c r="U258" s="4">
        <v>45701</v>
      </c>
      <c r="V258" s="4">
        <v>45706</v>
      </c>
      <c r="W258" t="b">
        <v>0</v>
      </c>
      <c r="Z258" t="s">
        <v>1384</v>
      </c>
      <c r="AA258" t="s">
        <v>1394</v>
      </c>
      <c r="AB258" t="s">
        <v>1389</v>
      </c>
    </row>
    <row r="259" spans="1:28" x14ac:dyDescent="0.3">
      <c r="A259" t="s">
        <v>228</v>
      </c>
      <c r="B259" s="6">
        <v>45570.647222222222</v>
      </c>
      <c r="C259" t="s">
        <v>229</v>
      </c>
      <c r="D259" t="s">
        <v>1148</v>
      </c>
      <c r="E259" t="s">
        <v>1149</v>
      </c>
      <c r="F259" t="s">
        <v>1143</v>
      </c>
      <c r="G259" t="s">
        <v>1172</v>
      </c>
      <c r="H259" t="s">
        <v>1188</v>
      </c>
      <c r="I259" t="s">
        <v>1258</v>
      </c>
      <c r="J259" t="s">
        <v>1259</v>
      </c>
      <c r="K259">
        <v>1</v>
      </c>
      <c r="L259">
        <v>843</v>
      </c>
      <c r="M259">
        <v>0</v>
      </c>
      <c r="N259">
        <v>843</v>
      </c>
      <c r="O259">
        <v>0.12</v>
      </c>
      <c r="P259">
        <v>843</v>
      </c>
      <c r="Q259">
        <v>101.16</v>
      </c>
      <c r="R259">
        <v>944.16</v>
      </c>
      <c r="S259" t="s">
        <v>1363</v>
      </c>
      <c r="T259" t="s">
        <v>1361</v>
      </c>
      <c r="U259" s="4">
        <v>45572</v>
      </c>
      <c r="V259" s="4">
        <v>45577</v>
      </c>
      <c r="W259" t="b">
        <v>0</v>
      </c>
      <c r="Z259" t="s">
        <v>1379</v>
      </c>
      <c r="AA259" t="s">
        <v>1385</v>
      </c>
      <c r="AB259" t="s">
        <v>1378</v>
      </c>
    </row>
    <row r="260" spans="1:28" x14ac:dyDescent="0.3">
      <c r="A260" t="s">
        <v>230</v>
      </c>
      <c r="B260" s="6">
        <v>45611.530555555553</v>
      </c>
      <c r="C260" t="s">
        <v>231</v>
      </c>
      <c r="D260" t="s">
        <v>1157</v>
      </c>
      <c r="E260" t="s">
        <v>1249</v>
      </c>
      <c r="F260" t="s">
        <v>1143</v>
      </c>
      <c r="G260" t="s">
        <v>1172</v>
      </c>
      <c r="H260" t="s">
        <v>1188</v>
      </c>
      <c r="I260" t="s">
        <v>1232</v>
      </c>
      <c r="J260" t="s">
        <v>1233</v>
      </c>
      <c r="K260">
        <v>1</v>
      </c>
      <c r="L260">
        <v>656</v>
      </c>
      <c r="M260">
        <v>0</v>
      </c>
      <c r="N260">
        <v>656</v>
      </c>
      <c r="O260">
        <v>0.12</v>
      </c>
      <c r="P260">
        <v>656</v>
      </c>
      <c r="Q260">
        <v>78.72</v>
      </c>
      <c r="R260">
        <v>734.72</v>
      </c>
      <c r="S260" t="s">
        <v>1360</v>
      </c>
      <c r="T260" t="s">
        <v>1361</v>
      </c>
      <c r="U260" s="4">
        <v>45612</v>
      </c>
      <c r="V260" s="4">
        <v>45617</v>
      </c>
      <c r="W260" t="b">
        <v>0</v>
      </c>
      <c r="Z260" t="s">
        <v>1398</v>
      </c>
      <c r="AA260" t="s">
        <v>1399</v>
      </c>
      <c r="AB260" t="s">
        <v>1393</v>
      </c>
    </row>
    <row r="261" spans="1:28" x14ac:dyDescent="0.3">
      <c r="A261" t="s">
        <v>236</v>
      </c>
      <c r="B261" s="6">
        <v>45390.510416666664</v>
      </c>
      <c r="C261" t="s">
        <v>237</v>
      </c>
      <c r="D261" t="s">
        <v>1182</v>
      </c>
      <c r="E261" t="s">
        <v>1183</v>
      </c>
      <c r="F261" t="s">
        <v>1143</v>
      </c>
      <c r="G261" t="s">
        <v>1163</v>
      </c>
      <c r="H261" t="s">
        <v>1184</v>
      </c>
      <c r="I261" t="s">
        <v>1185</v>
      </c>
      <c r="J261" t="s">
        <v>1186</v>
      </c>
      <c r="K261">
        <v>1</v>
      </c>
      <c r="L261">
        <v>217</v>
      </c>
      <c r="M261">
        <v>0.15</v>
      </c>
      <c r="N261">
        <v>184.45</v>
      </c>
      <c r="O261">
        <v>0.12</v>
      </c>
      <c r="P261">
        <v>184.45</v>
      </c>
      <c r="Q261">
        <v>22.134</v>
      </c>
      <c r="R261">
        <v>206.584</v>
      </c>
      <c r="S261" t="s">
        <v>1362</v>
      </c>
      <c r="T261" t="s">
        <v>1361</v>
      </c>
      <c r="U261" s="4">
        <v>45390</v>
      </c>
      <c r="V261" s="4">
        <v>45393</v>
      </c>
      <c r="W261" t="b">
        <v>0</v>
      </c>
      <c r="Z261" t="s">
        <v>1379</v>
      </c>
      <c r="AA261" t="s">
        <v>1394</v>
      </c>
      <c r="AB261" t="s">
        <v>1383</v>
      </c>
    </row>
    <row r="262" spans="1:28" x14ac:dyDescent="0.3">
      <c r="A262" t="s">
        <v>238</v>
      </c>
      <c r="B262" s="6">
        <v>45299.603472222225</v>
      </c>
      <c r="C262" t="s">
        <v>239</v>
      </c>
      <c r="D262" t="s">
        <v>1153</v>
      </c>
      <c r="E262" t="s">
        <v>1162</v>
      </c>
      <c r="F262" t="s">
        <v>1143</v>
      </c>
      <c r="G262" t="s">
        <v>1177</v>
      </c>
      <c r="H262" t="s">
        <v>1236</v>
      </c>
      <c r="I262" t="s">
        <v>1254</v>
      </c>
      <c r="J262" t="s">
        <v>1255</v>
      </c>
      <c r="K262">
        <v>3</v>
      </c>
      <c r="L262">
        <v>1957</v>
      </c>
      <c r="M262">
        <v>0.15</v>
      </c>
      <c r="N262">
        <v>1663.45</v>
      </c>
      <c r="O262">
        <v>0.12</v>
      </c>
      <c r="P262">
        <v>4990.3500000000004</v>
      </c>
      <c r="Q262">
        <v>598.84199999999998</v>
      </c>
      <c r="R262">
        <v>5589.192</v>
      </c>
      <c r="S262" t="s">
        <v>1360</v>
      </c>
      <c r="T262" t="s">
        <v>1369</v>
      </c>
      <c r="W262" t="b">
        <v>0</v>
      </c>
      <c r="Z262" t="s">
        <v>1392</v>
      </c>
      <c r="AA262" t="s">
        <v>1387</v>
      </c>
      <c r="AB262" t="s">
        <v>1383</v>
      </c>
    </row>
    <row r="263" spans="1:28" x14ac:dyDescent="0.3">
      <c r="A263" t="s">
        <v>242</v>
      </c>
      <c r="B263" s="6">
        <v>45589.496527777781</v>
      </c>
      <c r="C263" t="s">
        <v>243</v>
      </c>
      <c r="D263" t="s">
        <v>1153</v>
      </c>
      <c r="E263" t="s">
        <v>1176</v>
      </c>
      <c r="F263" t="s">
        <v>1143</v>
      </c>
      <c r="G263" t="s">
        <v>1167</v>
      </c>
      <c r="H263" t="s">
        <v>1288</v>
      </c>
      <c r="I263" t="s">
        <v>1289</v>
      </c>
      <c r="J263" t="s">
        <v>1290</v>
      </c>
      <c r="K263">
        <v>2</v>
      </c>
      <c r="L263">
        <v>46517</v>
      </c>
      <c r="M263">
        <v>0.05</v>
      </c>
      <c r="N263">
        <v>44191.15</v>
      </c>
      <c r="O263">
        <v>0.12</v>
      </c>
      <c r="P263">
        <v>88382.3</v>
      </c>
      <c r="Q263">
        <v>10605.876</v>
      </c>
      <c r="R263">
        <v>98988.176000000007</v>
      </c>
      <c r="S263" t="s">
        <v>1365</v>
      </c>
      <c r="T263" t="s">
        <v>1361</v>
      </c>
      <c r="U263" s="4">
        <v>45590</v>
      </c>
      <c r="V263" s="4">
        <v>45593</v>
      </c>
      <c r="W263" t="b">
        <v>0</v>
      </c>
      <c r="Z263" t="s">
        <v>1390</v>
      </c>
      <c r="AA263" t="s">
        <v>1400</v>
      </c>
      <c r="AB263" t="s">
        <v>1383</v>
      </c>
    </row>
    <row r="264" spans="1:28" x14ac:dyDescent="0.3">
      <c r="A264" t="s">
        <v>244</v>
      </c>
      <c r="B264" s="6">
        <v>45429.523611111108</v>
      </c>
      <c r="C264" t="s">
        <v>245</v>
      </c>
      <c r="D264" t="s">
        <v>1182</v>
      </c>
      <c r="E264" t="s">
        <v>1207</v>
      </c>
      <c r="F264" t="s">
        <v>1143</v>
      </c>
      <c r="G264" t="s">
        <v>1177</v>
      </c>
      <c r="H264" t="s">
        <v>1195</v>
      </c>
      <c r="I264" t="s">
        <v>1196</v>
      </c>
      <c r="J264" t="s">
        <v>1197</v>
      </c>
      <c r="K264">
        <v>1</v>
      </c>
      <c r="L264">
        <v>2791</v>
      </c>
      <c r="M264">
        <v>0</v>
      </c>
      <c r="N264">
        <v>2791</v>
      </c>
      <c r="O264">
        <v>0.12</v>
      </c>
      <c r="P264">
        <v>2791</v>
      </c>
      <c r="Q264">
        <v>334.92</v>
      </c>
      <c r="R264">
        <v>3125.92</v>
      </c>
      <c r="S264" t="s">
        <v>1362</v>
      </c>
      <c r="T264" t="s">
        <v>1367</v>
      </c>
      <c r="U264" s="4">
        <v>45430</v>
      </c>
      <c r="W264" t="b">
        <v>0</v>
      </c>
      <c r="Z264" t="s">
        <v>1379</v>
      </c>
      <c r="AA264" t="s">
        <v>1387</v>
      </c>
      <c r="AB264" t="s">
        <v>1395</v>
      </c>
    </row>
    <row r="265" spans="1:28" x14ac:dyDescent="0.3">
      <c r="A265" t="s">
        <v>252</v>
      </c>
      <c r="B265" s="6">
        <v>45699.571527777778</v>
      </c>
      <c r="C265" t="s">
        <v>24</v>
      </c>
      <c r="D265" t="s">
        <v>1153</v>
      </c>
      <c r="E265" t="s">
        <v>1154</v>
      </c>
      <c r="F265" t="s">
        <v>1143</v>
      </c>
      <c r="G265" t="s">
        <v>1172</v>
      </c>
      <c r="H265" t="s">
        <v>1204</v>
      </c>
      <c r="I265" t="s">
        <v>1297</v>
      </c>
      <c r="J265" t="s">
        <v>1298</v>
      </c>
      <c r="K265">
        <v>2</v>
      </c>
      <c r="L265">
        <v>1529</v>
      </c>
      <c r="M265">
        <v>0.1</v>
      </c>
      <c r="N265">
        <v>1376.1</v>
      </c>
      <c r="O265">
        <v>0.12</v>
      </c>
      <c r="P265">
        <v>2752.2</v>
      </c>
      <c r="Q265">
        <v>330.26400000000001</v>
      </c>
      <c r="R265">
        <v>3082.4639999999999</v>
      </c>
      <c r="S265" t="s">
        <v>1363</v>
      </c>
      <c r="T265" t="s">
        <v>1361</v>
      </c>
      <c r="U265" s="4">
        <v>45700</v>
      </c>
      <c r="V265" s="4">
        <v>45701</v>
      </c>
      <c r="W265" t="b">
        <v>0</v>
      </c>
      <c r="Z265" t="s">
        <v>1392</v>
      </c>
      <c r="AA265" t="s">
        <v>1385</v>
      </c>
      <c r="AB265" t="s">
        <v>1389</v>
      </c>
    </row>
    <row r="266" spans="1:28" x14ac:dyDescent="0.3">
      <c r="A266" t="s">
        <v>254</v>
      </c>
      <c r="B266" s="6">
        <v>45701.600694444445</v>
      </c>
      <c r="C266" t="s">
        <v>160</v>
      </c>
      <c r="D266" t="s">
        <v>1157</v>
      </c>
      <c r="E266" t="s">
        <v>1201</v>
      </c>
      <c r="F266" t="s">
        <v>1143</v>
      </c>
      <c r="G266" t="s">
        <v>1177</v>
      </c>
      <c r="H266" t="s">
        <v>1236</v>
      </c>
      <c r="I266" t="s">
        <v>1237</v>
      </c>
      <c r="J266" t="s">
        <v>1238</v>
      </c>
      <c r="K266">
        <v>2</v>
      </c>
      <c r="L266">
        <v>747</v>
      </c>
      <c r="M266">
        <v>0</v>
      </c>
      <c r="N266">
        <v>747</v>
      </c>
      <c r="O266">
        <v>0.12</v>
      </c>
      <c r="P266">
        <v>1494</v>
      </c>
      <c r="Q266">
        <v>179.28</v>
      </c>
      <c r="R266">
        <v>1673.28</v>
      </c>
      <c r="S266" t="s">
        <v>1365</v>
      </c>
      <c r="T266" t="s">
        <v>1361</v>
      </c>
      <c r="U266" s="4">
        <v>45702</v>
      </c>
      <c r="V266" s="4">
        <v>45704</v>
      </c>
      <c r="W266" t="b">
        <v>0</v>
      </c>
      <c r="Z266" t="s">
        <v>1390</v>
      </c>
      <c r="AA266" t="s">
        <v>1399</v>
      </c>
      <c r="AB266" t="s">
        <v>1391</v>
      </c>
    </row>
    <row r="267" spans="1:28" x14ac:dyDescent="0.3">
      <c r="A267" t="s">
        <v>257</v>
      </c>
      <c r="B267" s="6">
        <v>45334.552083333336</v>
      </c>
      <c r="C267" t="s">
        <v>233</v>
      </c>
      <c r="D267" t="s">
        <v>1153</v>
      </c>
      <c r="E267" t="s">
        <v>1154</v>
      </c>
      <c r="F267" t="s">
        <v>1143</v>
      </c>
      <c r="G267" t="s">
        <v>1144</v>
      </c>
      <c r="H267" t="s">
        <v>1145</v>
      </c>
      <c r="I267" t="s">
        <v>1146</v>
      </c>
      <c r="J267" t="s">
        <v>1147</v>
      </c>
      <c r="K267">
        <v>3</v>
      </c>
      <c r="L267">
        <v>11741</v>
      </c>
      <c r="M267">
        <v>0.1</v>
      </c>
      <c r="N267">
        <v>10566.9</v>
      </c>
      <c r="O267">
        <v>0.05</v>
      </c>
      <c r="P267">
        <v>31700.7</v>
      </c>
      <c r="Q267">
        <v>1585.0350000000001</v>
      </c>
      <c r="R267">
        <v>33285.735000000001</v>
      </c>
      <c r="S267" t="s">
        <v>1362</v>
      </c>
      <c r="T267" t="s">
        <v>1361</v>
      </c>
      <c r="U267" s="4">
        <v>45336</v>
      </c>
      <c r="V267" s="4">
        <v>45340</v>
      </c>
      <c r="W267" t="b">
        <v>0</v>
      </c>
      <c r="Z267" t="s">
        <v>1390</v>
      </c>
      <c r="AA267" t="s">
        <v>1387</v>
      </c>
      <c r="AB267" t="s">
        <v>1380</v>
      </c>
    </row>
    <row r="268" spans="1:28" x14ac:dyDescent="0.3">
      <c r="A268" t="s">
        <v>265</v>
      </c>
      <c r="B268" s="6">
        <v>45557.464583333334</v>
      </c>
      <c r="C268" t="s">
        <v>189</v>
      </c>
      <c r="D268" t="s">
        <v>1182</v>
      </c>
      <c r="E268" t="s">
        <v>1207</v>
      </c>
      <c r="F268" t="s">
        <v>1143</v>
      </c>
      <c r="G268" t="s">
        <v>1167</v>
      </c>
      <c r="H268" t="s">
        <v>1168</v>
      </c>
      <c r="I268" t="s">
        <v>1169</v>
      </c>
      <c r="J268" t="s">
        <v>1170</v>
      </c>
      <c r="K268">
        <v>1</v>
      </c>
      <c r="L268">
        <v>14196</v>
      </c>
      <c r="M268">
        <v>0.05</v>
      </c>
      <c r="N268">
        <v>13486.2</v>
      </c>
      <c r="O268">
        <v>0.05</v>
      </c>
      <c r="P268">
        <v>13486.2</v>
      </c>
      <c r="Q268">
        <v>674.31</v>
      </c>
      <c r="R268">
        <v>14160.51</v>
      </c>
      <c r="S268" t="s">
        <v>1362</v>
      </c>
      <c r="T268" t="s">
        <v>1369</v>
      </c>
      <c r="W268" t="b">
        <v>0</v>
      </c>
      <c r="Z268" t="s">
        <v>1390</v>
      </c>
      <c r="AA268" t="s">
        <v>1385</v>
      </c>
      <c r="AB268" t="s">
        <v>1380</v>
      </c>
    </row>
    <row r="269" spans="1:28" x14ac:dyDescent="0.3">
      <c r="A269" t="s">
        <v>266</v>
      </c>
      <c r="B269" s="6">
        <v>45423.540277777778</v>
      </c>
      <c r="C269" t="s">
        <v>267</v>
      </c>
      <c r="D269" t="s">
        <v>1148</v>
      </c>
      <c r="E269" t="s">
        <v>1217</v>
      </c>
      <c r="F269" t="s">
        <v>1143</v>
      </c>
      <c r="G269" t="s">
        <v>1144</v>
      </c>
      <c r="H269" t="s">
        <v>1159</v>
      </c>
      <c r="I269" t="s">
        <v>1160</v>
      </c>
      <c r="J269" t="s">
        <v>1161</v>
      </c>
      <c r="K269">
        <v>4</v>
      </c>
      <c r="L269">
        <v>4071</v>
      </c>
      <c r="M269">
        <v>0.1</v>
      </c>
      <c r="N269">
        <v>3663.9</v>
      </c>
      <c r="O269">
        <v>0.12</v>
      </c>
      <c r="P269">
        <v>14655.6</v>
      </c>
      <c r="Q269">
        <v>1758.672</v>
      </c>
      <c r="R269">
        <v>16414.272000000001</v>
      </c>
      <c r="S269" t="s">
        <v>1360</v>
      </c>
      <c r="T269" t="s">
        <v>1361</v>
      </c>
      <c r="U269" s="4">
        <v>45424</v>
      </c>
      <c r="V269" s="4">
        <v>45429</v>
      </c>
      <c r="W269" t="b">
        <v>0</v>
      </c>
      <c r="Z269" t="s">
        <v>1376</v>
      </c>
      <c r="AA269" t="s">
        <v>1377</v>
      </c>
      <c r="AB269" t="s">
        <v>1395</v>
      </c>
    </row>
    <row r="270" spans="1:28" x14ac:dyDescent="0.3">
      <c r="A270" t="s">
        <v>270</v>
      </c>
      <c r="B270" s="6">
        <v>45563.59097222222</v>
      </c>
      <c r="C270" t="s">
        <v>271</v>
      </c>
      <c r="D270" t="s">
        <v>1148</v>
      </c>
      <c r="E270" t="s">
        <v>1149</v>
      </c>
      <c r="F270" t="s">
        <v>1143</v>
      </c>
      <c r="G270" t="s">
        <v>1167</v>
      </c>
      <c r="H270" t="s">
        <v>1211</v>
      </c>
      <c r="I270" t="s">
        <v>1212</v>
      </c>
      <c r="J270" t="s">
        <v>1213</v>
      </c>
      <c r="K270">
        <v>1</v>
      </c>
      <c r="L270">
        <v>40181</v>
      </c>
      <c r="M270">
        <v>0</v>
      </c>
      <c r="N270">
        <v>40181</v>
      </c>
      <c r="O270">
        <v>0.18</v>
      </c>
      <c r="P270">
        <v>40181</v>
      </c>
      <c r="Q270">
        <v>7232.58</v>
      </c>
      <c r="R270">
        <v>47413.58</v>
      </c>
      <c r="S270" t="s">
        <v>1363</v>
      </c>
      <c r="T270" t="s">
        <v>1361</v>
      </c>
      <c r="U270" s="4">
        <v>45565</v>
      </c>
      <c r="V270" s="4">
        <v>45570</v>
      </c>
      <c r="W270" t="b">
        <v>0</v>
      </c>
      <c r="Z270" t="s">
        <v>1396</v>
      </c>
      <c r="AA270" t="s">
        <v>1397</v>
      </c>
      <c r="AB270" t="s">
        <v>1378</v>
      </c>
    </row>
    <row r="271" spans="1:28" x14ac:dyDescent="0.3">
      <c r="A271" t="s">
        <v>274</v>
      </c>
      <c r="B271" s="6">
        <v>45324.520138888889</v>
      </c>
      <c r="C271" t="s">
        <v>275</v>
      </c>
      <c r="D271" t="s">
        <v>1141</v>
      </c>
      <c r="E271" t="s">
        <v>1227</v>
      </c>
      <c r="F271" t="s">
        <v>1143</v>
      </c>
      <c r="G271" t="s">
        <v>1177</v>
      </c>
      <c r="H271" t="s">
        <v>1192</v>
      </c>
      <c r="I271" t="s">
        <v>1283</v>
      </c>
      <c r="J271" t="s">
        <v>1284</v>
      </c>
      <c r="K271">
        <v>3</v>
      </c>
      <c r="L271">
        <v>1427</v>
      </c>
      <c r="M271">
        <v>0</v>
      </c>
      <c r="N271">
        <v>1427</v>
      </c>
      <c r="O271">
        <v>0.05</v>
      </c>
      <c r="P271">
        <v>4281</v>
      </c>
      <c r="Q271">
        <v>214.05</v>
      </c>
      <c r="R271">
        <v>4495.05</v>
      </c>
      <c r="S271" t="s">
        <v>1360</v>
      </c>
      <c r="T271" t="s">
        <v>1369</v>
      </c>
      <c r="W271" t="b">
        <v>0</v>
      </c>
      <c r="Z271" t="s">
        <v>1379</v>
      </c>
      <c r="AA271" t="s">
        <v>1377</v>
      </c>
      <c r="AB271" t="s">
        <v>1380</v>
      </c>
    </row>
    <row r="272" spans="1:28" x14ac:dyDescent="0.3">
      <c r="A272" t="s">
        <v>280</v>
      </c>
      <c r="B272" s="6">
        <v>45370.615277777775</v>
      </c>
      <c r="C272" t="s">
        <v>22</v>
      </c>
      <c r="D272" t="s">
        <v>1182</v>
      </c>
      <c r="E272" t="s">
        <v>1183</v>
      </c>
      <c r="F272" t="s">
        <v>1143</v>
      </c>
      <c r="G272" t="s">
        <v>1163</v>
      </c>
      <c r="H272" t="s">
        <v>1164</v>
      </c>
      <c r="I272" t="s">
        <v>1324</v>
      </c>
      <c r="J272" t="s">
        <v>1325</v>
      </c>
      <c r="K272">
        <v>1</v>
      </c>
      <c r="L272">
        <v>681</v>
      </c>
      <c r="M272">
        <v>0</v>
      </c>
      <c r="N272">
        <v>681</v>
      </c>
      <c r="O272">
        <v>0.12</v>
      </c>
      <c r="P272">
        <v>681</v>
      </c>
      <c r="Q272">
        <v>81.72</v>
      </c>
      <c r="R272">
        <v>762.72</v>
      </c>
      <c r="S272" t="s">
        <v>1365</v>
      </c>
      <c r="T272" t="s">
        <v>1361</v>
      </c>
      <c r="U272" s="4">
        <v>45370</v>
      </c>
      <c r="V272" s="4">
        <v>45373</v>
      </c>
      <c r="W272" t="b">
        <v>0</v>
      </c>
      <c r="Z272" t="s">
        <v>1388</v>
      </c>
      <c r="AA272" t="s">
        <v>1387</v>
      </c>
      <c r="AB272" t="s">
        <v>1380</v>
      </c>
    </row>
    <row r="273" spans="1:28" x14ac:dyDescent="0.3">
      <c r="A273" t="s">
        <v>282</v>
      </c>
      <c r="B273" s="6">
        <v>45444.652083333334</v>
      </c>
      <c r="C273" t="s">
        <v>283</v>
      </c>
      <c r="D273" t="s">
        <v>1148</v>
      </c>
      <c r="E273" t="s">
        <v>1262</v>
      </c>
      <c r="F273" t="s">
        <v>1143</v>
      </c>
      <c r="G273" t="s">
        <v>1144</v>
      </c>
      <c r="H273" t="s">
        <v>1159</v>
      </c>
      <c r="I273" t="s">
        <v>1272</v>
      </c>
      <c r="J273" t="s">
        <v>1273</v>
      </c>
      <c r="K273">
        <v>1</v>
      </c>
      <c r="L273">
        <v>10048</v>
      </c>
      <c r="M273">
        <v>0.05</v>
      </c>
      <c r="N273">
        <v>9545.6</v>
      </c>
      <c r="O273">
        <v>0.12</v>
      </c>
      <c r="P273">
        <v>9545.6</v>
      </c>
      <c r="Q273">
        <v>1145.472</v>
      </c>
      <c r="R273">
        <v>10691.072</v>
      </c>
      <c r="S273" t="s">
        <v>1360</v>
      </c>
      <c r="T273" t="s">
        <v>1364</v>
      </c>
      <c r="U273" s="4">
        <v>45444</v>
      </c>
      <c r="W273" t="b">
        <v>1</v>
      </c>
      <c r="X273" s="4">
        <v>45459</v>
      </c>
      <c r="Y273" s="4">
        <v>45459</v>
      </c>
      <c r="Z273" t="s">
        <v>1398</v>
      </c>
      <c r="AA273" t="s">
        <v>1399</v>
      </c>
      <c r="AB273" t="s">
        <v>1389</v>
      </c>
    </row>
    <row r="274" spans="1:28" x14ac:dyDescent="0.3">
      <c r="A274" t="s">
        <v>286</v>
      </c>
      <c r="B274" s="6">
        <v>45638.678472222222</v>
      </c>
      <c r="C274" t="s">
        <v>88</v>
      </c>
      <c r="D274" t="s">
        <v>1148</v>
      </c>
      <c r="E274" t="s">
        <v>1262</v>
      </c>
      <c r="F274" t="s">
        <v>1143</v>
      </c>
      <c r="G274" t="s">
        <v>1144</v>
      </c>
      <c r="H274" t="s">
        <v>1214</v>
      </c>
      <c r="I274" t="s">
        <v>1252</v>
      </c>
      <c r="J274" t="s">
        <v>1253</v>
      </c>
      <c r="K274">
        <v>1</v>
      </c>
      <c r="L274">
        <v>4808</v>
      </c>
      <c r="M274">
        <v>0.15</v>
      </c>
      <c r="N274">
        <v>4086.8</v>
      </c>
      <c r="O274">
        <v>0.18</v>
      </c>
      <c r="P274">
        <v>4086.8</v>
      </c>
      <c r="Q274">
        <v>735.62399999999991</v>
      </c>
      <c r="R274">
        <v>4822.424</v>
      </c>
      <c r="S274" t="s">
        <v>1360</v>
      </c>
      <c r="T274" t="s">
        <v>1361</v>
      </c>
      <c r="U274" s="4">
        <v>45639</v>
      </c>
      <c r="V274" s="4">
        <v>45640</v>
      </c>
      <c r="W274" t="b">
        <v>0</v>
      </c>
      <c r="Z274" t="s">
        <v>1384</v>
      </c>
      <c r="AA274" t="s">
        <v>1394</v>
      </c>
      <c r="AB274" t="s">
        <v>1393</v>
      </c>
    </row>
    <row r="275" spans="1:28" x14ac:dyDescent="0.3">
      <c r="A275" t="s">
        <v>291</v>
      </c>
      <c r="B275" s="6">
        <v>45500.566666666666</v>
      </c>
      <c r="C275" t="s">
        <v>53</v>
      </c>
      <c r="D275" t="s">
        <v>1141</v>
      </c>
      <c r="E275" t="s">
        <v>1227</v>
      </c>
      <c r="F275" t="s">
        <v>1143</v>
      </c>
      <c r="G275" t="s">
        <v>1163</v>
      </c>
      <c r="H275" t="s">
        <v>1164</v>
      </c>
      <c r="I275" t="s">
        <v>1324</v>
      </c>
      <c r="J275" t="s">
        <v>1325</v>
      </c>
      <c r="K275">
        <v>1</v>
      </c>
      <c r="L275">
        <v>206</v>
      </c>
      <c r="M275">
        <v>0.05</v>
      </c>
      <c r="N275">
        <v>195.7</v>
      </c>
      <c r="O275">
        <v>0.12</v>
      </c>
      <c r="P275">
        <v>195.7</v>
      </c>
      <c r="Q275">
        <v>23.484000000000002</v>
      </c>
      <c r="R275">
        <v>219.184</v>
      </c>
      <c r="S275" t="s">
        <v>1360</v>
      </c>
      <c r="T275" t="s">
        <v>1361</v>
      </c>
      <c r="U275" s="4">
        <v>45500</v>
      </c>
      <c r="V275" s="4">
        <v>45501</v>
      </c>
      <c r="W275" t="b">
        <v>0</v>
      </c>
      <c r="Z275" t="s">
        <v>1382</v>
      </c>
      <c r="AA275" t="s">
        <v>1400</v>
      </c>
      <c r="AB275" t="s">
        <v>1391</v>
      </c>
    </row>
    <row r="276" spans="1:28" x14ac:dyDescent="0.3">
      <c r="A276" t="s">
        <v>292</v>
      </c>
      <c r="B276" s="6">
        <v>45504.561111111114</v>
      </c>
      <c r="C276" t="s">
        <v>229</v>
      </c>
      <c r="D276" t="s">
        <v>1148</v>
      </c>
      <c r="E276" t="s">
        <v>1149</v>
      </c>
      <c r="F276" t="s">
        <v>1143</v>
      </c>
      <c r="G276" t="s">
        <v>1144</v>
      </c>
      <c r="H276" t="s">
        <v>1214</v>
      </c>
      <c r="I276" t="s">
        <v>1320</v>
      </c>
      <c r="J276" t="s">
        <v>1321</v>
      </c>
      <c r="K276">
        <v>3</v>
      </c>
      <c r="L276">
        <v>9575</v>
      </c>
      <c r="M276">
        <v>0</v>
      </c>
      <c r="N276">
        <v>9575</v>
      </c>
      <c r="O276">
        <v>0.05</v>
      </c>
      <c r="P276">
        <v>28725</v>
      </c>
      <c r="Q276">
        <v>1436.25</v>
      </c>
      <c r="R276">
        <v>30161.25</v>
      </c>
      <c r="S276" t="s">
        <v>1363</v>
      </c>
      <c r="T276" t="s">
        <v>1361</v>
      </c>
      <c r="U276" s="4">
        <v>45506</v>
      </c>
      <c r="V276" s="4">
        <v>45510</v>
      </c>
      <c r="W276" t="b">
        <v>0</v>
      </c>
      <c r="Z276" t="s">
        <v>1398</v>
      </c>
      <c r="AA276" t="s">
        <v>1397</v>
      </c>
      <c r="AB276" t="s">
        <v>1383</v>
      </c>
    </row>
    <row r="277" spans="1:28" x14ac:dyDescent="0.3">
      <c r="A277" t="s">
        <v>295</v>
      </c>
      <c r="B277" s="6">
        <v>45405.507638888892</v>
      </c>
      <c r="C277" t="s">
        <v>296</v>
      </c>
      <c r="D277" t="s">
        <v>1157</v>
      </c>
      <c r="E277" t="s">
        <v>1181</v>
      </c>
      <c r="F277" t="s">
        <v>1143</v>
      </c>
      <c r="G277" t="s">
        <v>1144</v>
      </c>
      <c r="H277" t="s">
        <v>1276</v>
      </c>
      <c r="I277" t="s">
        <v>1307</v>
      </c>
      <c r="J277" t="s">
        <v>1308</v>
      </c>
      <c r="K277">
        <v>2</v>
      </c>
      <c r="L277">
        <v>11960</v>
      </c>
      <c r="M277">
        <v>0</v>
      </c>
      <c r="N277">
        <v>11960</v>
      </c>
      <c r="O277">
        <v>0.12</v>
      </c>
      <c r="P277">
        <v>23920</v>
      </c>
      <c r="Q277">
        <v>2870.4</v>
      </c>
      <c r="R277">
        <v>26790.400000000001</v>
      </c>
      <c r="S277" t="s">
        <v>1363</v>
      </c>
      <c r="T277" t="s">
        <v>1361</v>
      </c>
      <c r="U277" s="4">
        <v>45407</v>
      </c>
      <c r="V277" s="4">
        <v>45410</v>
      </c>
      <c r="W277" t="b">
        <v>0</v>
      </c>
      <c r="Z277" t="s">
        <v>1398</v>
      </c>
      <c r="AA277" t="s">
        <v>1399</v>
      </c>
      <c r="AB277" t="s">
        <v>1393</v>
      </c>
    </row>
    <row r="278" spans="1:28" x14ac:dyDescent="0.3">
      <c r="A278" t="s">
        <v>303</v>
      </c>
      <c r="B278" s="6">
        <v>45389.559027777781</v>
      </c>
      <c r="C278" t="s">
        <v>304</v>
      </c>
      <c r="D278" t="s">
        <v>1157</v>
      </c>
      <c r="E278" t="s">
        <v>1181</v>
      </c>
      <c r="F278" t="s">
        <v>1143</v>
      </c>
      <c r="G278" t="s">
        <v>1167</v>
      </c>
      <c r="H278" t="s">
        <v>1288</v>
      </c>
      <c r="I278" t="s">
        <v>1293</v>
      </c>
      <c r="J278" t="s">
        <v>1294</v>
      </c>
      <c r="K278">
        <v>3</v>
      </c>
      <c r="L278">
        <v>46250</v>
      </c>
      <c r="M278">
        <v>0</v>
      </c>
      <c r="N278">
        <v>46250</v>
      </c>
      <c r="O278">
        <v>0.12</v>
      </c>
      <c r="P278">
        <v>138750</v>
      </c>
      <c r="Q278">
        <v>16650</v>
      </c>
      <c r="R278">
        <v>155400</v>
      </c>
      <c r="S278" t="s">
        <v>1362</v>
      </c>
      <c r="T278" t="s">
        <v>1361</v>
      </c>
      <c r="U278" s="4">
        <v>45389</v>
      </c>
      <c r="V278" s="4">
        <v>45393</v>
      </c>
      <c r="W278" t="b">
        <v>0</v>
      </c>
      <c r="Z278" t="s">
        <v>1386</v>
      </c>
      <c r="AA278" t="s">
        <v>1400</v>
      </c>
      <c r="AB278" t="s">
        <v>1389</v>
      </c>
    </row>
    <row r="279" spans="1:28" x14ac:dyDescent="0.3">
      <c r="A279" t="s">
        <v>305</v>
      </c>
      <c r="B279" s="6">
        <v>45325.69027777778</v>
      </c>
      <c r="C279" t="s">
        <v>304</v>
      </c>
      <c r="D279" t="s">
        <v>1157</v>
      </c>
      <c r="E279" t="s">
        <v>1181</v>
      </c>
      <c r="F279" t="s">
        <v>1143</v>
      </c>
      <c r="G279" t="s">
        <v>1177</v>
      </c>
      <c r="H279" t="s">
        <v>1309</v>
      </c>
      <c r="I279" t="s">
        <v>1332</v>
      </c>
      <c r="J279" t="s">
        <v>1333</v>
      </c>
      <c r="K279">
        <v>2</v>
      </c>
      <c r="L279">
        <v>1087</v>
      </c>
      <c r="M279">
        <v>0</v>
      </c>
      <c r="N279">
        <v>1087</v>
      </c>
      <c r="O279">
        <v>0.12</v>
      </c>
      <c r="P279">
        <v>2174</v>
      </c>
      <c r="Q279">
        <v>260.88</v>
      </c>
      <c r="R279">
        <v>2434.88</v>
      </c>
      <c r="S279" t="s">
        <v>1363</v>
      </c>
      <c r="T279" t="s">
        <v>1361</v>
      </c>
      <c r="U279" s="4">
        <v>45326</v>
      </c>
      <c r="V279" s="4">
        <v>45328</v>
      </c>
      <c r="W279" t="b">
        <v>0</v>
      </c>
      <c r="Z279" t="s">
        <v>1386</v>
      </c>
      <c r="AA279" t="s">
        <v>1377</v>
      </c>
      <c r="AB279" t="s">
        <v>1380</v>
      </c>
    </row>
    <row r="280" spans="1:28" x14ac:dyDescent="0.3">
      <c r="A280" t="s">
        <v>306</v>
      </c>
      <c r="B280" s="6">
        <v>45759.676388888889</v>
      </c>
      <c r="C280" t="s">
        <v>18</v>
      </c>
      <c r="D280" t="s">
        <v>1153</v>
      </c>
      <c r="E280" t="s">
        <v>1176</v>
      </c>
      <c r="F280" t="s">
        <v>1143</v>
      </c>
      <c r="G280" t="s">
        <v>1177</v>
      </c>
      <c r="H280" t="s">
        <v>1192</v>
      </c>
      <c r="I280" t="s">
        <v>1283</v>
      </c>
      <c r="J280" t="s">
        <v>1284</v>
      </c>
      <c r="K280">
        <v>2</v>
      </c>
      <c r="L280">
        <v>1793</v>
      </c>
      <c r="M280">
        <v>0.05</v>
      </c>
      <c r="N280">
        <v>1703.35</v>
      </c>
      <c r="O280">
        <v>0.12</v>
      </c>
      <c r="P280">
        <v>3406.7</v>
      </c>
      <c r="Q280">
        <v>408.80399999999997</v>
      </c>
      <c r="R280">
        <v>3815.5039999999999</v>
      </c>
      <c r="S280" t="s">
        <v>1366</v>
      </c>
      <c r="T280" t="s">
        <v>1361</v>
      </c>
      <c r="U280" s="4">
        <v>45759</v>
      </c>
      <c r="V280" s="4">
        <v>45760</v>
      </c>
      <c r="W280" t="b">
        <v>0</v>
      </c>
      <c r="Z280" t="s">
        <v>1388</v>
      </c>
      <c r="AA280" t="s">
        <v>1385</v>
      </c>
      <c r="AB280" t="s">
        <v>1393</v>
      </c>
    </row>
    <row r="281" spans="1:28" x14ac:dyDescent="0.3">
      <c r="A281" t="s">
        <v>309</v>
      </c>
      <c r="B281" s="6">
        <v>45739.611805555556</v>
      </c>
      <c r="C281" t="s">
        <v>275</v>
      </c>
      <c r="D281" t="s">
        <v>1141</v>
      </c>
      <c r="E281" t="s">
        <v>1227</v>
      </c>
      <c r="F281" t="s">
        <v>1143</v>
      </c>
      <c r="G281" t="s">
        <v>1172</v>
      </c>
      <c r="H281" t="s">
        <v>1188</v>
      </c>
      <c r="I281" t="s">
        <v>1258</v>
      </c>
      <c r="J281" t="s">
        <v>1259</v>
      </c>
      <c r="K281">
        <v>3</v>
      </c>
      <c r="L281">
        <v>2835</v>
      </c>
      <c r="M281">
        <v>0.05</v>
      </c>
      <c r="N281">
        <v>2693.25</v>
      </c>
      <c r="O281">
        <v>0.05</v>
      </c>
      <c r="P281">
        <v>8079.75</v>
      </c>
      <c r="Q281">
        <v>403.98750000000001</v>
      </c>
      <c r="R281">
        <v>8483.7374999999993</v>
      </c>
      <c r="S281" t="s">
        <v>1363</v>
      </c>
      <c r="T281" t="s">
        <v>1361</v>
      </c>
      <c r="U281" s="4">
        <v>45739</v>
      </c>
      <c r="V281" s="4">
        <v>45740</v>
      </c>
      <c r="W281" t="b">
        <v>0</v>
      </c>
      <c r="Z281" t="s">
        <v>1388</v>
      </c>
      <c r="AA281" t="s">
        <v>1385</v>
      </c>
      <c r="AB281" t="s">
        <v>1380</v>
      </c>
    </row>
    <row r="282" spans="1:28" x14ac:dyDescent="0.3">
      <c r="A282" t="s">
        <v>314</v>
      </c>
      <c r="B282" s="6">
        <v>45578.481944444444</v>
      </c>
      <c r="C282" t="s">
        <v>65</v>
      </c>
      <c r="D282" t="s">
        <v>1141</v>
      </c>
      <c r="E282" t="s">
        <v>1142</v>
      </c>
      <c r="F282" t="s">
        <v>1143</v>
      </c>
      <c r="G282" t="s">
        <v>1163</v>
      </c>
      <c r="H282" t="s">
        <v>1184</v>
      </c>
      <c r="I282" t="s">
        <v>1260</v>
      </c>
      <c r="J282" t="s">
        <v>1261</v>
      </c>
      <c r="K282">
        <v>1</v>
      </c>
      <c r="L282">
        <v>604</v>
      </c>
      <c r="M282">
        <v>0</v>
      </c>
      <c r="N282">
        <v>604</v>
      </c>
      <c r="O282">
        <v>0.12</v>
      </c>
      <c r="P282">
        <v>604</v>
      </c>
      <c r="Q282">
        <v>72.48</v>
      </c>
      <c r="R282">
        <v>676.48</v>
      </c>
      <c r="S282" t="s">
        <v>1363</v>
      </c>
      <c r="T282" t="s">
        <v>1361</v>
      </c>
      <c r="U282" s="4">
        <v>45580</v>
      </c>
      <c r="V282" s="4">
        <v>45581</v>
      </c>
      <c r="W282" t="b">
        <v>0</v>
      </c>
      <c r="Z282" t="s">
        <v>1392</v>
      </c>
      <c r="AA282" t="s">
        <v>1400</v>
      </c>
      <c r="AB282" t="s">
        <v>1391</v>
      </c>
    </row>
    <row r="283" spans="1:28" x14ac:dyDescent="0.3">
      <c r="A283" t="s">
        <v>315</v>
      </c>
      <c r="B283" s="6">
        <v>45418.454861111109</v>
      </c>
      <c r="C283" t="s">
        <v>316</v>
      </c>
      <c r="D283" t="s">
        <v>1148</v>
      </c>
      <c r="E283" t="s">
        <v>1262</v>
      </c>
      <c r="F283" t="s">
        <v>1143</v>
      </c>
      <c r="G283" t="s">
        <v>1144</v>
      </c>
      <c r="H283" t="s">
        <v>1214</v>
      </c>
      <c r="I283" t="s">
        <v>1320</v>
      </c>
      <c r="J283" t="s">
        <v>1321</v>
      </c>
      <c r="K283">
        <v>3</v>
      </c>
      <c r="L283">
        <v>4347</v>
      </c>
      <c r="M283">
        <v>0.15</v>
      </c>
      <c r="N283">
        <v>3694.95</v>
      </c>
      <c r="O283">
        <v>0.12</v>
      </c>
      <c r="P283">
        <v>11084.85</v>
      </c>
      <c r="Q283">
        <v>1330.182</v>
      </c>
      <c r="R283">
        <v>12415.031999999999</v>
      </c>
      <c r="S283" t="s">
        <v>1363</v>
      </c>
      <c r="T283" t="s">
        <v>1361</v>
      </c>
      <c r="U283" s="4">
        <v>45420</v>
      </c>
      <c r="V283" s="4">
        <v>45425</v>
      </c>
      <c r="W283" t="b">
        <v>0</v>
      </c>
      <c r="Z283" t="s">
        <v>1384</v>
      </c>
      <c r="AA283" t="s">
        <v>1377</v>
      </c>
      <c r="AB283" t="s">
        <v>1395</v>
      </c>
    </row>
    <row r="284" spans="1:28" x14ac:dyDescent="0.3">
      <c r="A284" t="s">
        <v>317</v>
      </c>
      <c r="B284" s="6">
        <v>45359.427083333336</v>
      </c>
      <c r="C284" t="s">
        <v>318</v>
      </c>
      <c r="D284" t="s">
        <v>1153</v>
      </c>
      <c r="E284" t="s">
        <v>1176</v>
      </c>
      <c r="F284" t="s">
        <v>1143</v>
      </c>
      <c r="G284" t="s">
        <v>1172</v>
      </c>
      <c r="H284" t="s">
        <v>1204</v>
      </c>
      <c r="I284" t="s">
        <v>1205</v>
      </c>
      <c r="J284" t="s">
        <v>1206</v>
      </c>
      <c r="K284">
        <v>1</v>
      </c>
      <c r="L284">
        <v>7294</v>
      </c>
      <c r="M284">
        <v>0.15</v>
      </c>
      <c r="N284">
        <v>6199.9</v>
      </c>
      <c r="O284">
        <v>0.12</v>
      </c>
      <c r="P284">
        <v>6199.9</v>
      </c>
      <c r="Q284">
        <v>743.98799999999994</v>
      </c>
      <c r="R284">
        <v>6943.8879999999999</v>
      </c>
      <c r="S284" t="s">
        <v>1366</v>
      </c>
      <c r="T284" t="s">
        <v>1368</v>
      </c>
      <c r="U284" s="4">
        <v>45359</v>
      </c>
      <c r="W284" t="b">
        <v>0</v>
      </c>
      <c r="Z284" t="s">
        <v>1384</v>
      </c>
      <c r="AA284" t="s">
        <v>1397</v>
      </c>
      <c r="AB284" t="s">
        <v>1378</v>
      </c>
    </row>
    <row r="285" spans="1:28" x14ac:dyDescent="0.3">
      <c r="A285" t="s">
        <v>322</v>
      </c>
      <c r="B285" s="6">
        <v>45330.628472222219</v>
      </c>
      <c r="C285" t="s">
        <v>239</v>
      </c>
      <c r="D285" t="s">
        <v>1153</v>
      </c>
      <c r="E285" t="s">
        <v>1162</v>
      </c>
      <c r="F285" t="s">
        <v>1143</v>
      </c>
      <c r="G285" t="s">
        <v>1144</v>
      </c>
      <c r="H285" t="s">
        <v>1159</v>
      </c>
      <c r="I285" t="s">
        <v>1334</v>
      </c>
      <c r="J285" t="s">
        <v>1335</v>
      </c>
      <c r="K285">
        <v>2</v>
      </c>
      <c r="L285">
        <v>2886</v>
      </c>
      <c r="M285">
        <v>0.05</v>
      </c>
      <c r="N285">
        <v>2741.7</v>
      </c>
      <c r="O285">
        <v>0.18</v>
      </c>
      <c r="P285">
        <v>5483.4</v>
      </c>
      <c r="Q285">
        <v>987.01199999999994</v>
      </c>
      <c r="R285">
        <v>6470.4119999999994</v>
      </c>
      <c r="S285" t="s">
        <v>1365</v>
      </c>
      <c r="T285" t="s">
        <v>1369</v>
      </c>
      <c r="W285" t="b">
        <v>0</v>
      </c>
      <c r="Z285" t="s">
        <v>1376</v>
      </c>
      <c r="AA285" t="s">
        <v>1377</v>
      </c>
      <c r="AB285" t="s">
        <v>1389</v>
      </c>
    </row>
    <row r="286" spans="1:28" x14ac:dyDescent="0.3">
      <c r="A286" t="s">
        <v>326</v>
      </c>
      <c r="B286" s="6">
        <v>45679.654861111114</v>
      </c>
      <c r="C286" t="s">
        <v>173</v>
      </c>
      <c r="D286" t="s">
        <v>1153</v>
      </c>
      <c r="E286" t="s">
        <v>1176</v>
      </c>
      <c r="F286" t="s">
        <v>1143</v>
      </c>
      <c r="G286" t="s">
        <v>1172</v>
      </c>
      <c r="H286" t="s">
        <v>1229</v>
      </c>
      <c r="I286" t="s">
        <v>1295</v>
      </c>
      <c r="J286" t="s">
        <v>1296</v>
      </c>
      <c r="K286">
        <v>2</v>
      </c>
      <c r="L286">
        <v>3638</v>
      </c>
      <c r="M286">
        <v>0</v>
      </c>
      <c r="N286">
        <v>3638</v>
      </c>
      <c r="O286">
        <v>0.18</v>
      </c>
      <c r="P286">
        <v>7276</v>
      </c>
      <c r="Q286">
        <v>1309.68</v>
      </c>
      <c r="R286">
        <v>8585.68</v>
      </c>
      <c r="S286" t="s">
        <v>1362</v>
      </c>
      <c r="T286" t="s">
        <v>1367</v>
      </c>
      <c r="U286" s="4">
        <v>45681</v>
      </c>
      <c r="W286" t="b">
        <v>0</v>
      </c>
      <c r="Z286" t="s">
        <v>1390</v>
      </c>
      <c r="AA286" t="s">
        <v>1377</v>
      </c>
      <c r="AB286" t="s">
        <v>1395</v>
      </c>
    </row>
    <row r="287" spans="1:28" x14ac:dyDescent="0.3">
      <c r="A287" t="s">
        <v>327</v>
      </c>
      <c r="B287" s="6">
        <v>45716.50277777778</v>
      </c>
      <c r="C287" t="s">
        <v>328</v>
      </c>
      <c r="D287" t="s">
        <v>1148</v>
      </c>
      <c r="E287" t="s">
        <v>1149</v>
      </c>
      <c r="F287" t="s">
        <v>1143</v>
      </c>
      <c r="G287" t="s">
        <v>1167</v>
      </c>
      <c r="H287" t="s">
        <v>1263</v>
      </c>
      <c r="I287" t="s">
        <v>1274</v>
      </c>
      <c r="J287" t="s">
        <v>1275</v>
      </c>
      <c r="K287">
        <v>2</v>
      </c>
      <c r="L287">
        <v>5850</v>
      </c>
      <c r="M287">
        <v>0.05</v>
      </c>
      <c r="N287">
        <v>5557.5</v>
      </c>
      <c r="O287">
        <v>0.18</v>
      </c>
      <c r="P287">
        <v>11115</v>
      </c>
      <c r="Q287">
        <v>2000.7</v>
      </c>
      <c r="R287">
        <v>13115.7</v>
      </c>
      <c r="S287" t="s">
        <v>1360</v>
      </c>
      <c r="T287" t="s">
        <v>1369</v>
      </c>
      <c r="W287" t="b">
        <v>0</v>
      </c>
      <c r="Z287" t="s">
        <v>1382</v>
      </c>
      <c r="AA287" t="s">
        <v>1394</v>
      </c>
      <c r="AB287" t="s">
        <v>1389</v>
      </c>
    </row>
    <row r="288" spans="1:28" x14ac:dyDescent="0.3">
      <c r="A288" t="s">
        <v>332</v>
      </c>
      <c r="B288" s="6">
        <v>45636.518055555556</v>
      </c>
      <c r="C288" t="s">
        <v>40</v>
      </c>
      <c r="D288" t="s">
        <v>1141</v>
      </c>
      <c r="E288" t="s">
        <v>1142</v>
      </c>
      <c r="F288" t="s">
        <v>1143</v>
      </c>
      <c r="G288" t="s">
        <v>1177</v>
      </c>
      <c r="H288" t="s">
        <v>1309</v>
      </c>
      <c r="I288" t="s">
        <v>1328</v>
      </c>
      <c r="J288" t="s">
        <v>1329</v>
      </c>
      <c r="K288">
        <v>2</v>
      </c>
      <c r="L288">
        <v>2688</v>
      </c>
      <c r="M288">
        <v>0.05</v>
      </c>
      <c r="N288">
        <v>2553.6</v>
      </c>
      <c r="O288">
        <v>0.18</v>
      </c>
      <c r="P288">
        <v>5107.2</v>
      </c>
      <c r="Q288">
        <v>919.29599999999994</v>
      </c>
      <c r="R288">
        <v>6026.4960000000001</v>
      </c>
      <c r="S288" t="s">
        <v>1363</v>
      </c>
      <c r="T288" t="s">
        <v>1367</v>
      </c>
      <c r="U288" s="4">
        <v>45637</v>
      </c>
      <c r="W288" t="b">
        <v>0</v>
      </c>
      <c r="Z288" t="s">
        <v>1396</v>
      </c>
      <c r="AA288" t="s">
        <v>1394</v>
      </c>
      <c r="AB288" t="s">
        <v>1393</v>
      </c>
    </row>
    <row r="289" spans="1:28" x14ac:dyDescent="0.3">
      <c r="A289" t="s">
        <v>336</v>
      </c>
      <c r="B289" s="6">
        <v>45516.543055555558</v>
      </c>
      <c r="C289" t="s">
        <v>55</v>
      </c>
      <c r="D289" t="s">
        <v>1157</v>
      </c>
      <c r="E289" t="s">
        <v>1158</v>
      </c>
      <c r="F289" t="s">
        <v>1143</v>
      </c>
      <c r="G289" t="s">
        <v>1172</v>
      </c>
      <c r="H289" t="s">
        <v>1173</v>
      </c>
      <c r="I289" t="s">
        <v>1174</v>
      </c>
      <c r="J289" t="s">
        <v>1175</v>
      </c>
      <c r="K289">
        <v>1</v>
      </c>
      <c r="L289">
        <v>5985</v>
      </c>
      <c r="M289">
        <v>0.1</v>
      </c>
      <c r="N289">
        <v>5386.5</v>
      </c>
      <c r="O289">
        <v>0.12</v>
      </c>
      <c r="P289">
        <v>5386.5</v>
      </c>
      <c r="Q289">
        <v>646.38</v>
      </c>
      <c r="R289">
        <v>6032.88</v>
      </c>
      <c r="S289" t="s">
        <v>1366</v>
      </c>
      <c r="T289" t="s">
        <v>1367</v>
      </c>
      <c r="U289" s="4">
        <v>45517</v>
      </c>
      <c r="W289" t="b">
        <v>0</v>
      </c>
      <c r="Z289" t="s">
        <v>1398</v>
      </c>
      <c r="AA289" t="s">
        <v>1400</v>
      </c>
      <c r="AB289" t="s">
        <v>1380</v>
      </c>
    </row>
    <row r="290" spans="1:28" x14ac:dyDescent="0.3">
      <c r="A290" t="s">
        <v>337</v>
      </c>
      <c r="B290" s="6">
        <v>45476.54791666667</v>
      </c>
      <c r="C290" t="s">
        <v>111</v>
      </c>
      <c r="D290" t="s">
        <v>1153</v>
      </c>
      <c r="E290" t="s">
        <v>1162</v>
      </c>
      <c r="F290" t="s">
        <v>1143</v>
      </c>
      <c r="G290" t="s">
        <v>1177</v>
      </c>
      <c r="H290" t="s">
        <v>1236</v>
      </c>
      <c r="I290" t="s">
        <v>1237</v>
      </c>
      <c r="J290" t="s">
        <v>1238</v>
      </c>
      <c r="K290">
        <v>1</v>
      </c>
      <c r="L290">
        <v>2151</v>
      </c>
      <c r="M290">
        <v>0</v>
      </c>
      <c r="N290">
        <v>2151</v>
      </c>
      <c r="O290">
        <v>0.18</v>
      </c>
      <c r="P290">
        <v>2151</v>
      </c>
      <c r="Q290">
        <v>387.18</v>
      </c>
      <c r="R290">
        <v>2538.1799999999998</v>
      </c>
      <c r="S290" t="s">
        <v>1363</v>
      </c>
      <c r="T290" t="s">
        <v>1364</v>
      </c>
      <c r="U290" s="4">
        <v>45476</v>
      </c>
      <c r="W290" t="b">
        <v>1</v>
      </c>
      <c r="X290" s="4">
        <v>45486</v>
      </c>
      <c r="Y290" s="4">
        <v>45486</v>
      </c>
      <c r="Z290" t="s">
        <v>1398</v>
      </c>
      <c r="AA290" t="s">
        <v>1394</v>
      </c>
      <c r="AB290" t="s">
        <v>1395</v>
      </c>
    </row>
    <row r="291" spans="1:28" x14ac:dyDescent="0.3">
      <c r="A291" t="s">
        <v>340</v>
      </c>
      <c r="B291" s="6">
        <v>45530.552083333336</v>
      </c>
      <c r="C291" t="s">
        <v>341</v>
      </c>
      <c r="D291" t="s">
        <v>1141</v>
      </c>
      <c r="E291" t="s">
        <v>1142</v>
      </c>
      <c r="F291" t="s">
        <v>1143</v>
      </c>
      <c r="G291" t="s">
        <v>1167</v>
      </c>
      <c r="H291" t="s">
        <v>1168</v>
      </c>
      <c r="I291" t="s">
        <v>1312</v>
      </c>
      <c r="J291" t="s">
        <v>1313</v>
      </c>
      <c r="K291">
        <v>1</v>
      </c>
      <c r="L291">
        <v>40804</v>
      </c>
      <c r="M291">
        <v>0.05</v>
      </c>
      <c r="N291">
        <v>38763.800000000003</v>
      </c>
      <c r="O291">
        <v>0.18</v>
      </c>
      <c r="P291">
        <v>38763.800000000003</v>
      </c>
      <c r="Q291">
        <v>6977.4839999999986</v>
      </c>
      <c r="R291">
        <v>45741.283999999992</v>
      </c>
      <c r="S291" t="s">
        <v>1362</v>
      </c>
      <c r="T291" t="s">
        <v>1361</v>
      </c>
      <c r="U291" s="4">
        <v>45530</v>
      </c>
      <c r="V291" s="4">
        <v>45534</v>
      </c>
      <c r="W291" t="b">
        <v>0</v>
      </c>
      <c r="Z291" t="s">
        <v>1382</v>
      </c>
      <c r="AA291" t="s">
        <v>1394</v>
      </c>
      <c r="AB291" t="s">
        <v>1383</v>
      </c>
    </row>
    <row r="292" spans="1:28" x14ac:dyDescent="0.3">
      <c r="A292" t="s">
        <v>345</v>
      </c>
      <c r="B292" s="6">
        <v>45426.688888888886</v>
      </c>
      <c r="C292" t="s">
        <v>346</v>
      </c>
      <c r="D292" t="s">
        <v>1153</v>
      </c>
      <c r="E292" t="s">
        <v>1162</v>
      </c>
      <c r="F292" t="s">
        <v>1143</v>
      </c>
      <c r="G292" t="s">
        <v>1172</v>
      </c>
      <c r="H292" t="s">
        <v>1188</v>
      </c>
      <c r="I292" t="s">
        <v>1232</v>
      </c>
      <c r="J292" t="s">
        <v>1233</v>
      </c>
      <c r="K292">
        <v>3</v>
      </c>
      <c r="L292">
        <v>6592</v>
      </c>
      <c r="M292">
        <v>0</v>
      </c>
      <c r="N292">
        <v>6592</v>
      </c>
      <c r="O292">
        <v>0.12</v>
      </c>
      <c r="P292">
        <v>19776</v>
      </c>
      <c r="Q292">
        <v>2373.12</v>
      </c>
      <c r="R292">
        <v>22149.119999999999</v>
      </c>
      <c r="S292" t="s">
        <v>1360</v>
      </c>
      <c r="T292" t="s">
        <v>1361</v>
      </c>
      <c r="U292" s="4">
        <v>45427</v>
      </c>
      <c r="V292" s="4">
        <v>45430</v>
      </c>
      <c r="W292" t="b">
        <v>0</v>
      </c>
      <c r="Z292" t="s">
        <v>1396</v>
      </c>
      <c r="AA292" t="s">
        <v>1385</v>
      </c>
      <c r="AB292" t="s">
        <v>1383</v>
      </c>
    </row>
    <row r="293" spans="1:28" x14ac:dyDescent="0.3">
      <c r="A293" t="s">
        <v>347</v>
      </c>
      <c r="B293" s="6">
        <v>45670.681250000001</v>
      </c>
      <c r="C293" t="s">
        <v>218</v>
      </c>
      <c r="D293" t="s">
        <v>1153</v>
      </c>
      <c r="E293" t="s">
        <v>1191</v>
      </c>
      <c r="F293" t="s">
        <v>1143</v>
      </c>
      <c r="G293" t="s">
        <v>1172</v>
      </c>
      <c r="H293" t="s">
        <v>1173</v>
      </c>
      <c r="I293" t="s">
        <v>1174</v>
      </c>
      <c r="J293" t="s">
        <v>1175</v>
      </c>
      <c r="K293">
        <v>1</v>
      </c>
      <c r="L293">
        <v>1133</v>
      </c>
      <c r="M293">
        <v>0</v>
      </c>
      <c r="N293">
        <v>1133</v>
      </c>
      <c r="O293">
        <v>0.12</v>
      </c>
      <c r="P293">
        <v>1133</v>
      </c>
      <c r="Q293">
        <v>135.96</v>
      </c>
      <c r="R293">
        <v>1268.96</v>
      </c>
      <c r="S293" t="s">
        <v>1363</v>
      </c>
      <c r="T293" t="s">
        <v>1361</v>
      </c>
      <c r="U293" s="4">
        <v>45670</v>
      </c>
      <c r="V293" s="4">
        <v>45672</v>
      </c>
      <c r="W293" t="b">
        <v>0</v>
      </c>
      <c r="Z293" t="s">
        <v>1398</v>
      </c>
      <c r="AA293" t="s">
        <v>1397</v>
      </c>
      <c r="AB293" t="s">
        <v>1380</v>
      </c>
    </row>
    <row r="294" spans="1:28" x14ac:dyDescent="0.3">
      <c r="A294" t="s">
        <v>348</v>
      </c>
      <c r="B294" s="6">
        <v>45406.681944444441</v>
      </c>
      <c r="C294" t="s">
        <v>300</v>
      </c>
      <c r="D294" t="s">
        <v>1157</v>
      </c>
      <c r="E294" t="s">
        <v>1201</v>
      </c>
      <c r="F294" t="s">
        <v>1143</v>
      </c>
      <c r="G294" t="s">
        <v>1144</v>
      </c>
      <c r="H294" t="s">
        <v>1276</v>
      </c>
      <c r="I294" t="s">
        <v>1286</v>
      </c>
      <c r="J294" t="s">
        <v>1287</v>
      </c>
      <c r="K294">
        <v>1</v>
      </c>
      <c r="L294">
        <v>14458</v>
      </c>
      <c r="M294">
        <v>0</v>
      </c>
      <c r="N294">
        <v>14458</v>
      </c>
      <c r="O294">
        <v>0.18</v>
      </c>
      <c r="P294">
        <v>14458</v>
      </c>
      <c r="Q294">
        <v>2602.44</v>
      </c>
      <c r="R294">
        <v>17060.439999999999</v>
      </c>
      <c r="S294" t="s">
        <v>1365</v>
      </c>
      <c r="T294" t="s">
        <v>1361</v>
      </c>
      <c r="U294" s="4">
        <v>45407</v>
      </c>
      <c r="V294" s="4">
        <v>45409</v>
      </c>
      <c r="W294" t="b">
        <v>0</v>
      </c>
      <c r="Z294" t="s">
        <v>1392</v>
      </c>
      <c r="AA294" t="s">
        <v>1400</v>
      </c>
      <c r="AB294" t="s">
        <v>1395</v>
      </c>
    </row>
    <row r="295" spans="1:28" x14ac:dyDescent="0.3">
      <c r="A295" t="s">
        <v>349</v>
      </c>
      <c r="B295" s="6">
        <v>45329.415277777778</v>
      </c>
      <c r="C295" t="s">
        <v>262</v>
      </c>
      <c r="D295" t="s">
        <v>1141</v>
      </c>
      <c r="E295" t="s">
        <v>1142</v>
      </c>
      <c r="F295" t="s">
        <v>1143</v>
      </c>
      <c r="G295" t="s">
        <v>1144</v>
      </c>
      <c r="H295" t="s">
        <v>1159</v>
      </c>
      <c r="I295" t="s">
        <v>1334</v>
      </c>
      <c r="J295" t="s">
        <v>1335</v>
      </c>
      <c r="K295">
        <v>3</v>
      </c>
      <c r="L295">
        <v>13916</v>
      </c>
      <c r="M295">
        <v>0.05</v>
      </c>
      <c r="N295">
        <v>13220.2</v>
      </c>
      <c r="O295">
        <v>0.18</v>
      </c>
      <c r="P295">
        <v>39660.6</v>
      </c>
      <c r="Q295">
        <v>7138.9079999999994</v>
      </c>
      <c r="R295">
        <v>46799.508000000002</v>
      </c>
      <c r="S295" t="s">
        <v>1366</v>
      </c>
      <c r="T295" t="s">
        <v>1361</v>
      </c>
      <c r="U295" s="4">
        <v>45331</v>
      </c>
      <c r="V295" s="4">
        <v>45336</v>
      </c>
      <c r="W295" t="b">
        <v>0</v>
      </c>
      <c r="Z295" t="s">
        <v>1384</v>
      </c>
      <c r="AA295" t="s">
        <v>1394</v>
      </c>
      <c r="AB295" t="s">
        <v>1378</v>
      </c>
    </row>
    <row r="296" spans="1:28" x14ac:dyDescent="0.3">
      <c r="A296" t="s">
        <v>356</v>
      </c>
      <c r="B296" s="6">
        <v>45307.62222222222</v>
      </c>
      <c r="C296" t="s">
        <v>325</v>
      </c>
      <c r="D296" t="s">
        <v>1153</v>
      </c>
      <c r="E296" t="s">
        <v>1154</v>
      </c>
      <c r="F296" t="s">
        <v>1143</v>
      </c>
      <c r="G296" t="s">
        <v>1163</v>
      </c>
      <c r="H296" t="s">
        <v>1184</v>
      </c>
      <c r="I296" t="s">
        <v>1245</v>
      </c>
      <c r="J296" t="s">
        <v>1246</v>
      </c>
      <c r="K296">
        <v>3</v>
      </c>
      <c r="L296">
        <v>538</v>
      </c>
      <c r="M296">
        <v>0</v>
      </c>
      <c r="N296">
        <v>538</v>
      </c>
      <c r="O296">
        <v>0.18</v>
      </c>
      <c r="P296">
        <v>1614</v>
      </c>
      <c r="Q296">
        <v>290.52</v>
      </c>
      <c r="R296">
        <v>1904.52</v>
      </c>
      <c r="S296" t="s">
        <v>1363</v>
      </c>
      <c r="T296" t="s">
        <v>1367</v>
      </c>
      <c r="U296" s="4">
        <v>45309</v>
      </c>
      <c r="W296" t="b">
        <v>0</v>
      </c>
      <c r="Z296" t="s">
        <v>1386</v>
      </c>
      <c r="AA296" t="s">
        <v>1397</v>
      </c>
      <c r="AB296" t="s">
        <v>1395</v>
      </c>
    </row>
    <row r="297" spans="1:28" x14ac:dyDescent="0.3">
      <c r="A297" t="s">
        <v>357</v>
      </c>
      <c r="B297" s="6">
        <v>45664.57916666667</v>
      </c>
      <c r="C297" t="s">
        <v>83</v>
      </c>
      <c r="D297" t="s">
        <v>1141</v>
      </c>
      <c r="E297" t="s">
        <v>1239</v>
      </c>
      <c r="F297" t="s">
        <v>1143</v>
      </c>
      <c r="G297" t="s">
        <v>1144</v>
      </c>
      <c r="H297" t="s">
        <v>1159</v>
      </c>
      <c r="I297" t="s">
        <v>1272</v>
      </c>
      <c r="J297" t="s">
        <v>1273</v>
      </c>
      <c r="K297">
        <v>2</v>
      </c>
      <c r="L297">
        <v>7192</v>
      </c>
      <c r="M297">
        <v>0</v>
      </c>
      <c r="N297">
        <v>7192</v>
      </c>
      <c r="O297">
        <v>0.18</v>
      </c>
      <c r="P297">
        <v>14384</v>
      </c>
      <c r="Q297">
        <v>2589.12</v>
      </c>
      <c r="R297">
        <v>16973.12</v>
      </c>
      <c r="S297" t="s">
        <v>1363</v>
      </c>
      <c r="T297" t="s">
        <v>1367</v>
      </c>
      <c r="U297" s="4">
        <v>45664</v>
      </c>
      <c r="W297" t="b">
        <v>0</v>
      </c>
      <c r="Z297" t="s">
        <v>1382</v>
      </c>
      <c r="AA297" t="s">
        <v>1399</v>
      </c>
      <c r="AB297" t="s">
        <v>1383</v>
      </c>
    </row>
    <row r="298" spans="1:28" x14ac:dyDescent="0.3">
      <c r="A298" t="s">
        <v>367</v>
      </c>
      <c r="B298" s="6">
        <v>45456.47152777778</v>
      </c>
      <c r="C298" t="s">
        <v>368</v>
      </c>
      <c r="D298" t="s">
        <v>1153</v>
      </c>
      <c r="E298" t="s">
        <v>1191</v>
      </c>
      <c r="F298" t="s">
        <v>1143</v>
      </c>
      <c r="G298" t="s">
        <v>1167</v>
      </c>
      <c r="H298" t="s">
        <v>1288</v>
      </c>
      <c r="I298" t="s">
        <v>1336</v>
      </c>
      <c r="J298" t="s">
        <v>1337</v>
      </c>
      <c r="K298">
        <v>4</v>
      </c>
      <c r="L298">
        <v>23806</v>
      </c>
      <c r="M298">
        <v>0</v>
      </c>
      <c r="N298">
        <v>23806</v>
      </c>
      <c r="O298">
        <v>0.18</v>
      </c>
      <c r="P298">
        <v>95224</v>
      </c>
      <c r="Q298">
        <v>17140.32</v>
      </c>
      <c r="R298">
        <v>112364.32</v>
      </c>
      <c r="S298" t="s">
        <v>1366</v>
      </c>
      <c r="T298" t="s">
        <v>1361</v>
      </c>
      <c r="U298" s="4">
        <v>45456</v>
      </c>
      <c r="V298" s="4">
        <v>45459</v>
      </c>
      <c r="W298" t="b">
        <v>0</v>
      </c>
      <c r="Z298" t="s">
        <v>1396</v>
      </c>
      <c r="AA298" t="s">
        <v>1400</v>
      </c>
      <c r="AB298" t="s">
        <v>1395</v>
      </c>
    </row>
    <row r="299" spans="1:28" x14ac:dyDescent="0.3">
      <c r="A299" t="s">
        <v>369</v>
      </c>
      <c r="B299" s="6">
        <v>45640.356944444444</v>
      </c>
      <c r="C299" t="s">
        <v>269</v>
      </c>
      <c r="D299" t="s">
        <v>1141</v>
      </c>
      <c r="E299" t="s">
        <v>1239</v>
      </c>
      <c r="F299" t="s">
        <v>1143</v>
      </c>
      <c r="G299" t="s">
        <v>1144</v>
      </c>
      <c r="H299" t="s">
        <v>1276</v>
      </c>
      <c r="I299" t="s">
        <v>1277</v>
      </c>
      <c r="J299" t="s">
        <v>1278</v>
      </c>
      <c r="K299">
        <v>3</v>
      </c>
      <c r="L299">
        <v>12446</v>
      </c>
      <c r="M299">
        <v>0</v>
      </c>
      <c r="N299">
        <v>12446</v>
      </c>
      <c r="O299">
        <v>0.18</v>
      </c>
      <c r="P299">
        <v>37338</v>
      </c>
      <c r="Q299">
        <v>6720.84</v>
      </c>
      <c r="R299">
        <v>44058.84</v>
      </c>
      <c r="S299" t="s">
        <v>1362</v>
      </c>
      <c r="T299" t="s">
        <v>1361</v>
      </c>
      <c r="U299" s="4">
        <v>45640</v>
      </c>
      <c r="V299" s="4">
        <v>45641</v>
      </c>
      <c r="W299" t="b">
        <v>0</v>
      </c>
      <c r="Z299" t="s">
        <v>1398</v>
      </c>
      <c r="AA299" t="s">
        <v>1397</v>
      </c>
      <c r="AB299" t="s">
        <v>1383</v>
      </c>
    </row>
    <row r="300" spans="1:28" x14ac:dyDescent="0.3">
      <c r="A300" t="s">
        <v>371</v>
      </c>
      <c r="B300" s="6">
        <v>45433.536111111112</v>
      </c>
      <c r="C300" t="s">
        <v>200</v>
      </c>
      <c r="D300" t="s">
        <v>1182</v>
      </c>
      <c r="E300" t="s">
        <v>1183</v>
      </c>
      <c r="F300" t="s">
        <v>1143</v>
      </c>
      <c r="G300" t="s">
        <v>1172</v>
      </c>
      <c r="H300" t="s">
        <v>1188</v>
      </c>
      <c r="I300" t="s">
        <v>1189</v>
      </c>
      <c r="J300" t="s">
        <v>1190</v>
      </c>
      <c r="K300">
        <v>3</v>
      </c>
      <c r="L300">
        <v>3736</v>
      </c>
      <c r="M300">
        <v>0.1</v>
      </c>
      <c r="N300">
        <v>3362.4</v>
      </c>
      <c r="O300">
        <v>0.18</v>
      </c>
      <c r="P300">
        <v>10087.200000000001</v>
      </c>
      <c r="Q300">
        <v>1815.6959999999999</v>
      </c>
      <c r="R300">
        <v>11902.896000000001</v>
      </c>
      <c r="S300" t="s">
        <v>1360</v>
      </c>
      <c r="T300" t="s">
        <v>1361</v>
      </c>
      <c r="U300" s="4">
        <v>45434</v>
      </c>
      <c r="V300" s="4">
        <v>45435</v>
      </c>
      <c r="W300" t="b">
        <v>0</v>
      </c>
      <c r="Z300" t="s">
        <v>1392</v>
      </c>
      <c r="AA300" t="s">
        <v>1400</v>
      </c>
      <c r="AB300" t="s">
        <v>1393</v>
      </c>
    </row>
    <row r="301" spans="1:28" x14ac:dyDescent="0.3">
      <c r="A301" t="s">
        <v>373</v>
      </c>
      <c r="B301" s="6">
        <v>45659.581250000003</v>
      </c>
      <c r="C301" t="s">
        <v>374</v>
      </c>
      <c r="D301" t="s">
        <v>1153</v>
      </c>
      <c r="E301" t="s">
        <v>1162</v>
      </c>
      <c r="F301" t="s">
        <v>1143</v>
      </c>
      <c r="G301" t="s">
        <v>1177</v>
      </c>
      <c r="H301" t="s">
        <v>1178</v>
      </c>
      <c r="I301" t="s">
        <v>1220</v>
      </c>
      <c r="J301" t="s">
        <v>1221</v>
      </c>
      <c r="K301">
        <v>1</v>
      </c>
      <c r="L301">
        <v>2099</v>
      </c>
      <c r="M301">
        <v>0</v>
      </c>
      <c r="N301">
        <v>2099</v>
      </c>
      <c r="O301">
        <v>0.18</v>
      </c>
      <c r="P301">
        <v>2099</v>
      </c>
      <c r="Q301">
        <v>377.82</v>
      </c>
      <c r="R301">
        <v>2476.8200000000002</v>
      </c>
      <c r="S301" t="s">
        <v>1362</v>
      </c>
      <c r="T301" t="s">
        <v>1361</v>
      </c>
      <c r="U301" s="4">
        <v>45661</v>
      </c>
      <c r="V301" s="4">
        <v>45665</v>
      </c>
      <c r="W301" t="b">
        <v>0</v>
      </c>
      <c r="Z301" t="s">
        <v>1390</v>
      </c>
      <c r="AA301" t="s">
        <v>1377</v>
      </c>
      <c r="AB301" t="s">
        <v>1393</v>
      </c>
    </row>
    <row r="302" spans="1:28" x14ac:dyDescent="0.3">
      <c r="A302" t="s">
        <v>375</v>
      </c>
      <c r="B302" s="6">
        <v>45483.548611111109</v>
      </c>
      <c r="C302" t="s">
        <v>264</v>
      </c>
      <c r="D302" t="s">
        <v>1153</v>
      </c>
      <c r="E302" t="s">
        <v>1162</v>
      </c>
      <c r="F302" t="s">
        <v>1143</v>
      </c>
      <c r="G302" t="s">
        <v>1177</v>
      </c>
      <c r="H302" t="s">
        <v>1236</v>
      </c>
      <c r="I302" t="s">
        <v>1254</v>
      </c>
      <c r="J302" t="s">
        <v>1255</v>
      </c>
      <c r="K302">
        <v>1</v>
      </c>
      <c r="L302">
        <v>1762</v>
      </c>
      <c r="M302">
        <v>0.05</v>
      </c>
      <c r="N302">
        <v>1673.9</v>
      </c>
      <c r="O302">
        <v>0.12</v>
      </c>
      <c r="P302">
        <v>1673.9</v>
      </c>
      <c r="Q302">
        <v>200.86799999999999</v>
      </c>
      <c r="R302">
        <v>1874.768</v>
      </c>
      <c r="S302" t="s">
        <v>1360</v>
      </c>
      <c r="T302" t="s">
        <v>1361</v>
      </c>
      <c r="U302" s="4">
        <v>45484</v>
      </c>
      <c r="V302" s="4">
        <v>45486</v>
      </c>
      <c r="W302" t="b">
        <v>0</v>
      </c>
      <c r="Z302" t="s">
        <v>1384</v>
      </c>
      <c r="AA302" t="s">
        <v>1385</v>
      </c>
      <c r="AB302" t="s">
        <v>1395</v>
      </c>
    </row>
    <row r="303" spans="1:28" x14ac:dyDescent="0.3">
      <c r="A303" t="s">
        <v>376</v>
      </c>
      <c r="B303" s="6">
        <v>45658.541666666664</v>
      </c>
      <c r="C303" t="s">
        <v>63</v>
      </c>
      <c r="D303" t="s">
        <v>1141</v>
      </c>
      <c r="E303" t="s">
        <v>1239</v>
      </c>
      <c r="F303" t="s">
        <v>1143</v>
      </c>
      <c r="G303" t="s">
        <v>1163</v>
      </c>
      <c r="H303" t="s">
        <v>1164</v>
      </c>
      <c r="I303" t="s">
        <v>1318</v>
      </c>
      <c r="J303" t="s">
        <v>1319</v>
      </c>
      <c r="K303">
        <v>4</v>
      </c>
      <c r="L303">
        <v>488</v>
      </c>
      <c r="M303">
        <v>0</v>
      </c>
      <c r="N303">
        <v>488</v>
      </c>
      <c r="O303">
        <v>0.12</v>
      </c>
      <c r="P303">
        <v>1952</v>
      </c>
      <c r="Q303">
        <v>234.24</v>
      </c>
      <c r="R303">
        <v>2186.2399999999998</v>
      </c>
      <c r="S303" t="s">
        <v>1363</v>
      </c>
      <c r="T303" t="s">
        <v>1361</v>
      </c>
      <c r="U303" s="4">
        <v>45659</v>
      </c>
      <c r="V303" s="4">
        <v>45664</v>
      </c>
      <c r="W303" t="b">
        <v>0</v>
      </c>
      <c r="Z303" t="s">
        <v>1392</v>
      </c>
      <c r="AA303" t="s">
        <v>1377</v>
      </c>
      <c r="AB303" t="s">
        <v>1391</v>
      </c>
    </row>
    <row r="304" spans="1:28" x14ac:dyDescent="0.3">
      <c r="A304" t="s">
        <v>379</v>
      </c>
      <c r="B304" s="6">
        <v>45671.518055555556</v>
      </c>
      <c r="C304" t="s">
        <v>231</v>
      </c>
      <c r="D304" t="s">
        <v>1157</v>
      </c>
      <c r="E304" t="s">
        <v>1249</v>
      </c>
      <c r="F304" t="s">
        <v>1143</v>
      </c>
      <c r="G304" t="s">
        <v>1144</v>
      </c>
      <c r="H304" t="s">
        <v>1276</v>
      </c>
      <c r="I304" t="s">
        <v>1277</v>
      </c>
      <c r="J304" t="s">
        <v>1278</v>
      </c>
      <c r="K304">
        <v>2</v>
      </c>
      <c r="L304">
        <v>8814</v>
      </c>
      <c r="M304">
        <v>0</v>
      </c>
      <c r="N304">
        <v>8814</v>
      </c>
      <c r="O304">
        <v>0.18</v>
      </c>
      <c r="P304">
        <v>17628</v>
      </c>
      <c r="Q304">
        <v>3173.04</v>
      </c>
      <c r="R304">
        <v>20801.04</v>
      </c>
      <c r="S304" t="s">
        <v>1362</v>
      </c>
      <c r="T304" t="s">
        <v>1367</v>
      </c>
      <c r="U304" s="4">
        <v>45672</v>
      </c>
      <c r="W304" t="b">
        <v>0</v>
      </c>
      <c r="Z304" t="s">
        <v>1388</v>
      </c>
      <c r="AA304" t="s">
        <v>1377</v>
      </c>
      <c r="AB304" t="s">
        <v>1378</v>
      </c>
    </row>
    <row r="305" spans="1:28" x14ac:dyDescent="0.3">
      <c r="A305" t="s">
        <v>381</v>
      </c>
      <c r="B305" s="6">
        <v>45721.441666666666</v>
      </c>
      <c r="C305" t="s">
        <v>382</v>
      </c>
      <c r="D305" t="s">
        <v>1157</v>
      </c>
      <c r="E305" t="s">
        <v>1158</v>
      </c>
      <c r="F305" t="s">
        <v>1143</v>
      </c>
      <c r="G305" t="s">
        <v>1144</v>
      </c>
      <c r="H305" t="s">
        <v>1159</v>
      </c>
      <c r="I305" t="s">
        <v>1334</v>
      </c>
      <c r="J305" t="s">
        <v>1335</v>
      </c>
      <c r="K305">
        <v>3</v>
      </c>
      <c r="L305">
        <v>9340</v>
      </c>
      <c r="M305">
        <v>0.05</v>
      </c>
      <c r="N305">
        <v>8873</v>
      </c>
      <c r="O305">
        <v>0.12</v>
      </c>
      <c r="P305">
        <v>26619</v>
      </c>
      <c r="Q305">
        <v>3194.28</v>
      </c>
      <c r="R305">
        <v>29813.279999999999</v>
      </c>
      <c r="S305" t="s">
        <v>1362</v>
      </c>
      <c r="T305" t="s">
        <v>1361</v>
      </c>
      <c r="U305" s="4">
        <v>45723</v>
      </c>
      <c r="V305" s="4">
        <v>45725</v>
      </c>
      <c r="W305" t="b">
        <v>0</v>
      </c>
      <c r="Z305" t="s">
        <v>1392</v>
      </c>
      <c r="AA305" t="s">
        <v>1387</v>
      </c>
      <c r="AB305" t="s">
        <v>1383</v>
      </c>
    </row>
    <row r="306" spans="1:28" x14ac:dyDescent="0.3">
      <c r="A306" t="s">
        <v>384</v>
      </c>
      <c r="B306" s="6">
        <v>45630.522916666669</v>
      </c>
      <c r="C306" t="s">
        <v>385</v>
      </c>
      <c r="D306" t="s">
        <v>1182</v>
      </c>
      <c r="E306" t="s">
        <v>1207</v>
      </c>
      <c r="F306" t="s">
        <v>1143</v>
      </c>
      <c r="G306" t="s">
        <v>1172</v>
      </c>
      <c r="H306" t="s">
        <v>1198</v>
      </c>
      <c r="I306" t="s">
        <v>1250</v>
      </c>
      <c r="J306" t="s">
        <v>1251</v>
      </c>
      <c r="K306">
        <v>2</v>
      </c>
      <c r="L306">
        <v>2767</v>
      </c>
      <c r="M306">
        <v>0</v>
      </c>
      <c r="N306">
        <v>2767</v>
      </c>
      <c r="O306">
        <v>0.12</v>
      </c>
      <c r="P306">
        <v>5534</v>
      </c>
      <c r="Q306">
        <v>664.07999999999993</v>
      </c>
      <c r="R306">
        <v>6198.08</v>
      </c>
      <c r="S306" t="s">
        <v>1360</v>
      </c>
      <c r="T306" t="s">
        <v>1361</v>
      </c>
      <c r="U306" s="4">
        <v>45630</v>
      </c>
      <c r="V306" s="4">
        <v>45633</v>
      </c>
      <c r="W306" t="b">
        <v>0</v>
      </c>
      <c r="Z306" t="s">
        <v>1384</v>
      </c>
      <c r="AA306" t="s">
        <v>1387</v>
      </c>
      <c r="AB306" t="s">
        <v>1378</v>
      </c>
    </row>
    <row r="307" spans="1:28" x14ac:dyDescent="0.3">
      <c r="A307" t="s">
        <v>386</v>
      </c>
      <c r="B307" s="6">
        <v>45380.511805555558</v>
      </c>
      <c r="C307" t="s">
        <v>387</v>
      </c>
      <c r="D307" t="s">
        <v>1148</v>
      </c>
      <c r="E307" t="s">
        <v>1262</v>
      </c>
      <c r="F307" t="s">
        <v>1143</v>
      </c>
      <c r="G307" t="s">
        <v>1177</v>
      </c>
      <c r="H307" t="s">
        <v>1178</v>
      </c>
      <c r="I307" t="s">
        <v>1220</v>
      </c>
      <c r="J307" t="s">
        <v>1221</v>
      </c>
      <c r="K307">
        <v>2</v>
      </c>
      <c r="L307">
        <v>1214</v>
      </c>
      <c r="M307">
        <v>0</v>
      </c>
      <c r="N307">
        <v>1214</v>
      </c>
      <c r="O307">
        <v>0.18</v>
      </c>
      <c r="P307">
        <v>2428</v>
      </c>
      <c r="Q307">
        <v>437.04</v>
      </c>
      <c r="R307">
        <v>2865.04</v>
      </c>
      <c r="S307" t="s">
        <v>1362</v>
      </c>
      <c r="T307" t="s">
        <v>1361</v>
      </c>
      <c r="U307" s="4">
        <v>45381</v>
      </c>
      <c r="V307" s="4">
        <v>45382</v>
      </c>
      <c r="W307" t="b">
        <v>0</v>
      </c>
      <c r="Z307" t="s">
        <v>1376</v>
      </c>
      <c r="AA307" t="s">
        <v>1385</v>
      </c>
      <c r="AB307" t="s">
        <v>1393</v>
      </c>
    </row>
    <row r="308" spans="1:28" x14ac:dyDescent="0.3">
      <c r="A308" t="s">
        <v>388</v>
      </c>
      <c r="B308" s="6">
        <v>45729.540972222225</v>
      </c>
      <c r="C308" t="s">
        <v>65</v>
      </c>
      <c r="D308" t="s">
        <v>1141</v>
      </c>
      <c r="E308" t="s">
        <v>1142</v>
      </c>
      <c r="F308" t="s">
        <v>1143</v>
      </c>
      <c r="G308" t="s">
        <v>1172</v>
      </c>
      <c r="H308" t="s">
        <v>1229</v>
      </c>
      <c r="I308" t="s">
        <v>1340</v>
      </c>
      <c r="J308" t="s">
        <v>1341</v>
      </c>
      <c r="K308">
        <v>1</v>
      </c>
      <c r="L308">
        <v>7588</v>
      </c>
      <c r="M308">
        <v>0.2</v>
      </c>
      <c r="N308">
        <v>6070.4000000000005</v>
      </c>
      <c r="O308">
        <v>0.12</v>
      </c>
      <c r="P308">
        <v>6070.4000000000005</v>
      </c>
      <c r="Q308">
        <v>728.44800000000009</v>
      </c>
      <c r="R308">
        <v>6798.8480000000009</v>
      </c>
      <c r="S308" t="s">
        <v>1365</v>
      </c>
      <c r="T308" t="s">
        <v>1361</v>
      </c>
      <c r="U308" s="4">
        <v>45729</v>
      </c>
      <c r="V308" s="4">
        <v>45734</v>
      </c>
      <c r="W308" t="b">
        <v>0</v>
      </c>
      <c r="Z308" t="s">
        <v>1390</v>
      </c>
      <c r="AA308" t="s">
        <v>1400</v>
      </c>
      <c r="AB308" t="s">
        <v>1391</v>
      </c>
    </row>
    <row r="309" spans="1:28" x14ac:dyDescent="0.3">
      <c r="A309" t="s">
        <v>389</v>
      </c>
      <c r="B309" s="6">
        <v>45405.593055555553</v>
      </c>
      <c r="C309" t="s">
        <v>102</v>
      </c>
      <c r="D309" t="s">
        <v>1141</v>
      </c>
      <c r="E309" t="s">
        <v>1239</v>
      </c>
      <c r="F309" t="s">
        <v>1143</v>
      </c>
      <c r="G309" t="s">
        <v>1177</v>
      </c>
      <c r="H309" t="s">
        <v>1178</v>
      </c>
      <c r="I309" t="s">
        <v>1305</v>
      </c>
      <c r="J309" t="s">
        <v>1306</v>
      </c>
      <c r="K309">
        <v>2</v>
      </c>
      <c r="L309">
        <v>2998</v>
      </c>
      <c r="M309">
        <v>0.05</v>
      </c>
      <c r="N309">
        <v>2848.1</v>
      </c>
      <c r="O309">
        <v>0.12</v>
      </c>
      <c r="P309">
        <v>5696.2</v>
      </c>
      <c r="Q309">
        <v>683.54399999999998</v>
      </c>
      <c r="R309">
        <v>6379.7439999999997</v>
      </c>
      <c r="S309" t="s">
        <v>1363</v>
      </c>
      <c r="T309" t="s">
        <v>1361</v>
      </c>
      <c r="U309" s="4">
        <v>45406</v>
      </c>
      <c r="V309" s="4">
        <v>45410</v>
      </c>
      <c r="W309" t="b">
        <v>0</v>
      </c>
      <c r="Z309" t="s">
        <v>1379</v>
      </c>
      <c r="AA309" t="s">
        <v>1385</v>
      </c>
      <c r="AB309" t="s">
        <v>1378</v>
      </c>
    </row>
    <row r="310" spans="1:28" x14ac:dyDescent="0.3">
      <c r="A310" t="s">
        <v>391</v>
      </c>
      <c r="B310" s="6">
        <v>45425.559027777781</v>
      </c>
      <c r="C310" t="s">
        <v>392</v>
      </c>
      <c r="D310" t="s">
        <v>1153</v>
      </c>
      <c r="E310" t="s">
        <v>1191</v>
      </c>
      <c r="F310" t="s">
        <v>1143</v>
      </c>
      <c r="G310" t="s">
        <v>1177</v>
      </c>
      <c r="H310" t="s">
        <v>1309</v>
      </c>
      <c r="I310" t="s">
        <v>1310</v>
      </c>
      <c r="J310" t="s">
        <v>1311</v>
      </c>
      <c r="K310">
        <v>2</v>
      </c>
      <c r="L310">
        <v>999</v>
      </c>
      <c r="M310">
        <v>0.15</v>
      </c>
      <c r="N310">
        <v>849.15</v>
      </c>
      <c r="O310">
        <v>0.18</v>
      </c>
      <c r="P310">
        <v>1698.3</v>
      </c>
      <c r="Q310">
        <v>305.69400000000002</v>
      </c>
      <c r="R310">
        <v>2003.9939999999999</v>
      </c>
      <c r="S310" t="s">
        <v>1366</v>
      </c>
      <c r="T310" t="s">
        <v>1368</v>
      </c>
      <c r="U310" s="4">
        <v>45427</v>
      </c>
      <c r="W310" t="b">
        <v>0</v>
      </c>
      <c r="Z310" t="s">
        <v>1382</v>
      </c>
      <c r="AA310" t="s">
        <v>1387</v>
      </c>
      <c r="AB310" t="s">
        <v>1391</v>
      </c>
    </row>
    <row r="311" spans="1:28" x14ac:dyDescent="0.3">
      <c r="A311" t="s">
        <v>393</v>
      </c>
      <c r="B311" s="6">
        <v>45517.603472222225</v>
      </c>
      <c r="C311" t="s">
        <v>394</v>
      </c>
      <c r="D311" t="s">
        <v>1148</v>
      </c>
      <c r="E311" t="s">
        <v>1262</v>
      </c>
      <c r="F311" t="s">
        <v>1143</v>
      </c>
      <c r="G311" t="s">
        <v>1172</v>
      </c>
      <c r="H311" t="s">
        <v>1173</v>
      </c>
      <c r="I311" t="s">
        <v>1222</v>
      </c>
      <c r="J311" t="s">
        <v>1223</v>
      </c>
      <c r="K311">
        <v>4</v>
      </c>
      <c r="L311">
        <v>7133</v>
      </c>
      <c r="M311">
        <v>0.1</v>
      </c>
      <c r="N311">
        <v>6419.7</v>
      </c>
      <c r="O311">
        <v>0.18</v>
      </c>
      <c r="P311">
        <v>25678.799999999999</v>
      </c>
      <c r="Q311">
        <v>4622.1839999999993</v>
      </c>
      <c r="R311">
        <v>30300.984</v>
      </c>
      <c r="S311" t="s">
        <v>1360</v>
      </c>
      <c r="T311" t="s">
        <v>1368</v>
      </c>
      <c r="U311" s="4">
        <v>45518</v>
      </c>
      <c r="W311" t="b">
        <v>0</v>
      </c>
      <c r="Z311" t="s">
        <v>1386</v>
      </c>
      <c r="AA311" t="s">
        <v>1397</v>
      </c>
      <c r="AB311" t="s">
        <v>1391</v>
      </c>
    </row>
    <row r="312" spans="1:28" x14ac:dyDescent="0.3">
      <c r="A312" t="s">
        <v>398</v>
      </c>
      <c r="B312" s="6">
        <v>45408.444444444445</v>
      </c>
      <c r="C312" t="s">
        <v>247</v>
      </c>
      <c r="D312" t="s">
        <v>1141</v>
      </c>
      <c r="E312" t="s">
        <v>1227</v>
      </c>
      <c r="F312" t="s">
        <v>1143</v>
      </c>
      <c r="G312" t="s">
        <v>1172</v>
      </c>
      <c r="H312" t="s">
        <v>1229</v>
      </c>
      <c r="I312" t="s">
        <v>1295</v>
      </c>
      <c r="J312" t="s">
        <v>1296</v>
      </c>
      <c r="K312">
        <v>3</v>
      </c>
      <c r="L312">
        <v>8856</v>
      </c>
      <c r="M312">
        <v>0.05</v>
      </c>
      <c r="N312">
        <v>8413.1999999999989</v>
      </c>
      <c r="O312">
        <v>0.05</v>
      </c>
      <c r="P312">
        <v>25239.599999999999</v>
      </c>
      <c r="Q312">
        <v>1261.98</v>
      </c>
      <c r="R312">
        <v>26501.58</v>
      </c>
      <c r="S312" t="s">
        <v>1363</v>
      </c>
      <c r="T312" t="s">
        <v>1361</v>
      </c>
      <c r="U312" s="4">
        <v>45409</v>
      </c>
      <c r="V312" s="4">
        <v>45411</v>
      </c>
      <c r="W312" t="b">
        <v>0</v>
      </c>
      <c r="Z312" t="s">
        <v>1390</v>
      </c>
      <c r="AA312" t="s">
        <v>1385</v>
      </c>
      <c r="AB312" t="s">
        <v>1393</v>
      </c>
    </row>
    <row r="313" spans="1:28" x14ac:dyDescent="0.3">
      <c r="A313" t="s">
        <v>399</v>
      </c>
      <c r="B313" s="6">
        <v>45660.542361111111</v>
      </c>
      <c r="C313" t="s">
        <v>26</v>
      </c>
      <c r="D313" t="s">
        <v>1153</v>
      </c>
      <c r="E313" t="s">
        <v>1191</v>
      </c>
      <c r="F313" t="s">
        <v>1143</v>
      </c>
      <c r="G313" t="s">
        <v>1177</v>
      </c>
      <c r="H313" t="s">
        <v>1195</v>
      </c>
      <c r="I313" t="s">
        <v>1218</v>
      </c>
      <c r="J313" t="s">
        <v>1219</v>
      </c>
      <c r="K313">
        <v>2</v>
      </c>
      <c r="L313">
        <v>2505</v>
      </c>
      <c r="M313">
        <v>0.15</v>
      </c>
      <c r="N313">
        <v>2129.25</v>
      </c>
      <c r="O313">
        <v>0.18</v>
      </c>
      <c r="P313">
        <v>4258.5</v>
      </c>
      <c r="Q313">
        <v>766.53</v>
      </c>
      <c r="R313">
        <v>5025.03</v>
      </c>
      <c r="S313" t="s">
        <v>1362</v>
      </c>
      <c r="T313" t="s">
        <v>1361</v>
      </c>
      <c r="U313" s="4">
        <v>45661</v>
      </c>
      <c r="V313" s="4">
        <v>45662</v>
      </c>
      <c r="W313" t="b">
        <v>0</v>
      </c>
      <c r="Z313" t="s">
        <v>1388</v>
      </c>
      <c r="AA313" t="s">
        <v>1377</v>
      </c>
      <c r="AB313" t="s">
        <v>1378</v>
      </c>
    </row>
    <row r="314" spans="1:28" x14ac:dyDescent="0.3">
      <c r="A314" t="s">
        <v>400</v>
      </c>
      <c r="B314" s="6">
        <v>45746.589583333334</v>
      </c>
      <c r="C314" t="s">
        <v>251</v>
      </c>
      <c r="D314" t="s">
        <v>1148</v>
      </c>
      <c r="E314" t="s">
        <v>1171</v>
      </c>
      <c r="F314" t="s">
        <v>1143</v>
      </c>
      <c r="G314" t="s">
        <v>1144</v>
      </c>
      <c r="H314" t="s">
        <v>1276</v>
      </c>
      <c r="I314" t="s">
        <v>1277</v>
      </c>
      <c r="J314" t="s">
        <v>1278</v>
      </c>
      <c r="K314">
        <v>1</v>
      </c>
      <c r="L314">
        <v>10738</v>
      </c>
      <c r="M314">
        <v>0</v>
      </c>
      <c r="N314">
        <v>10738</v>
      </c>
      <c r="O314">
        <v>0.12</v>
      </c>
      <c r="P314">
        <v>10738</v>
      </c>
      <c r="Q314">
        <v>1288.56</v>
      </c>
      <c r="R314">
        <v>12026.56</v>
      </c>
      <c r="S314" t="s">
        <v>1360</v>
      </c>
      <c r="T314" t="s">
        <v>1361</v>
      </c>
      <c r="U314" s="4">
        <v>45746</v>
      </c>
      <c r="V314" s="4">
        <v>45750</v>
      </c>
      <c r="W314" t="b">
        <v>0</v>
      </c>
      <c r="Z314" t="s">
        <v>1386</v>
      </c>
      <c r="AA314" t="s">
        <v>1400</v>
      </c>
      <c r="AB314" t="s">
        <v>1378</v>
      </c>
    </row>
    <row r="315" spans="1:28" x14ac:dyDescent="0.3">
      <c r="A315" t="s">
        <v>401</v>
      </c>
      <c r="B315" s="6">
        <v>45614.352083333331</v>
      </c>
      <c r="C315" t="s">
        <v>55</v>
      </c>
      <c r="D315" t="s">
        <v>1157</v>
      </c>
      <c r="E315" t="s">
        <v>1158</v>
      </c>
      <c r="F315" t="s">
        <v>1143</v>
      </c>
      <c r="G315" t="s">
        <v>1163</v>
      </c>
      <c r="H315" t="s">
        <v>1240</v>
      </c>
      <c r="I315" t="s">
        <v>1247</v>
      </c>
      <c r="J315" t="s">
        <v>1248</v>
      </c>
      <c r="K315">
        <v>2</v>
      </c>
      <c r="L315">
        <v>1177</v>
      </c>
      <c r="M315">
        <v>0</v>
      </c>
      <c r="N315">
        <v>1177</v>
      </c>
      <c r="O315">
        <v>0.18</v>
      </c>
      <c r="P315">
        <v>2354</v>
      </c>
      <c r="Q315">
        <v>423.72</v>
      </c>
      <c r="R315">
        <v>2777.72</v>
      </c>
      <c r="S315" t="s">
        <v>1365</v>
      </c>
      <c r="T315" t="s">
        <v>1364</v>
      </c>
      <c r="U315" s="4">
        <v>45615</v>
      </c>
      <c r="W315" t="b">
        <v>1</v>
      </c>
      <c r="X315" s="4">
        <v>45622</v>
      </c>
      <c r="Y315" s="4">
        <v>45622</v>
      </c>
      <c r="Z315" t="s">
        <v>1396</v>
      </c>
      <c r="AA315" t="s">
        <v>1397</v>
      </c>
      <c r="AB315" t="s">
        <v>1378</v>
      </c>
    </row>
    <row r="316" spans="1:28" x14ac:dyDescent="0.3">
      <c r="A316" t="s">
        <v>403</v>
      </c>
      <c r="B316" s="6">
        <v>45342.42083333333</v>
      </c>
      <c r="C316" t="s">
        <v>185</v>
      </c>
      <c r="D316" t="s">
        <v>1153</v>
      </c>
      <c r="E316" t="s">
        <v>1154</v>
      </c>
      <c r="F316" t="s">
        <v>1143</v>
      </c>
      <c r="G316" t="s">
        <v>1172</v>
      </c>
      <c r="H316" t="s">
        <v>1229</v>
      </c>
      <c r="I316" t="s">
        <v>1230</v>
      </c>
      <c r="J316" t="s">
        <v>1231</v>
      </c>
      <c r="K316">
        <v>4</v>
      </c>
      <c r="L316">
        <v>4519</v>
      </c>
      <c r="M316">
        <v>0</v>
      </c>
      <c r="N316">
        <v>4519</v>
      </c>
      <c r="O316">
        <v>0.05</v>
      </c>
      <c r="P316">
        <v>18076</v>
      </c>
      <c r="Q316">
        <v>903.80000000000007</v>
      </c>
      <c r="R316">
        <v>18979.8</v>
      </c>
      <c r="S316" t="s">
        <v>1363</v>
      </c>
      <c r="T316" t="s">
        <v>1361</v>
      </c>
      <c r="U316" s="4">
        <v>45343</v>
      </c>
      <c r="V316" s="4">
        <v>45348</v>
      </c>
      <c r="W316" t="b">
        <v>0</v>
      </c>
      <c r="Z316" t="s">
        <v>1379</v>
      </c>
      <c r="AA316" t="s">
        <v>1387</v>
      </c>
      <c r="AB316" t="s">
        <v>1395</v>
      </c>
    </row>
    <row r="317" spans="1:28" x14ac:dyDescent="0.3">
      <c r="A317" t="s">
        <v>409</v>
      </c>
      <c r="B317" s="6">
        <v>45390.54583333333</v>
      </c>
      <c r="C317" t="s">
        <v>410</v>
      </c>
      <c r="D317" t="s">
        <v>1153</v>
      </c>
      <c r="E317" t="s">
        <v>1191</v>
      </c>
      <c r="F317" t="s">
        <v>1143</v>
      </c>
      <c r="G317" t="s">
        <v>1167</v>
      </c>
      <c r="H317" t="s">
        <v>1208</v>
      </c>
      <c r="I317" t="s">
        <v>1322</v>
      </c>
      <c r="J317" t="s">
        <v>1323</v>
      </c>
      <c r="K317">
        <v>2</v>
      </c>
      <c r="L317">
        <v>16584</v>
      </c>
      <c r="M317">
        <v>0.05</v>
      </c>
      <c r="N317">
        <v>15754.8</v>
      </c>
      <c r="O317">
        <v>0.05</v>
      </c>
      <c r="P317">
        <v>31509.599999999999</v>
      </c>
      <c r="Q317">
        <v>1575.48</v>
      </c>
      <c r="R317">
        <v>33085.08</v>
      </c>
      <c r="S317" t="s">
        <v>1365</v>
      </c>
      <c r="T317" t="s">
        <v>1367</v>
      </c>
      <c r="U317" s="4">
        <v>45391</v>
      </c>
      <c r="W317" t="b">
        <v>0</v>
      </c>
      <c r="Z317" t="s">
        <v>1386</v>
      </c>
      <c r="AA317" t="s">
        <v>1387</v>
      </c>
      <c r="AB317" t="s">
        <v>1389</v>
      </c>
    </row>
    <row r="318" spans="1:28" x14ac:dyDescent="0.3">
      <c r="A318" t="s">
        <v>412</v>
      </c>
      <c r="B318" s="6">
        <v>45633.570138888892</v>
      </c>
      <c r="C318" t="s">
        <v>251</v>
      </c>
      <c r="D318" t="s">
        <v>1148</v>
      </c>
      <c r="E318" t="s">
        <v>1171</v>
      </c>
      <c r="F318" t="s">
        <v>1143</v>
      </c>
      <c r="G318" t="s">
        <v>1172</v>
      </c>
      <c r="H318" t="s">
        <v>1229</v>
      </c>
      <c r="I318" t="s">
        <v>1295</v>
      </c>
      <c r="J318" t="s">
        <v>1296</v>
      </c>
      <c r="K318">
        <v>2</v>
      </c>
      <c r="L318">
        <v>3804</v>
      </c>
      <c r="M318">
        <v>0.05</v>
      </c>
      <c r="N318">
        <v>3613.8</v>
      </c>
      <c r="O318">
        <v>0.18</v>
      </c>
      <c r="P318">
        <v>7227.5999999999995</v>
      </c>
      <c r="Q318">
        <v>1300.9680000000001</v>
      </c>
      <c r="R318">
        <v>8528.5679999999993</v>
      </c>
      <c r="S318" t="s">
        <v>1360</v>
      </c>
      <c r="T318" t="s">
        <v>1361</v>
      </c>
      <c r="U318" s="4">
        <v>45634</v>
      </c>
      <c r="V318" s="4">
        <v>45639</v>
      </c>
      <c r="W318" t="b">
        <v>0</v>
      </c>
      <c r="Z318" t="s">
        <v>1382</v>
      </c>
      <c r="AA318" t="s">
        <v>1377</v>
      </c>
      <c r="AB318" t="s">
        <v>1389</v>
      </c>
    </row>
    <row r="319" spans="1:28" x14ac:dyDescent="0.3">
      <c r="A319" t="s">
        <v>414</v>
      </c>
      <c r="B319" s="6">
        <v>45629.663888888892</v>
      </c>
      <c r="C319" t="s">
        <v>119</v>
      </c>
      <c r="D319" t="s">
        <v>1148</v>
      </c>
      <c r="E319" t="s">
        <v>1149</v>
      </c>
      <c r="F319" t="s">
        <v>1143</v>
      </c>
      <c r="G319" t="s">
        <v>1167</v>
      </c>
      <c r="H319" t="s">
        <v>1208</v>
      </c>
      <c r="I319" t="s">
        <v>1291</v>
      </c>
      <c r="J319" t="s">
        <v>1292</v>
      </c>
      <c r="K319">
        <v>2</v>
      </c>
      <c r="L319">
        <v>29926</v>
      </c>
      <c r="M319">
        <v>0.1</v>
      </c>
      <c r="N319">
        <v>26933.4</v>
      </c>
      <c r="O319">
        <v>0.12</v>
      </c>
      <c r="P319">
        <v>53866.8</v>
      </c>
      <c r="Q319">
        <v>6464.0160000000014</v>
      </c>
      <c r="R319">
        <v>60330.816000000013</v>
      </c>
      <c r="S319" t="s">
        <v>1360</v>
      </c>
      <c r="T319" t="s">
        <v>1361</v>
      </c>
      <c r="U319" s="4">
        <v>45629</v>
      </c>
      <c r="V319" s="4">
        <v>45630</v>
      </c>
      <c r="W319" t="b">
        <v>0</v>
      </c>
      <c r="Z319" t="s">
        <v>1390</v>
      </c>
      <c r="AA319" t="s">
        <v>1397</v>
      </c>
      <c r="AB319" t="s">
        <v>1391</v>
      </c>
    </row>
    <row r="320" spans="1:28" x14ac:dyDescent="0.3">
      <c r="A320" t="s">
        <v>417</v>
      </c>
      <c r="B320" s="6">
        <v>45754.620138888888</v>
      </c>
      <c r="C320" t="s">
        <v>55</v>
      </c>
      <c r="D320" t="s">
        <v>1157</v>
      </c>
      <c r="E320" t="s">
        <v>1158</v>
      </c>
      <c r="F320" t="s">
        <v>1143</v>
      </c>
      <c r="G320" t="s">
        <v>1163</v>
      </c>
      <c r="H320" t="s">
        <v>1164</v>
      </c>
      <c r="I320" t="s">
        <v>1324</v>
      </c>
      <c r="J320" t="s">
        <v>1325</v>
      </c>
      <c r="K320">
        <v>1</v>
      </c>
      <c r="L320">
        <v>579</v>
      </c>
      <c r="M320">
        <v>0</v>
      </c>
      <c r="N320">
        <v>579</v>
      </c>
      <c r="O320">
        <v>0.12</v>
      </c>
      <c r="P320">
        <v>579</v>
      </c>
      <c r="Q320">
        <v>69.48</v>
      </c>
      <c r="R320">
        <v>648.48</v>
      </c>
      <c r="S320" t="s">
        <v>1363</v>
      </c>
      <c r="T320" t="s">
        <v>1361</v>
      </c>
      <c r="U320" s="4">
        <v>45755</v>
      </c>
      <c r="V320" s="4">
        <v>45757</v>
      </c>
      <c r="W320" t="b">
        <v>0</v>
      </c>
      <c r="Z320" t="s">
        <v>1384</v>
      </c>
      <c r="AA320" t="s">
        <v>1385</v>
      </c>
      <c r="AB320" t="s">
        <v>1378</v>
      </c>
    </row>
    <row r="321" spans="1:28" x14ac:dyDescent="0.3">
      <c r="A321" t="s">
        <v>418</v>
      </c>
      <c r="B321" s="6">
        <v>45430.473611111112</v>
      </c>
      <c r="C321" t="s">
        <v>419</v>
      </c>
      <c r="D321" t="s">
        <v>1153</v>
      </c>
      <c r="E321" t="s">
        <v>1154</v>
      </c>
      <c r="F321" t="s">
        <v>1143</v>
      </c>
      <c r="G321" t="s">
        <v>1167</v>
      </c>
      <c r="H321" t="s">
        <v>1263</v>
      </c>
      <c r="I321" t="s">
        <v>1274</v>
      </c>
      <c r="J321" t="s">
        <v>1275</v>
      </c>
      <c r="K321">
        <v>3</v>
      </c>
      <c r="L321">
        <v>19091</v>
      </c>
      <c r="M321">
        <v>0.1</v>
      </c>
      <c r="N321">
        <v>17181.900000000001</v>
      </c>
      <c r="O321">
        <v>0.12</v>
      </c>
      <c r="P321">
        <v>51545.7</v>
      </c>
      <c r="Q321">
        <v>6185.4840000000004</v>
      </c>
      <c r="R321">
        <v>57731.184000000008</v>
      </c>
      <c r="S321" t="s">
        <v>1363</v>
      </c>
      <c r="T321" t="s">
        <v>1361</v>
      </c>
      <c r="U321" s="4">
        <v>45432</v>
      </c>
      <c r="V321" s="4">
        <v>45433</v>
      </c>
      <c r="W321" t="b">
        <v>0</v>
      </c>
      <c r="Z321" t="s">
        <v>1379</v>
      </c>
      <c r="AA321" t="s">
        <v>1399</v>
      </c>
      <c r="AB321" t="s">
        <v>1383</v>
      </c>
    </row>
    <row r="322" spans="1:28" x14ac:dyDescent="0.3">
      <c r="A322" t="s">
        <v>422</v>
      </c>
      <c r="B322" s="6">
        <v>45570.6</v>
      </c>
      <c r="C322" t="s">
        <v>10</v>
      </c>
      <c r="D322" t="s">
        <v>1157</v>
      </c>
      <c r="E322" t="s">
        <v>1158</v>
      </c>
      <c r="F322" t="s">
        <v>1143</v>
      </c>
      <c r="G322" t="s">
        <v>1172</v>
      </c>
      <c r="H322" t="s">
        <v>1188</v>
      </c>
      <c r="I322" t="s">
        <v>1258</v>
      </c>
      <c r="J322" t="s">
        <v>1259</v>
      </c>
      <c r="K322">
        <v>2</v>
      </c>
      <c r="L322">
        <v>4173</v>
      </c>
      <c r="M322">
        <v>0</v>
      </c>
      <c r="N322">
        <v>4173</v>
      </c>
      <c r="O322">
        <v>0.05</v>
      </c>
      <c r="P322">
        <v>8346</v>
      </c>
      <c r="Q322">
        <v>417.3</v>
      </c>
      <c r="R322">
        <v>8763.2999999999993</v>
      </c>
      <c r="S322" t="s">
        <v>1365</v>
      </c>
      <c r="T322" t="s">
        <v>1361</v>
      </c>
      <c r="U322" s="4">
        <v>45570</v>
      </c>
      <c r="V322" s="4">
        <v>45575</v>
      </c>
      <c r="W322" t="b">
        <v>0</v>
      </c>
      <c r="Z322" t="s">
        <v>1386</v>
      </c>
      <c r="AA322" t="s">
        <v>1387</v>
      </c>
      <c r="AB322" t="s">
        <v>1389</v>
      </c>
    </row>
    <row r="323" spans="1:28" x14ac:dyDescent="0.3">
      <c r="A323" t="s">
        <v>423</v>
      </c>
      <c r="B323" s="6">
        <v>45337.640277777777</v>
      </c>
      <c r="C323" t="s">
        <v>146</v>
      </c>
      <c r="D323" t="s">
        <v>1148</v>
      </c>
      <c r="E323" t="s">
        <v>1149</v>
      </c>
      <c r="F323" t="s">
        <v>1143</v>
      </c>
      <c r="G323" t="s">
        <v>1144</v>
      </c>
      <c r="H323" t="s">
        <v>1159</v>
      </c>
      <c r="I323" t="s">
        <v>1334</v>
      </c>
      <c r="J323" t="s">
        <v>1335</v>
      </c>
      <c r="K323">
        <v>1</v>
      </c>
      <c r="L323">
        <v>12193</v>
      </c>
      <c r="M323">
        <v>0</v>
      </c>
      <c r="N323">
        <v>12193</v>
      </c>
      <c r="O323">
        <v>0.18</v>
      </c>
      <c r="P323">
        <v>12193</v>
      </c>
      <c r="Q323">
        <v>2194.7399999999998</v>
      </c>
      <c r="R323">
        <v>14387.74</v>
      </c>
      <c r="S323" t="s">
        <v>1362</v>
      </c>
      <c r="T323" t="s">
        <v>1367</v>
      </c>
      <c r="U323" s="4">
        <v>45339</v>
      </c>
      <c r="W323" t="b">
        <v>0</v>
      </c>
      <c r="Z323" t="s">
        <v>1392</v>
      </c>
      <c r="AA323" t="s">
        <v>1377</v>
      </c>
      <c r="AB323" t="s">
        <v>1391</v>
      </c>
    </row>
    <row r="324" spans="1:28" x14ac:dyDescent="0.3">
      <c r="A324" t="s">
        <v>424</v>
      </c>
      <c r="B324" s="6">
        <v>45352.597916666666</v>
      </c>
      <c r="C324" t="s">
        <v>24</v>
      </c>
      <c r="D324" t="s">
        <v>1153</v>
      </c>
      <c r="E324" t="s">
        <v>1154</v>
      </c>
      <c r="F324" t="s">
        <v>1143</v>
      </c>
      <c r="G324" t="s">
        <v>1167</v>
      </c>
      <c r="H324" t="s">
        <v>1211</v>
      </c>
      <c r="I324" t="s">
        <v>1279</v>
      </c>
      <c r="J324" t="s">
        <v>1280</v>
      </c>
      <c r="K324">
        <v>3</v>
      </c>
      <c r="L324">
        <v>27422</v>
      </c>
      <c r="M324">
        <v>0</v>
      </c>
      <c r="N324">
        <v>27422</v>
      </c>
      <c r="O324">
        <v>0.12</v>
      </c>
      <c r="P324">
        <v>82266</v>
      </c>
      <c r="Q324">
        <v>9871.92</v>
      </c>
      <c r="R324">
        <v>92137.919999999998</v>
      </c>
      <c r="S324" t="s">
        <v>1363</v>
      </c>
      <c r="T324" t="s">
        <v>1368</v>
      </c>
      <c r="U324" s="4">
        <v>45354</v>
      </c>
      <c r="W324" t="b">
        <v>0</v>
      </c>
      <c r="Z324" t="s">
        <v>1388</v>
      </c>
      <c r="AA324" t="s">
        <v>1394</v>
      </c>
      <c r="AB324" t="s">
        <v>1383</v>
      </c>
    </row>
    <row r="325" spans="1:28" x14ac:dyDescent="0.3">
      <c r="A325" t="s">
        <v>428</v>
      </c>
      <c r="B325" s="6">
        <v>45574.561805555553</v>
      </c>
      <c r="C325" t="s">
        <v>102</v>
      </c>
      <c r="D325" t="s">
        <v>1141</v>
      </c>
      <c r="E325" t="s">
        <v>1239</v>
      </c>
      <c r="F325" t="s">
        <v>1143</v>
      </c>
      <c r="G325" t="s">
        <v>1177</v>
      </c>
      <c r="H325" t="s">
        <v>1178</v>
      </c>
      <c r="I325" t="s">
        <v>1179</v>
      </c>
      <c r="J325" t="s">
        <v>1180</v>
      </c>
      <c r="K325">
        <v>2</v>
      </c>
      <c r="L325">
        <v>2935</v>
      </c>
      <c r="M325">
        <v>0.1</v>
      </c>
      <c r="N325">
        <v>2641.5</v>
      </c>
      <c r="O325">
        <v>0.12</v>
      </c>
      <c r="P325">
        <v>5283</v>
      </c>
      <c r="Q325">
        <v>633.95999999999992</v>
      </c>
      <c r="R325">
        <v>5916.96</v>
      </c>
      <c r="S325" t="s">
        <v>1360</v>
      </c>
      <c r="T325" t="s">
        <v>1368</v>
      </c>
      <c r="U325" s="4">
        <v>45574</v>
      </c>
      <c r="W325" t="b">
        <v>0</v>
      </c>
      <c r="Z325" t="s">
        <v>1396</v>
      </c>
      <c r="AA325" t="s">
        <v>1394</v>
      </c>
      <c r="AB325" t="s">
        <v>1380</v>
      </c>
    </row>
    <row r="326" spans="1:28" x14ac:dyDescent="0.3">
      <c r="A326" t="s">
        <v>430</v>
      </c>
      <c r="B326" s="6">
        <v>45428.51458333333</v>
      </c>
      <c r="C326" t="s">
        <v>132</v>
      </c>
      <c r="D326" t="s">
        <v>1182</v>
      </c>
      <c r="E326" t="s">
        <v>1257</v>
      </c>
      <c r="F326" t="s">
        <v>1143</v>
      </c>
      <c r="G326" t="s">
        <v>1144</v>
      </c>
      <c r="H326" t="s">
        <v>1269</v>
      </c>
      <c r="I326" t="s">
        <v>1270</v>
      </c>
      <c r="J326" t="s">
        <v>1271</v>
      </c>
      <c r="K326">
        <v>2</v>
      </c>
      <c r="L326">
        <v>12490</v>
      </c>
      <c r="M326">
        <v>0.15</v>
      </c>
      <c r="N326">
        <v>10616.5</v>
      </c>
      <c r="O326">
        <v>0.18</v>
      </c>
      <c r="P326">
        <v>21233</v>
      </c>
      <c r="Q326">
        <v>3821.94</v>
      </c>
      <c r="R326">
        <v>25054.94</v>
      </c>
      <c r="S326" t="s">
        <v>1360</v>
      </c>
      <c r="T326" t="s">
        <v>1361</v>
      </c>
      <c r="U326" s="4">
        <v>45428</v>
      </c>
      <c r="V326" s="4">
        <v>45431</v>
      </c>
      <c r="W326" t="b">
        <v>0</v>
      </c>
      <c r="Z326" t="s">
        <v>1386</v>
      </c>
      <c r="AA326" t="s">
        <v>1400</v>
      </c>
      <c r="AB326" t="s">
        <v>1391</v>
      </c>
    </row>
    <row r="327" spans="1:28" x14ac:dyDescent="0.3">
      <c r="A327" t="s">
        <v>433</v>
      </c>
      <c r="B327" s="6">
        <v>45529.57916666667</v>
      </c>
      <c r="C327" t="s">
        <v>378</v>
      </c>
      <c r="D327" t="s">
        <v>1157</v>
      </c>
      <c r="E327" t="s">
        <v>1158</v>
      </c>
      <c r="F327" t="s">
        <v>1143</v>
      </c>
      <c r="G327" t="s">
        <v>1144</v>
      </c>
      <c r="H327" t="s">
        <v>1276</v>
      </c>
      <c r="I327" t="s">
        <v>1286</v>
      </c>
      <c r="J327" t="s">
        <v>1287</v>
      </c>
      <c r="K327">
        <v>2</v>
      </c>
      <c r="L327">
        <v>5456</v>
      </c>
      <c r="M327">
        <v>0</v>
      </c>
      <c r="N327">
        <v>5456</v>
      </c>
      <c r="O327">
        <v>0.18</v>
      </c>
      <c r="P327">
        <v>10912</v>
      </c>
      <c r="Q327">
        <v>1964.16</v>
      </c>
      <c r="R327">
        <v>12876.16</v>
      </c>
      <c r="S327" t="s">
        <v>1360</v>
      </c>
      <c r="T327" t="s">
        <v>1364</v>
      </c>
      <c r="U327" s="4">
        <v>45531</v>
      </c>
      <c r="W327" t="b">
        <v>1</v>
      </c>
      <c r="X327" s="4">
        <v>45548</v>
      </c>
      <c r="Y327" s="4">
        <v>45548</v>
      </c>
      <c r="Z327" t="s">
        <v>1396</v>
      </c>
      <c r="AA327" t="s">
        <v>1387</v>
      </c>
      <c r="AB327" t="s">
        <v>1383</v>
      </c>
    </row>
    <row r="328" spans="1:28" x14ac:dyDescent="0.3">
      <c r="A328" t="s">
        <v>436</v>
      </c>
      <c r="B328" s="6">
        <v>45590.573611111111</v>
      </c>
      <c r="C328" t="s">
        <v>128</v>
      </c>
      <c r="D328" t="s">
        <v>1182</v>
      </c>
      <c r="E328" t="s">
        <v>1183</v>
      </c>
      <c r="F328" t="s">
        <v>1143</v>
      </c>
      <c r="G328" t="s">
        <v>1163</v>
      </c>
      <c r="H328" t="s">
        <v>1240</v>
      </c>
      <c r="I328" t="s">
        <v>1281</v>
      </c>
      <c r="J328" t="s">
        <v>1282</v>
      </c>
      <c r="K328">
        <v>2</v>
      </c>
      <c r="L328">
        <v>780</v>
      </c>
      <c r="M328">
        <v>0.2</v>
      </c>
      <c r="N328">
        <v>624</v>
      </c>
      <c r="O328">
        <v>0.12</v>
      </c>
      <c r="P328">
        <v>1248</v>
      </c>
      <c r="Q328">
        <v>149.76</v>
      </c>
      <c r="R328">
        <v>1397.76</v>
      </c>
      <c r="S328" t="s">
        <v>1363</v>
      </c>
      <c r="T328" t="s">
        <v>1364</v>
      </c>
      <c r="U328" s="4">
        <v>45591</v>
      </c>
      <c r="W328" t="b">
        <v>1</v>
      </c>
      <c r="X328" s="4">
        <v>45605</v>
      </c>
      <c r="Y328" s="4">
        <v>45605</v>
      </c>
      <c r="Z328" t="s">
        <v>1398</v>
      </c>
      <c r="AA328" t="s">
        <v>1394</v>
      </c>
      <c r="AB328" t="s">
        <v>1391</v>
      </c>
    </row>
    <row r="329" spans="1:28" x14ac:dyDescent="0.3">
      <c r="A329" t="s">
        <v>437</v>
      </c>
      <c r="B329" s="6">
        <v>45422.357638888891</v>
      </c>
      <c r="C329" t="s">
        <v>22</v>
      </c>
      <c r="D329" t="s">
        <v>1182</v>
      </c>
      <c r="E329" t="s">
        <v>1183</v>
      </c>
      <c r="F329" t="s">
        <v>1143</v>
      </c>
      <c r="G329" t="s">
        <v>1177</v>
      </c>
      <c r="H329" t="s">
        <v>1192</v>
      </c>
      <c r="I329" t="s">
        <v>1344</v>
      </c>
      <c r="J329" t="s">
        <v>1345</v>
      </c>
      <c r="K329">
        <v>4</v>
      </c>
      <c r="L329">
        <v>1953</v>
      </c>
      <c r="M329">
        <v>0</v>
      </c>
      <c r="N329">
        <v>1953</v>
      </c>
      <c r="O329">
        <v>0.18</v>
      </c>
      <c r="P329">
        <v>7812</v>
      </c>
      <c r="Q329">
        <v>1406.16</v>
      </c>
      <c r="R329">
        <v>9218.16</v>
      </c>
      <c r="S329" t="s">
        <v>1366</v>
      </c>
      <c r="T329" t="s">
        <v>1368</v>
      </c>
      <c r="U329" s="4">
        <v>45423</v>
      </c>
      <c r="W329" t="b">
        <v>0</v>
      </c>
      <c r="Z329" t="s">
        <v>1382</v>
      </c>
      <c r="AA329" t="s">
        <v>1377</v>
      </c>
      <c r="AB329" t="s">
        <v>1393</v>
      </c>
    </row>
    <row r="330" spans="1:28" x14ac:dyDescent="0.3">
      <c r="A330" t="s">
        <v>439</v>
      </c>
      <c r="B330" s="6">
        <v>45509.587500000001</v>
      </c>
      <c r="C330" t="s">
        <v>407</v>
      </c>
      <c r="D330" t="s">
        <v>1157</v>
      </c>
      <c r="E330" t="s">
        <v>1158</v>
      </c>
      <c r="F330" t="s">
        <v>1143</v>
      </c>
      <c r="G330" t="s">
        <v>1172</v>
      </c>
      <c r="H330" t="s">
        <v>1204</v>
      </c>
      <c r="I330" t="s">
        <v>1205</v>
      </c>
      <c r="J330" t="s">
        <v>1206</v>
      </c>
      <c r="K330">
        <v>2</v>
      </c>
      <c r="L330">
        <v>9025</v>
      </c>
      <c r="M330">
        <v>0</v>
      </c>
      <c r="N330">
        <v>9025</v>
      </c>
      <c r="O330">
        <v>0.18</v>
      </c>
      <c r="P330">
        <v>18050</v>
      </c>
      <c r="Q330">
        <v>3249</v>
      </c>
      <c r="R330">
        <v>21299</v>
      </c>
      <c r="S330" t="s">
        <v>1365</v>
      </c>
      <c r="T330" t="s">
        <v>1361</v>
      </c>
      <c r="U330" s="4">
        <v>45510</v>
      </c>
      <c r="V330" s="4">
        <v>45512</v>
      </c>
      <c r="W330" t="b">
        <v>0</v>
      </c>
      <c r="Z330" t="s">
        <v>1382</v>
      </c>
      <c r="AA330" t="s">
        <v>1387</v>
      </c>
      <c r="AB330" t="s">
        <v>1393</v>
      </c>
    </row>
    <row r="331" spans="1:28" x14ac:dyDescent="0.3">
      <c r="A331" t="s">
        <v>440</v>
      </c>
      <c r="B331" s="6">
        <v>45586.501388888886</v>
      </c>
      <c r="C331" t="s">
        <v>135</v>
      </c>
      <c r="D331" t="s">
        <v>1182</v>
      </c>
      <c r="E331" t="s">
        <v>1207</v>
      </c>
      <c r="F331" t="s">
        <v>1143</v>
      </c>
      <c r="G331" t="s">
        <v>1163</v>
      </c>
      <c r="H331" t="s">
        <v>1224</v>
      </c>
      <c r="I331" t="s">
        <v>1316</v>
      </c>
      <c r="J331" t="s">
        <v>1317</v>
      </c>
      <c r="K331">
        <v>2</v>
      </c>
      <c r="L331">
        <v>382</v>
      </c>
      <c r="M331">
        <v>0</v>
      </c>
      <c r="N331">
        <v>382</v>
      </c>
      <c r="O331">
        <v>0.12</v>
      </c>
      <c r="P331">
        <v>764</v>
      </c>
      <c r="Q331">
        <v>91.679999999999993</v>
      </c>
      <c r="R331">
        <v>855.68</v>
      </c>
      <c r="S331" t="s">
        <v>1363</v>
      </c>
      <c r="T331" t="s">
        <v>1361</v>
      </c>
      <c r="U331" s="4">
        <v>45586</v>
      </c>
      <c r="V331" s="4">
        <v>45589</v>
      </c>
      <c r="W331" t="b">
        <v>0</v>
      </c>
      <c r="Z331" t="s">
        <v>1398</v>
      </c>
      <c r="AA331" t="s">
        <v>1397</v>
      </c>
      <c r="AB331" t="s">
        <v>1378</v>
      </c>
    </row>
    <row r="332" spans="1:28" x14ac:dyDescent="0.3">
      <c r="A332" t="s">
        <v>441</v>
      </c>
      <c r="B332" s="6">
        <v>45354.302083333336</v>
      </c>
      <c r="C332" t="s">
        <v>239</v>
      </c>
      <c r="D332" t="s">
        <v>1153</v>
      </c>
      <c r="E332" t="s">
        <v>1162</v>
      </c>
      <c r="F332" t="s">
        <v>1143</v>
      </c>
      <c r="G332" t="s">
        <v>1144</v>
      </c>
      <c r="H332" t="s">
        <v>1269</v>
      </c>
      <c r="I332" t="s">
        <v>1270</v>
      </c>
      <c r="J332" t="s">
        <v>1271</v>
      </c>
      <c r="K332">
        <v>3</v>
      </c>
      <c r="L332">
        <v>9580</v>
      </c>
      <c r="M332">
        <v>0</v>
      </c>
      <c r="N332">
        <v>9580</v>
      </c>
      <c r="O332">
        <v>0.12</v>
      </c>
      <c r="P332">
        <v>28740</v>
      </c>
      <c r="Q332">
        <v>3448.8</v>
      </c>
      <c r="R332">
        <v>32188.799999999999</v>
      </c>
      <c r="S332" t="s">
        <v>1365</v>
      </c>
      <c r="T332" t="s">
        <v>1361</v>
      </c>
      <c r="U332" s="4">
        <v>45354</v>
      </c>
      <c r="V332" s="4">
        <v>45356</v>
      </c>
      <c r="W332" t="b">
        <v>0</v>
      </c>
      <c r="Z332" t="s">
        <v>1384</v>
      </c>
      <c r="AA332" t="s">
        <v>1387</v>
      </c>
      <c r="AB332" t="s">
        <v>1395</v>
      </c>
    </row>
    <row r="333" spans="1:28" x14ac:dyDescent="0.3">
      <c r="A333" t="s">
        <v>443</v>
      </c>
      <c r="B333" s="6">
        <v>45477.501388888886</v>
      </c>
      <c r="C333" t="s">
        <v>444</v>
      </c>
      <c r="D333" t="s">
        <v>1157</v>
      </c>
      <c r="E333" t="s">
        <v>1158</v>
      </c>
      <c r="F333" t="s">
        <v>1143</v>
      </c>
      <c r="G333" t="s">
        <v>1172</v>
      </c>
      <c r="H333" t="s">
        <v>1188</v>
      </c>
      <c r="I333" t="s">
        <v>1258</v>
      </c>
      <c r="J333" t="s">
        <v>1259</v>
      </c>
      <c r="K333">
        <v>2</v>
      </c>
      <c r="L333">
        <v>8955</v>
      </c>
      <c r="M333">
        <v>0.1</v>
      </c>
      <c r="N333">
        <v>8059.5</v>
      </c>
      <c r="O333">
        <v>0.05</v>
      </c>
      <c r="P333">
        <v>16119</v>
      </c>
      <c r="Q333">
        <v>805.95</v>
      </c>
      <c r="R333">
        <v>16924.95</v>
      </c>
      <c r="S333" t="s">
        <v>1362</v>
      </c>
      <c r="T333" t="s">
        <v>1361</v>
      </c>
      <c r="U333" s="4">
        <v>45477</v>
      </c>
      <c r="V333" s="4">
        <v>45482</v>
      </c>
      <c r="W333" t="b">
        <v>0</v>
      </c>
      <c r="Z333" t="s">
        <v>1384</v>
      </c>
      <c r="AA333" t="s">
        <v>1385</v>
      </c>
      <c r="AB333" t="s">
        <v>1383</v>
      </c>
    </row>
    <row r="334" spans="1:28" x14ac:dyDescent="0.3">
      <c r="A334" t="s">
        <v>445</v>
      </c>
      <c r="B334" s="6">
        <v>45584.369444444441</v>
      </c>
      <c r="C334" t="s">
        <v>211</v>
      </c>
      <c r="D334" t="s">
        <v>1157</v>
      </c>
      <c r="E334" t="s">
        <v>1181</v>
      </c>
      <c r="F334" t="s">
        <v>1143</v>
      </c>
      <c r="G334" t="s">
        <v>1172</v>
      </c>
      <c r="H334" t="s">
        <v>1229</v>
      </c>
      <c r="I334" t="s">
        <v>1230</v>
      </c>
      <c r="J334" t="s">
        <v>1231</v>
      </c>
      <c r="K334">
        <v>4</v>
      </c>
      <c r="L334">
        <v>4478</v>
      </c>
      <c r="M334">
        <v>0.15</v>
      </c>
      <c r="N334">
        <v>3806.3</v>
      </c>
      <c r="O334">
        <v>0.12</v>
      </c>
      <c r="P334">
        <v>15225.2</v>
      </c>
      <c r="Q334">
        <v>1827.0239999999999</v>
      </c>
      <c r="R334">
        <v>17052.223999999998</v>
      </c>
      <c r="S334" t="s">
        <v>1365</v>
      </c>
      <c r="T334" t="s">
        <v>1368</v>
      </c>
      <c r="U334" s="4">
        <v>45584</v>
      </c>
      <c r="W334" t="b">
        <v>0</v>
      </c>
      <c r="Z334" t="s">
        <v>1386</v>
      </c>
      <c r="AA334" t="s">
        <v>1400</v>
      </c>
      <c r="AB334" t="s">
        <v>1391</v>
      </c>
    </row>
    <row r="335" spans="1:28" x14ac:dyDescent="0.3">
      <c r="A335" t="s">
        <v>446</v>
      </c>
      <c r="B335" s="6">
        <v>45455.615277777775</v>
      </c>
      <c r="C335" t="s">
        <v>267</v>
      </c>
      <c r="D335" t="s">
        <v>1148</v>
      </c>
      <c r="E335" t="s">
        <v>1217</v>
      </c>
      <c r="F335" t="s">
        <v>1143</v>
      </c>
      <c r="G335" t="s">
        <v>1172</v>
      </c>
      <c r="H335" t="s">
        <v>1198</v>
      </c>
      <c r="I335" t="s">
        <v>1199</v>
      </c>
      <c r="J335" t="s">
        <v>1200</v>
      </c>
      <c r="K335">
        <v>1</v>
      </c>
      <c r="L335">
        <v>5329</v>
      </c>
      <c r="M335">
        <v>0.15</v>
      </c>
      <c r="N335">
        <v>4529.6499999999996</v>
      </c>
      <c r="O335">
        <v>0.18</v>
      </c>
      <c r="P335">
        <v>4529.6499999999996</v>
      </c>
      <c r="Q335">
        <v>815.33699999999988</v>
      </c>
      <c r="R335">
        <v>5344.9869999999992</v>
      </c>
      <c r="S335" t="s">
        <v>1360</v>
      </c>
      <c r="T335" t="s">
        <v>1361</v>
      </c>
      <c r="U335" s="4">
        <v>45456</v>
      </c>
      <c r="V335" s="4">
        <v>45459</v>
      </c>
      <c r="W335" t="b">
        <v>0</v>
      </c>
      <c r="Z335" t="s">
        <v>1392</v>
      </c>
      <c r="AA335" t="s">
        <v>1400</v>
      </c>
      <c r="AB335" t="s">
        <v>1383</v>
      </c>
    </row>
    <row r="336" spans="1:28" x14ac:dyDescent="0.3">
      <c r="A336" t="s">
        <v>447</v>
      </c>
      <c r="B336" s="6">
        <v>45632.529861111114</v>
      </c>
      <c r="C336" t="s">
        <v>158</v>
      </c>
      <c r="D336" t="s">
        <v>1182</v>
      </c>
      <c r="E336" t="s">
        <v>1257</v>
      </c>
      <c r="F336" t="s">
        <v>1143</v>
      </c>
      <c r="G336" t="s">
        <v>1163</v>
      </c>
      <c r="H336" t="s">
        <v>1240</v>
      </c>
      <c r="I336" t="s">
        <v>1241</v>
      </c>
      <c r="J336" t="s">
        <v>1242</v>
      </c>
      <c r="K336">
        <v>2</v>
      </c>
      <c r="L336">
        <v>627</v>
      </c>
      <c r="M336">
        <v>0</v>
      </c>
      <c r="N336">
        <v>627</v>
      </c>
      <c r="O336">
        <v>0.18</v>
      </c>
      <c r="P336">
        <v>1254</v>
      </c>
      <c r="Q336">
        <v>225.72</v>
      </c>
      <c r="R336">
        <v>1479.72</v>
      </c>
      <c r="S336" t="s">
        <v>1360</v>
      </c>
      <c r="T336" t="s">
        <v>1361</v>
      </c>
      <c r="U336" s="4">
        <v>45632</v>
      </c>
      <c r="V336" s="4">
        <v>45635</v>
      </c>
      <c r="W336" t="b">
        <v>0</v>
      </c>
      <c r="Z336" t="s">
        <v>1392</v>
      </c>
      <c r="AA336" t="s">
        <v>1397</v>
      </c>
      <c r="AB336" t="s">
        <v>1391</v>
      </c>
    </row>
    <row r="337" spans="1:28" x14ac:dyDescent="0.3">
      <c r="A337" t="s">
        <v>448</v>
      </c>
      <c r="B337" s="6">
        <v>45626.561805555553</v>
      </c>
      <c r="C337" t="s">
        <v>183</v>
      </c>
      <c r="D337" t="s">
        <v>1182</v>
      </c>
      <c r="E337" t="s">
        <v>1256</v>
      </c>
      <c r="F337" t="s">
        <v>1143</v>
      </c>
      <c r="G337" t="s">
        <v>1163</v>
      </c>
      <c r="H337" t="s">
        <v>1240</v>
      </c>
      <c r="I337" t="s">
        <v>1281</v>
      </c>
      <c r="J337" t="s">
        <v>1282</v>
      </c>
      <c r="K337">
        <v>2</v>
      </c>
      <c r="L337">
        <v>575</v>
      </c>
      <c r="M337">
        <v>0</v>
      </c>
      <c r="N337">
        <v>575</v>
      </c>
      <c r="O337">
        <v>0.12</v>
      </c>
      <c r="P337">
        <v>1150</v>
      </c>
      <c r="Q337">
        <v>138</v>
      </c>
      <c r="R337">
        <v>1288</v>
      </c>
      <c r="S337" t="s">
        <v>1362</v>
      </c>
      <c r="T337" t="s">
        <v>1361</v>
      </c>
      <c r="U337" s="4">
        <v>45626</v>
      </c>
      <c r="V337" s="4">
        <v>45631</v>
      </c>
      <c r="W337" t="b">
        <v>0</v>
      </c>
      <c r="Z337" t="s">
        <v>1376</v>
      </c>
      <c r="AA337" t="s">
        <v>1397</v>
      </c>
      <c r="AB337" t="s">
        <v>1393</v>
      </c>
    </row>
    <row r="338" spans="1:28" x14ac:dyDescent="0.3">
      <c r="A338" t="s">
        <v>449</v>
      </c>
      <c r="B338" s="6">
        <v>45359.534722222219</v>
      </c>
      <c r="C338" t="s">
        <v>45</v>
      </c>
      <c r="D338" t="s">
        <v>1141</v>
      </c>
      <c r="E338" t="s">
        <v>1142</v>
      </c>
      <c r="F338" t="s">
        <v>1143</v>
      </c>
      <c r="G338" t="s">
        <v>1167</v>
      </c>
      <c r="H338" t="s">
        <v>1208</v>
      </c>
      <c r="I338" t="s">
        <v>1322</v>
      </c>
      <c r="J338" t="s">
        <v>1323</v>
      </c>
      <c r="K338">
        <v>2</v>
      </c>
      <c r="L338">
        <v>16421</v>
      </c>
      <c r="M338">
        <v>0.1</v>
      </c>
      <c r="N338">
        <v>14778.9</v>
      </c>
      <c r="O338">
        <v>0.12</v>
      </c>
      <c r="P338">
        <v>29557.8</v>
      </c>
      <c r="Q338">
        <v>3546.9360000000001</v>
      </c>
      <c r="R338">
        <v>33104.735999999997</v>
      </c>
      <c r="S338" t="s">
        <v>1360</v>
      </c>
      <c r="T338" t="s">
        <v>1361</v>
      </c>
      <c r="U338" s="4">
        <v>45361</v>
      </c>
      <c r="V338" s="4">
        <v>45365</v>
      </c>
      <c r="W338" t="b">
        <v>0</v>
      </c>
      <c r="Z338" t="s">
        <v>1382</v>
      </c>
      <c r="AA338" t="s">
        <v>1399</v>
      </c>
      <c r="AB338" t="s">
        <v>1380</v>
      </c>
    </row>
    <row r="339" spans="1:28" x14ac:dyDescent="0.3">
      <c r="A339" t="s">
        <v>450</v>
      </c>
      <c r="B339" s="6">
        <v>45744.547222222223</v>
      </c>
      <c r="C339" t="s">
        <v>273</v>
      </c>
      <c r="D339" t="s">
        <v>1157</v>
      </c>
      <c r="E339" t="s">
        <v>1158</v>
      </c>
      <c r="F339" t="s">
        <v>1143</v>
      </c>
      <c r="G339" t="s">
        <v>1167</v>
      </c>
      <c r="H339" t="s">
        <v>1168</v>
      </c>
      <c r="I339" t="s">
        <v>1314</v>
      </c>
      <c r="J339" t="s">
        <v>1315</v>
      </c>
      <c r="K339">
        <v>1</v>
      </c>
      <c r="L339">
        <v>27520</v>
      </c>
      <c r="M339">
        <v>0</v>
      </c>
      <c r="N339">
        <v>27520</v>
      </c>
      <c r="O339">
        <v>0.12</v>
      </c>
      <c r="P339">
        <v>27520</v>
      </c>
      <c r="Q339">
        <v>3302.4</v>
      </c>
      <c r="R339">
        <v>30822.400000000001</v>
      </c>
      <c r="S339" t="s">
        <v>1366</v>
      </c>
      <c r="T339" t="s">
        <v>1361</v>
      </c>
      <c r="U339" s="4">
        <v>45745</v>
      </c>
      <c r="V339" s="4">
        <v>45750</v>
      </c>
      <c r="W339" t="b">
        <v>0</v>
      </c>
      <c r="Z339" t="s">
        <v>1396</v>
      </c>
      <c r="AA339" t="s">
        <v>1397</v>
      </c>
      <c r="AB339" t="s">
        <v>1383</v>
      </c>
    </row>
    <row r="340" spans="1:28" x14ac:dyDescent="0.3">
      <c r="A340" t="s">
        <v>451</v>
      </c>
      <c r="B340" s="6">
        <v>45332.570138888892</v>
      </c>
      <c r="C340" t="s">
        <v>275</v>
      </c>
      <c r="D340" t="s">
        <v>1141</v>
      </c>
      <c r="E340" t="s">
        <v>1227</v>
      </c>
      <c r="F340" t="s">
        <v>1143</v>
      </c>
      <c r="G340" t="s">
        <v>1172</v>
      </c>
      <c r="H340" t="s">
        <v>1188</v>
      </c>
      <c r="I340" t="s">
        <v>1232</v>
      </c>
      <c r="J340" t="s">
        <v>1233</v>
      </c>
      <c r="K340">
        <v>1</v>
      </c>
      <c r="L340">
        <v>2178</v>
      </c>
      <c r="M340">
        <v>0.1</v>
      </c>
      <c r="N340">
        <v>1960.2</v>
      </c>
      <c r="O340">
        <v>0.12</v>
      </c>
      <c r="P340">
        <v>1960.2</v>
      </c>
      <c r="Q340">
        <v>235.22399999999999</v>
      </c>
      <c r="R340">
        <v>2195.424</v>
      </c>
      <c r="S340" t="s">
        <v>1360</v>
      </c>
      <c r="T340" t="s">
        <v>1368</v>
      </c>
      <c r="U340" s="4">
        <v>45334</v>
      </c>
      <c r="W340" t="b">
        <v>0</v>
      </c>
      <c r="Z340" t="s">
        <v>1390</v>
      </c>
      <c r="AA340" t="s">
        <v>1387</v>
      </c>
      <c r="AB340" t="s">
        <v>1378</v>
      </c>
    </row>
    <row r="341" spans="1:28" x14ac:dyDescent="0.3">
      <c r="A341" t="s">
        <v>454</v>
      </c>
      <c r="B341" s="6">
        <v>45566.478472222225</v>
      </c>
      <c r="C341" t="s">
        <v>251</v>
      </c>
      <c r="D341" t="s">
        <v>1148</v>
      </c>
      <c r="E341" t="s">
        <v>1171</v>
      </c>
      <c r="F341" t="s">
        <v>1143</v>
      </c>
      <c r="G341" t="s">
        <v>1144</v>
      </c>
      <c r="H341" t="s">
        <v>1214</v>
      </c>
      <c r="I341" t="s">
        <v>1320</v>
      </c>
      <c r="J341" t="s">
        <v>1321</v>
      </c>
      <c r="K341">
        <v>2</v>
      </c>
      <c r="L341">
        <v>8246</v>
      </c>
      <c r="M341">
        <v>0</v>
      </c>
      <c r="N341">
        <v>8246</v>
      </c>
      <c r="O341">
        <v>0.12</v>
      </c>
      <c r="P341">
        <v>16492</v>
      </c>
      <c r="Q341">
        <v>1979.04</v>
      </c>
      <c r="R341">
        <v>18471.04</v>
      </c>
      <c r="S341" t="s">
        <v>1363</v>
      </c>
      <c r="T341" t="s">
        <v>1361</v>
      </c>
      <c r="U341" s="4">
        <v>45566</v>
      </c>
      <c r="V341" s="4">
        <v>45571</v>
      </c>
      <c r="W341" t="b">
        <v>0</v>
      </c>
      <c r="Z341" t="s">
        <v>1384</v>
      </c>
      <c r="AA341" t="s">
        <v>1377</v>
      </c>
      <c r="AB341" t="s">
        <v>1389</v>
      </c>
    </row>
    <row r="342" spans="1:28" x14ac:dyDescent="0.3">
      <c r="A342" t="s">
        <v>458</v>
      </c>
      <c r="B342" s="6">
        <v>45558.549305555556</v>
      </c>
      <c r="C342" t="s">
        <v>146</v>
      </c>
      <c r="D342" t="s">
        <v>1148</v>
      </c>
      <c r="E342" t="s">
        <v>1149</v>
      </c>
      <c r="F342" t="s">
        <v>1143</v>
      </c>
      <c r="G342" t="s">
        <v>1163</v>
      </c>
      <c r="H342" t="s">
        <v>1164</v>
      </c>
      <c r="I342" t="s">
        <v>1324</v>
      </c>
      <c r="J342" t="s">
        <v>1325</v>
      </c>
      <c r="K342">
        <v>2</v>
      </c>
      <c r="L342">
        <v>1033</v>
      </c>
      <c r="M342">
        <v>0.05</v>
      </c>
      <c r="N342">
        <v>981.34999999999991</v>
      </c>
      <c r="O342">
        <v>0.12</v>
      </c>
      <c r="P342">
        <v>1962.7</v>
      </c>
      <c r="Q342">
        <v>235.524</v>
      </c>
      <c r="R342">
        <v>2198.2240000000002</v>
      </c>
      <c r="S342" t="s">
        <v>1366</v>
      </c>
      <c r="T342" t="s">
        <v>1361</v>
      </c>
      <c r="U342" s="4">
        <v>45560</v>
      </c>
      <c r="V342" s="4">
        <v>45563</v>
      </c>
      <c r="W342" t="b">
        <v>0</v>
      </c>
      <c r="Z342" t="s">
        <v>1376</v>
      </c>
      <c r="AA342" t="s">
        <v>1394</v>
      </c>
      <c r="AB342" t="s">
        <v>1378</v>
      </c>
    </row>
    <row r="343" spans="1:28" x14ac:dyDescent="0.3">
      <c r="A343" t="s">
        <v>459</v>
      </c>
      <c r="B343" s="6">
        <v>45532.697916666664</v>
      </c>
      <c r="C343" t="s">
        <v>460</v>
      </c>
      <c r="D343" t="s">
        <v>1182</v>
      </c>
      <c r="E343" t="s">
        <v>1256</v>
      </c>
      <c r="F343" t="s">
        <v>1143</v>
      </c>
      <c r="G343" t="s">
        <v>1167</v>
      </c>
      <c r="H343" t="s">
        <v>1288</v>
      </c>
      <c r="I343" t="s">
        <v>1336</v>
      </c>
      <c r="J343" t="s">
        <v>1337</v>
      </c>
      <c r="K343">
        <v>3</v>
      </c>
      <c r="L343">
        <v>4320</v>
      </c>
      <c r="M343">
        <v>0.05</v>
      </c>
      <c r="N343">
        <v>4104</v>
      </c>
      <c r="O343">
        <v>0.05</v>
      </c>
      <c r="P343">
        <v>12312</v>
      </c>
      <c r="Q343">
        <v>615.6</v>
      </c>
      <c r="R343">
        <v>12927.6</v>
      </c>
      <c r="S343" t="s">
        <v>1366</v>
      </c>
      <c r="T343" t="s">
        <v>1361</v>
      </c>
      <c r="U343" s="4">
        <v>45533</v>
      </c>
      <c r="V343" s="4">
        <v>45538</v>
      </c>
      <c r="W343" t="b">
        <v>0</v>
      </c>
      <c r="Z343" t="s">
        <v>1398</v>
      </c>
      <c r="AA343" t="s">
        <v>1387</v>
      </c>
      <c r="AB343" t="s">
        <v>1395</v>
      </c>
    </row>
    <row r="344" spans="1:28" x14ac:dyDescent="0.3">
      <c r="A344" t="s">
        <v>461</v>
      </c>
      <c r="B344" s="6">
        <v>45644.54791666667</v>
      </c>
      <c r="C344" t="s">
        <v>462</v>
      </c>
      <c r="D344" t="s">
        <v>1148</v>
      </c>
      <c r="E344" t="s">
        <v>1149</v>
      </c>
      <c r="F344" t="s">
        <v>1143</v>
      </c>
      <c r="G344" t="s">
        <v>1163</v>
      </c>
      <c r="H344" t="s">
        <v>1164</v>
      </c>
      <c r="I344" t="s">
        <v>1324</v>
      </c>
      <c r="J344" t="s">
        <v>1325</v>
      </c>
      <c r="K344">
        <v>4</v>
      </c>
      <c r="L344">
        <v>211</v>
      </c>
      <c r="M344">
        <v>0</v>
      </c>
      <c r="N344">
        <v>211</v>
      </c>
      <c r="O344">
        <v>0.12</v>
      </c>
      <c r="P344">
        <v>844</v>
      </c>
      <c r="Q344">
        <v>101.28</v>
      </c>
      <c r="R344">
        <v>945.28</v>
      </c>
      <c r="S344" t="s">
        <v>1363</v>
      </c>
      <c r="T344" t="s">
        <v>1361</v>
      </c>
      <c r="U344" s="4">
        <v>45646</v>
      </c>
      <c r="V344" s="4">
        <v>45649</v>
      </c>
      <c r="W344" t="b">
        <v>0</v>
      </c>
      <c r="Z344" t="s">
        <v>1398</v>
      </c>
      <c r="AA344" t="s">
        <v>1397</v>
      </c>
      <c r="AB344" t="s">
        <v>1380</v>
      </c>
    </row>
    <row r="345" spans="1:28" x14ac:dyDescent="0.3">
      <c r="A345" t="s">
        <v>463</v>
      </c>
      <c r="B345" s="6">
        <v>45675.467361111114</v>
      </c>
      <c r="C345" t="s">
        <v>267</v>
      </c>
      <c r="D345" t="s">
        <v>1148</v>
      </c>
      <c r="E345" t="s">
        <v>1217</v>
      </c>
      <c r="F345" t="s">
        <v>1143</v>
      </c>
      <c r="G345" t="s">
        <v>1144</v>
      </c>
      <c r="H345" t="s">
        <v>1159</v>
      </c>
      <c r="I345" t="s">
        <v>1160</v>
      </c>
      <c r="J345" t="s">
        <v>1161</v>
      </c>
      <c r="K345">
        <v>1</v>
      </c>
      <c r="L345">
        <v>2455</v>
      </c>
      <c r="M345">
        <v>0.2</v>
      </c>
      <c r="N345">
        <v>1964</v>
      </c>
      <c r="O345">
        <v>0.12</v>
      </c>
      <c r="P345">
        <v>1964</v>
      </c>
      <c r="Q345">
        <v>235.68</v>
      </c>
      <c r="R345">
        <v>2199.6799999999998</v>
      </c>
      <c r="S345" t="s">
        <v>1360</v>
      </c>
      <c r="T345" t="s">
        <v>1361</v>
      </c>
      <c r="U345" s="4">
        <v>45675</v>
      </c>
      <c r="V345" s="4">
        <v>45679</v>
      </c>
      <c r="W345" t="b">
        <v>0</v>
      </c>
      <c r="Z345" t="s">
        <v>1384</v>
      </c>
      <c r="AA345" t="s">
        <v>1394</v>
      </c>
      <c r="AB345" t="s">
        <v>1380</v>
      </c>
    </row>
    <row r="346" spans="1:28" x14ac:dyDescent="0.3">
      <c r="A346" t="s">
        <v>465</v>
      </c>
      <c r="B346" s="6">
        <v>45668.666666666664</v>
      </c>
      <c r="C346" t="s">
        <v>88</v>
      </c>
      <c r="D346" t="s">
        <v>1148</v>
      </c>
      <c r="E346" t="s">
        <v>1262</v>
      </c>
      <c r="F346" t="s">
        <v>1143</v>
      </c>
      <c r="G346" t="s">
        <v>1177</v>
      </c>
      <c r="H346" t="s">
        <v>1195</v>
      </c>
      <c r="I346" t="s">
        <v>1196</v>
      </c>
      <c r="J346" t="s">
        <v>1197</v>
      </c>
      <c r="K346">
        <v>1</v>
      </c>
      <c r="L346">
        <v>1925</v>
      </c>
      <c r="M346">
        <v>0.05</v>
      </c>
      <c r="N346">
        <v>1828.75</v>
      </c>
      <c r="O346">
        <v>0.12</v>
      </c>
      <c r="P346">
        <v>1828.75</v>
      </c>
      <c r="Q346">
        <v>219.45</v>
      </c>
      <c r="R346">
        <v>2048.1999999999998</v>
      </c>
      <c r="S346" t="s">
        <v>1360</v>
      </c>
      <c r="T346" t="s">
        <v>1361</v>
      </c>
      <c r="U346" s="4">
        <v>45669</v>
      </c>
      <c r="V346" s="4">
        <v>45670</v>
      </c>
      <c r="W346" t="b">
        <v>0</v>
      </c>
      <c r="Z346" t="s">
        <v>1392</v>
      </c>
      <c r="AA346" t="s">
        <v>1387</v>
      </c>
      <c r="AB346" t="s">
        <v>1378</v>
      </c>
    </row>
    <row r="347" spans="1:28" x14ac:dyDescent="0.3">
      <c r="A347" t="s">
        <v>466</v>
      </c>
      <c r="B347" s="6">
        <v>45566.501388888886</v>
      </c>
      <c r="C347" t="s">
        <v>146</v>
      </c>
      <c r="D347" t="s">
        <v>1148</v>
      </c>
      <c r="E347" t="s">
        <v>1149</v>
      </c>
      <c r="F347" t="s">
        <v>1143</v>
      </c>
      <c r="G347" t="s">
        <v>1167</v>
      </c>
      <c r="H347" t="s">
        <v>1208</v>
      </c>
      <c r="I347" t="s">
        <v>1291</v>
      </c>
      <c r="J347" t="s">
        <v>1292</v>
      </c>
      <c r="K347">
        <v>3</v>
      </c>
      <c r="L347">
        <v>4226</v>
      </c>
      <c r="M347">
        <v>0</v>
      </c>
      <c r="N347">
        <v>4226</v>
      </c>
      <c r="O347">
        <v>0.18</v>
      </c>
      <c r="P347">
        <v>12678</v>
      </c>
      <c r="Q347">
        <v>2282.04</v>
      </c>
      <c r="R347">
        <v>14960.04</v>
      </c>
      <c r="S347" t="s">
        <v>1362</v>
      </c>
      <c r="T347" t="s">
        <v>1361</v>
      </c>
      <c r="U347" s="4">
        <v>45568</v>
      </c>
      <c r="V347" s="4">
        <v>45571</v>
      </c>
      <c r="W347" t="b">
        <v>0</v>
      </c>
      <c r="Z347" t="s">
        <v>1376</v>
      </c>
      <c r="AA347" t="s">
        <v>1399</v>
      </c>
      <c r="AB347" t="s">
        <v>1383</v>
      </c>
    </row>
    <row r="348" spans="1:28" x14ac:dyDescent="0.3">
      <c r="A348" t="s">
        <v>467</v>
      </c>
      <c r="B348" s="6">
        <v>45736.477083333331</v>
      </c>
      <c r="C348" t="s">
        <v>227</v>
      </c>
      <c r="D348" t="s">
        <v>1153</v>
      </c>
      <c r="E348" t="s">
        <v>1154</v>
      </c>
      <c r="F348" t="s">
        <v>1143</v>
      </c>
      <c r="G348" t="s">
        <v>1163</v>
      </c>
      <c r="H348" t="s">
        <v>1184</v>
      </c>
      <c r="I348" t="s">
        <v>1185</v>
      </c>
      <c r="J348" t="s">
        <v>1186</v>
      </c>
      <c r="K348">
        <v>1</v>
      </c>
      <c r="L348">
        <v>839</v>
      </c>
      <c r="M348">
        <v>0.05</v>
      </c>
      <c r="N348">
        <v>797.05</v>
      </c>
      <c r="O348">
        <v>0.05</v>
      </c>
      <c r="P348">
        <v>797.05</v>
      </c>
      <c r="Q348">
        <v>39.852499999999999</v>
      </c>
      <c r="R348">
        <v>836.90249999999992</v>
      </c>
      <c r="S348" t="s">
        <v>1363</v>
      </c>
      <c r="T348" t="s">
        <v>1361</v>
      </c>
      <c r="U348" s="4">
        <v>45736</v>
      </c>
      <c r="V348" s="4">
        <v>45740</v>
      </c>
      <c r="W348" t="b">
        <v>0</v>
      </c>
      <c r="Z348" t="s">
        <v>1396</v>
      </c>
      <c r="AA348" t="s">
        <v>1400</v>
      </c>
      <c r="AB348" t="s">
        <v>1393</v>
      </c>
    </row>
    <row r="349" spans="1:28" x14ac:dyDescent="0.3">
      <c r="A349" t="s">
        <v>468</v>
      </c>
      <c r="B349" s="6">
        <v>45324.536805555559</v>
      </c>
      <c r="C349" t="s">
        <v>469</v>
      </c>
      <c r="D349" t="s">
        <v>1153</v>
      </c>
      <c r="E349" t="s">
        <v>1176</v>
      </c>
      <c r="F349" t="s">
        <v>1143</v>
      </c>
      <c r="G349" t="s">
        <v>1172</v>
      </c>
      <c r="H349" t="s">
        <v>1198</v>
      </c>
      <c r="I349" t="s">
        <v>1250</v>
      </c>
      <c r="J349" t="s">
        <v>1251</v>
      </c>
      <c r="K349">
        <v>3</v>
      </c>
      <c r="L349">
        <v>1210</v>
      </c>
      <c r="M349">
        <v>0</v>
      </c>
      <c r="N349">
        <v>1210</v>
      </c>
      <c r="O349">
        <v>0.12</v>
      </c>
      <c r="P349">
        <v>3630</v>
      </c>
      <c r="Q349">
        <v>435.6</v>
      </c>
      <c r="R349">
        <v>4065.6</v>
      </c>
      <c r="S349" t="s">
        <v>1360</v>
      </c>
      <c r="T349" t="s">
        <v>1361</v>
      </c>
      <c r="U349" s="4">
        <v>45325</v>
      </c>
      <c r="V349" s="4">
        <v>45329</v>
      </c>
      <c r="W349" t="b">
        <v>0</v>
      </c>
      <c r="Z349" t="s">
        <v>1384</v>
      </c>
      <c r="AA349" t="s">
        <v>1394</v>
      </c>
      <c r="AB349" t="s">
        <v>1383</v>
      </c>
    </row>
    <row r="350" spans="1:28" x14ac:dyDescent="0.3">
      <c r="A350" t="s">
        <v>470</v>
      </c>
      <c r="B350" s="6">
        <v>45373.436111111114</v>
      </c>
      <c r="C350" t="s">
        <v>374</v>
      </c>
      <c r="D350" t="s">
        <v>1153</v>
      </c>
      <c r="E350" t="s">
        <v>1162</v>
      </c>
      <c r="F350" t="s">
        <v>1143</v>
      </c>
      <c r="G350" t="s">
        <v>1144</v>
      </c>
      <c r="H350" t="s">
        <v>1214</v>
      </c>
      <c r="I350" t="s">
        <v>1320</v>
      </c>
      <c r="J350" t="s">
        <v>1321</v>
      </c>
      <c r="K350">
        <v>1</v>
      </c>
      <c r="L350">
        <v>11133</v>
      </c>
      <c r="M350">
        <v>0.05</v>
      </c>
      <c r="N350">
        <v>10576.35</v>
      </c>
      <c r="O350">
        <v>0.18</v>
      </c>
      <c r="P350">
        <v>10576.35</v>
      </c>
      <c r="Q350">
        <v>1903.7429999999999</v>
      </c>
      <c r="R350">
        <v>12480.093000000001</v>
      </c>
      <c r="S350" t="s">
        <v>1363</v>
      </c>
      <c r="T350" t="s">
        <v>1361</v>
      </c>
      <c r="U350" s="4">
        <v>45374</v>
      </c>
      <c r="V350" s="4">
        <v>45375</v>
      </c>
      <c r="W350" t="b">
        <v>0</v>
      </c>
      <c r="Z350" t="s">
        <v>1396</v>
      </c>
      <c r="AA350" t="s">
        <v>1394</v>
      </c>
      <c r="AB350" t="s">
        <v>1380</v>
      </c>
    </row>
    <row r="351" spans="1:28" x14ac:dyDescent="0.3">
      <c r="A351" t="s">
        <v>472</v>
      </c>
      <c r="B351" s="6">
        <v>45315.654861111114</v>
      </c>
      <c r="C351" t="s">
        <v>30</v>
      </c>
      <c r="D351" t="s">
        <v>1153</v>
      </c>
      <c r="E351" t="s">
        <v>1162</v>
      </c>
      <c r="F351" t="s">
        <v>1143</v>
      </c>
      <c r="G351" t="s">
        <v>1172</v>
      </c>
      <c r="H351" t="s">
        <v>1188</v>
      </c>
      <c r="I351" t="s">
        <v>1232</v>
      </c>
      <c r="J351" t="s">
        <v>1233</v>
      </c>
      <c r="K351">
        <v>4</v>
      </c>
      <c r="L351">
        <v>8405</v>
      </c>
      <c r="M351">
        <v>0.1</v>
      </c>
      <c r="N351">
        <v>7564.5</v>
      </c>
      <c r="O351">
        <v>0.12</v>
      </c>
      <c r="P351">
        <v>30258</v>
      </c>
      <c r="Q351">
        <v>3630.96</v>
      </c>
      <c r="R351">
        <v>33888.959999999999</v>
      </c>
      <c r="S351" t="s">
        <v>1363</v>
      </c>
      <c r="T351" t="s">
        <v>1361</v>
      </c>
      <c r="U351" s="4">
        <v>45315</v>
      </c>
      <c r="V351" s="4">
        <v>45316</v>
      </c>
      <c r="W351" t="b">
        <v>0</v>
      </c>
      <c r="Z351" t="s">
        <v>1392</v>
      </c>
      <c r="AA351" t="s">
        <v>1397</v>
      </c>
      <c r="AB351" t="s">
        <v>1378</v>
      </c>
    </row>
    <row r="352" spans="1:28" x14ac:dyDescent="0.3">
      <c r="A352" t="s">
        <v>473</v>
      </c>
      <c r="B352" s="6">
        <v>45341.543055555558</v>
      </c>
      <c r="C352" t="s">
        <v>128</v>
      </c>
      <c r="D352" t="s">
        <v>1182</v>
      </c>
      <c r="E352" t="s">
        <v>1183</v>
      </c>
      <c r="F352" t="s">
        <v>1143</v>
      </c>
      <c r="G352" t="s">
        <v>1163</v>
      </c>
      <c r="H352" t="s">
        <v>1184</v>
      </c>
      <c r="I352" t="s">
        <v>1260</v>
      </c>
      <c r="J352" t="s">
        <v>1261</v>
      </c>
      <c r="K352">
        <v>1</v>
      </c>
      <c r="L352">
        <v>1077</v>
      </c>
      <c r="M352">
        <v>0.2</v>
      </c>
      <c r="N352">
        <v>861.6</v>
      </c>
      <c r="O352">
        <v>0.18</v>
      </c>
      <c r="P352">
        <v>861.6</v>
      </c>
      <c r="Q352">
        <v>155.08799999999999</v>
      </c>
      <c r="R352">
        <v>1016.688</v>
      </c>
      <c r="S352" t="s">
        <v>1363</v>
      </c>
      <c r="T352" t="s">
        <v>1361</v>
      </c>
      <c r="U352" s="4">
        <v>45342</v>
      </c>
      <c r="V352" s="4">
        <v>45346</v>
      </c>
      <c r="W352" t="b">
        <v>0</v>
      </c>
      <c r="Z352" t="s">
        <v>1386</v>
      </c>
      <c r="AA352" t="s">
        <v>1385</v>
      </c>
      <c r="AB352" t="s">
        <v>1389</v>
      </c>
    </row>
    <row r="353" spans="1:28" x14ac:dyDescent="0.3">
      <c r="A353" t="s">
        <v>474</v>
      </c>
      <c r="B353" s="6">
        <v>45636.613194444442</v>
      </c>
      <c r="C353" t="s">
        <v>77</v>
      </c>
      <c r="D353" t="s">
        <v>1182</v>
      </c>
      <c r="E353" t="s">
        <v>1256</v>
      </c>
      <c r="F353" t="s">
        <v>1143</v>
      </c>
      <c r="G353" t="s">
        <v>1172</v>
      </c>
      <c r="H353" t="s">
        <v>1204</v>
      </c>
      <c r="I353" t="s">
        <v>1205</v>
      </c>
      <c r="J353" t="s">
        <v>1206</v>
      </c>
      <c r="K353">
        <v>2</v>
      </c>
      <c r="L353">
        <v>1839</v>
      </c>
      <c r="M353">
        <v>0</v>
      </c>
      <c r="N353">
        <v>1839</v>
      </c>
      <c r="O353">
        <v>0.12</v>
      </c>
      <c r="P353">
        <v>3678</v>
      </c>
      <c r="Q353">
        <v>441.36</v>
      </c>
      <c r="R353">
        <v>4119.3599999999997</v>
      </c>
      <c r="S353" t="s">
        <v>1362</v>
      </c>
      <c r="T353" t="s">
        <v>1361</v>
      </c>
      <c r="U353" s="4">
        <v>45638</v>
      </c>
      <c r="V353" s="4">
        <v>45642</v>
      </c>
      <c r="W353" t="b">
        <v>0</v>
      </c>
      <c r="Z353" t="s">
        <v>1388</v>
      </c>
      <c r="AA353" t="s">
        <v>1397</v>
      </c>
      <c r="AB353" t="s">
        <v>1389</v>
      </c>
    </row>
    <row r="354" spans="1:28" x14ac:dyDescent="0.3">
      <c r="A354" t="s">
        <v>478</v>
      </c>
      <c r="B354" s="6">
        <v>45452.587500000001</v>
      </c>
      <c r="C354" t="s">
        <v>26</v>
      </c>
      <c r="D354" t="s">
        <v>1153</v>
      </c>
      <c r="E354" t="s">
        <v>1191</v>
      </c>
      <c r="F354" t="s">
        <v>1143</v>
      </c>
      <c r="G354" t="s">
        <v>1167</v>
      </c>
      <c r="H354" t="s">
        <v>1288</v>
      </c>
      <c r="I354" t="s">
        <v>1293</v>
      </c>
      <c r="J354" t="s">
        <v>1294</v>
      </c>
      <c r="K354">
        <v>3</v>
      </c>
      <c r="L354">
        <v>35804</v>
      </c>
      <c r="M354">
        <v>0.05</v>
      </c>
      <c r="N354">
        <v>34013.800000000003</v>
      </c>
      <c r="O354">
        <v>0.12</v>
      </c>
      <c r="P354">
        <v>102041.4</v>
      </c>
      <c r="Q354">
        <v>12244.968000000001</v>
      </c>
      <c r="R354">
        <v>114286.368</v>
      </c>
      <c r="S354" t="s">
        <v>1360</v>
      </c>
      <c r="T354" t="s">
        <v>1361</v>
      </c>
      <c r="U354" s="4">
        <v>45454</v>
      </c>
      <c r="V354" s="4">
        <v>45457</v>
      </c>
      <c r="W354" t="b">
        <v>0</v>
      </c>
      <c r="Z354" t="s">
        <v>1398</v>
      </c>
      <c r="AA354" t="s">
        <v>1387</v>
      </c>
      <c r="AB354" t="s">
        <v>1383</v>
      </c>
    </row>
    <row r="355" spans="1:28" x14ac:dyDescent="0.3">
      <c r="A355" t="s">
        <v>479</v>
      </c>
      <c r="B355" s="6">
        <v>45563.560416666667</v>
      </c>
      <c r="C355" t="s">
        <v>119</v>
      </c>
      <c r="D355" t="s">
        <v>1148</v>
      </c>
      <c r="E355" t="s">
        <v>1149</v>
      </c>
      <c r="F355" t="s">
        <v>1143</v>
      </c>
      <c r="G355" t="s">
        <v>1144</v>
      </c>
      <c r="H355" t="s">
        <v>1276</v>
      </c>
      <c r="I355" t="s">
        <v>1307</v>
      </c>
      <c r="J355" t="s">
        <v>1308</v>
      </c>
      <c r="K355">
        <v>2</v>
      </c>
      <c r="L355">
        <v>2165</v>
      </c>
      <c r="M355">
        <v>0.1</v>
      </c>
      <c r="N355">
        <v>1948.5</v>
      </c>
      <c r="O355">
        <v>0.12</v>
      </c>
      <c r="P355">
        <v>3897</v>
      </c>
      <c r="Q355">
        <v>467.64</v>
      </c>
      <c r="R355">
        <v>4364.6400000000003</v>
      </c>
      <c r="S355" t="s">
        <v>1365</v>
      </c>
      <c r="T355" t="s">
        <v>1361</v>
      </c>
      <c r="U355" s="4">
        <v>45565</v>
      </c>
      <c r="V355" s="4">
        <v>45570</v>
      </c>
      <c r="W355" t="b">
        <v>0</v>
      </c>
      <c r="Z355" t="s">
        <v>1396</v>
      </c>
      <c r="AA355" t="s">
        <v>1394</v>
      </c>
      <c r="AB355" t="s">
        <v>1395</v>
      </c>
    </row>
    <row r="356" spans="1:28" x14ac:dyDescent="0.3">
      <c r="A356" t="s">
        <v>480</v>
      </c>
      <c r="B356" s="6">
        <v>45344.493055555555</v>
      </c>
      <c r="C356" t="s">
        <v>155</v>
      </c>
      <c r="D356" t="s">
        <v>1157</v>
      </c>
      <c r="E356" t="s">
        <v>1158</v>
      </c>
      <c r="F356" t="s">
        <v>1143</v>
      </c>
      <c r="G356" t="s">
        <v>1163</v>
      </c>
      <c r="H356" t="s">
        <v>1164</v>
      </c>
      <c r="I356" t="s">
        <v>1318</v>
      </c>
      <c r="J356" t="s">
        <v>1319</v>
      </c>
      <c r="K356">
        <v>1</v>
      </c>
      <c r="L356">
        <v>1088</v>
      </c>
      <c r="M356">
        <v>0</v>
      </c>
      <c r="N356">
        <v>1088</v>
      </c>
      <c r="O356">
        <v>0.18</v>
      </c>
      <c r="P356">
        <v>1088</v>
      </c>
      <c r="Q356">
        <v>195.84</v>
      </c>
      <c r="R356">
        <v>1283.8399999999999</v>
      </c>
      <c r="S356" t="s">
        <v>1360</v>
      </c>
      <c r="T356" t="s">
        <v>1361</v>
      </c>
      <c r="U356" s="4">
        <v>45345</v>
      </c>
      <c r="V356" s="4">
        <v>45346</v>
      </c>
      <c r="W356" t="b">
        <v>0</v>
      </c>
      <c r="Z356" t="s">
        <v>1379</v>
      </c>
      <c r="AA356" t="s">
        <v>1377</v>
      </c>
      <c r="AB356" t="s">
        <v>1391</v>
      </c>
    </row>
    <row r="357" spans="1:28" x14ac:dyDescent="0.3">
      <c r="A357" t="s">
        <v>481</v>
      </c>
      <c r="B357" s="6">
        <v>45336.43472222222</v>
      </c>
      <c r="C357" t="s">
        <v>288</v>
      </c>
      <c r="D357" t="s">
        <v>1148</v>
      </c>
      <c r="E357" t="s">
        <v>1262</v>
      </c>
      <c r="F357" t="s">
        <v>1143</v>
      </c>
      <c r="G357" t="s">
        <v>1172</v>
      </c>
      <c r="H357" t="s">
        <v>1188</v>
      </c>
      <c r="I357" t="s">
        <v>1258</v>
      </c>
      <c r="J357" t="s">
        <v>1259</v>
      </c>
      <c r="K357">
        <v>2</v>
      </c>
      <c r="L357">
        <v>4021</v>
      </c>
      <c r="M357">
        <v>0.2</v>
      </c>
      <c r="N357">
        <v>3216.8</v>
      </c>
      <c r="O357">
        <v>0.18</v>
      </c>
      <c r="P357">
        <v>6433.6</v>
      </c>
      <c r="Q357">
        <v>1158.048</v>
      </c>
      <c r="R357">
        <v>7591.6480000000001</v>
      </c>
      <c r="S357" t="s">
        <v>1360</v>
      </c>
      <c r="T357" t="s">
        <v>1361</v>
      </c>
      <c r="U357" s="4">
        <v>45337</v>
      </c>
      <c r="V357" s="4">
        <v>45341</v>
      </c>
      <c r="W357" t="b">
        <v>0</v>
      </c>
      <c r="Z357" t="s">
        <v>1396</v>
      </c>
      <c r="AA357" t="s">
        <v>1385</v>
      </c>
      <c r="AB357" t="s">
        <v>1391</v>
      </c>
    </row>
    <row r="358" spans="1:28" x14ac:dyDescent="0.3">
      <c r="A358" t="s">
        <v>482</v>
      </c>
      <c r="B358" s="6">
        <v>45377.61041666667</v>
      </c>
      <c r="C358" t="s">
        <v>444</v>
      </c>
      <c r="D358" t="s">
        <v>1157</v>
      </c>
      <c r="E358" t="s">
        <v>1158</v>
      </c>
      <c r="F358" t="s">
        <v>1143</v>
      </c>
      <c r="G358" t="s">
        <v>1163</v>
      </c>
      <c r="H358" t="s">
        <v>1184</v>
      </c>
      <c r="I358" t="s">
        <v>1185</v>
      </c>
      <c r="J358" t="s">
        <v>1186</v>
      </c>
      <c r="K358">
        <v>1</v>
      </c>
      <c r="L358">
        <v>462</v>
      </c>
      <c r="M358">
        <v>0.15</v>
      </c>
      <c r="N358">
        <v>392.7</v>
      </c>
      <c r="O358">
        <v>0.12</v>
      </c>
      <c r="P358">
        <v>392.7</v>
      </c>
      <c r="Q358">
        <v>47.124000000000002</v>
      </c>
      <c r="R358">
        <v>439.82400000000001</v>
      </c>
      <c r="S358" t="s">
        <v>1360</v>
      </c>
      <c r="T358" t="s">
        <v>1361</v>
      </c>
      <c r="U358" s="4">
        <v>45378</v>
      </c>
      <c r="V358" s="4">
        <v>45382</v>
      </c>
      <c r="W358" t="b">
        <v>0</v>
      </c>
      <c r="Z358" t="s">
        <v>1390</v>
      </c>
      <c r="AA358" t="s">
        <v>1397</v>
      </c>
      <c r="AB358" t="s">
        <v>1380</v>
      </c>
    </row>
    <row r="359" spans="1:28" x14ac:dyDescent="0.3">
      <c r="A359" t="s">
        <v>484</v>
      </c>
      <c r="B359" s="6">
        <v>45394.584027777775</v>
      </c>
      <c r="C359" t="s">
        <v>169</v>
      </c>
      <c r="D359" t="s">
        <v>1148</v>
      </c>
      <c r="E359" t="s">
        <v>1149</v>
      </c>
      <c r="F359" t="s">
        <v>1143</v>
      </c>
      <c r="G359" t="s">
        <v>1177</v>
      </c>
      <c r="H359" t="s">
        <v>1309</v>
      </c>
      <c r="I359" t="s">
        <v>1328</v>
      </c>
      <c r="J359" t="s">
        <v>1329</v>
      </c>
      <c r="K359">
        <v>1</v>
      </c>
      <c r="L359">
        <v>2084</v>
      </c>
      <c r="M359">
        <v>0.05</v>
      </c>
      <c r="N359">
        <v>1979.8</v>
      </c>
      <c r="O359">
        <v>0.18</v>
      </c>
      <c r="P359">
        <v>1979.8</v>
      </c>
      <c r="Q359">
        <v>356.36399999999998</v>
      </c>
      <c r="R359">
        <v>2336.1640000000002</v>
      </c>
      <c r="S359" t="s">
        <v>1360</v>
      </c>
      <c r="T359" t="s">
        <v>1361</v>
      </c>
      <c r="U359" s="4">
        <v>45396</v>
      </c>
      <c r="V359" s="4">
        <v>45397</v>
      </c>
      <c r="W359" t="b">
        <v>0</v>
      </c>
      <c r="Z359" t="s">
        <v>1396</v>
      </c>
      <c r="AA359" t="s">
        <v>1400</v>
      </c>
      <c r="AB359" t="s">
        <v>1391</v>
      </c>
    </row>
    <row r="360" spans="1:28" x14ac:dyDescent="0.3">
      <c r="A360" t="s">
        <v>490</v>
      </c>
      <c r="B360" s="6">
        <v>45509.507638888892</v>
      </c>
      <c r="C360" t="s">
        <v>491</v>
      </c>
      <c r="D360" t="s">
        <v>1148</v>
      </c>
      <c r="E360" t="s">
        <v>1149</v>
      </c>
      <c r="F360" t="s">
        <v>1143</v>
      </c>
      <c r="G360" t="s">
        <v>1172</v>
      </c>
      <c r="H360" t="s">
        <v>1188</v>
      </c>
      <c r="I360" t="s">
        <v>1232</v>
      </c>
      <c r="J360" t="s">
        <v>1233</v>
      </c>
      <c r="K360">
        <v>4</v>
      </c>
      <c r="L360">
        <v>2845</v>
      </c>
      <c r="M360">
        <v>0.1</v>
      </c>
      <c r="N360">
        <v>2560.5</v>
      </c>
      <c r="O360">
        <v>0.12</v>
      </c>
      <c r="P360">
        <v>10242</v>
      </c>
      <c r="Q360">
        <v>1229.04</v>
      </c>
      <c r="R360">
        <v>11471.04</v>
      </c>
      <c r="S360" t="s">
        <v>1360</v>
      </c>
      <c r="T360" t="s">
        <v>1361</v>
      </c>
      <c r="U360" s="4">
        <v>45510</v>
      </c>
      <c r="V360" s="4">
        <v>45511</v>
      </c>
      <c r="W360" t="b">
        <v>0</v>
      </c>
      <c r="Z360" t="s">
        <v>1384</v>
      </c>
      <c r="AA360" t="s">
        <v>1399</v>
      </c>
      <c r="AB360" t="s">
        <v>1395</v>
      </c>
    </row>
    <row r="361" spans="1:28" x14ac:dyDescent="0.3">
      <c r="A361" t="s">
        <v>493</v>
      </c>
      <c r="B361" s="6">
        <v>45489.508333333331</v>
      </c>
      <c r="C361" t="s">
        <v>494</v>
      </c>
      <c r="D361" t="s">
        <v>1153</v>
      </c>
      <c r="E361" t="s">
        <v>1191</v>
      </c>
      <c r="F361" t="s">
        <v>1143</v>
      </c>
      <c r="G361" t="s">
        <v>1163</v>
      </c>
      <c r="H361" t="s">
        <v>1266</v>
      </c>
      <c r="I361" t="s">
        <v>1267</v>
      </c>
      <c r="J361" t="s">
        <v>1268</v>
      </c>
      <c r="K361">
        <v>1</v>
      </c>
      <c r="L361">
        <v>495</v>
      </c>
      <c r="M361">
        <v>0.15</v>
      </c>
      <c r="N361">
        <v>420.75</v>
      </c>
      <c r="O361">
        <v>0.12</v>
      </c>
      <c r="P361">
        <v>420.75</v>
      </c>
      <c r="Q361">
        <v>50.489999999999988</v>
      </c>
      <c r="R361">
        <v>471.24</v>
      </c>
      <c r="S361" t="s">
        <v>1360</v>
      </c>
      <c r="T361" t="s">
        <v>1368</v>
      </c>
      <c r="U361" s="4">
        <v>45489</v>
      </c>
      <c r="W361" t="b">
        <v>0</v>
      </c>
      <c r="Z361" t="s">
        <v>1386</v>
      </c>
      <c r="AA361" t="s">
        <v>1377</v>
      </c>
      <c r="AB361" t="s">
        <v>1395</v>
      </c>
    </row>
    <row r="362" spans="1:28" x14ac:dyDescent="0.3">
      <c r="A362" t="s">
        <v>496</v>
      </c>
      <c r="B362" s="6">
        <v>45424.460416666669</v>
      </c>
      <c r="C362" t="s">
        <v>227</v>
      </c>
      <c r="D362" t="s">
        <v>1153</v>
      </c>
      <c r="E362" t="s">
        <v>1154</v>
      </c>
      <c r="F362" t="s">
        <v>1143</v>
      </c>
      <c r="G362" t="s">
        <v>1144</v>
      </c>
      <c r="H362" t="s">
        <v>1145</v>
      </c>
      <c r="I362" t="s">
        <v>1155</v>
      </c>
      <c r="J362" t="s">
        <v>1156</v>
      </c>
      <c r="K362">
        <v>3</v>
      </c>
      <c r="L362">
        <v>11957</v>
      </c>
      <c r="M362">
        <v>0.1</v>
      </c>
      <c r="N362">
        <v>10761.3</v>
      </c>
      <c r="O362">
        <v>0.12</v>
      </c>
      <c r="P362">
        <v>32283.9</v>
      </c>
      <c r="Q362">
        <v>3874.0680000000002</v>
      </c>
      <c r="R362">
        <v>36157.968000000001</v>
      </c>
      <c r="S362" t="s">
        <v>1362</v>
      </c>
      <c r="T362" t="s">
        <v>1361</v>
      </c>
      <c r="U362" s="4">
        <v>45424</v>
      </c>
      <c r="V362" s="4">
        <v>45429</v>
      </c>
      <c r="W362" t="b">
        <v>0</v>
      </c>
      <c r="Z362" t="s">
        <v>1382</v>
      </c>
      <c r="AA362" t="s">
        <v>1385</v>
      </c>
      <c r="AB362" t="s">
        <v>1380</v>
      </c>
    </row>
    <row r="363" spans="1:28" x14ac:dyDescent="0.3">
      <c r="A363" t="s">
        <v>497</v>
      </c>
      <c r="B363" s="6">
        <v>45565.538194444445</v>
      </c>
      <c r="C363" t="s">
        <v>498</v>
      </c>
      <c r="D363" t="s">
        <v>1141</v>
      </c>
      <c r="E363" t="s">
        <v>1285</v>
      </c>
      <c r="F363" t="s">
        <v>1143</v>
      </c>
      <c r="G363" t="s">
        <v>1167</v>
      </c>
      <c r="H363" t="s">
        <v>1211</v>
      </c>
      <c r="I363" t="s">
        <v>1279</v>
      </c>
      <c r="J363" t="s">
        <v>1280</v>
      </c>
      <c r="K363">
        <v>1</v>
      </c>
      <c r="L363">
        <v>39411</v>
      </c>
      <c r="M363">
        <v>0.05</v>
      </c>
      <c r="N363">
        <v>37440.449999999997</v>
      </c>
      <c r="O363">
        <v>0.12</v>
      </c>
      <c r="P363">
        <v>37440.449999999997</v>
      </c>
      <c r="Q363">
        <v>4492.8539999999994</v>
      </c>
      <c r="R363">
        <v>41933.303999999996</v>
      </c>
      <c r="S363" t="s">
        <v>1360</v>
      </c>
      <c r="T363" t="s">
        <v>1361</v>
      </c>
      <c r="U363" s="4">
        <v>45565</v>
      </c>
      <c r="V363" s="4">
        <v>45568</v>
      </c>
      <c r="W363" t="b">
        <v>0</v>
      </c>
      <c r="Z363" t="s">
        <v>1382</v>
      </c>
      <c r="AA363" t="s">
        <v>1385</v>
      </c>
      <c r="AB363" t="s">
        <v>1380</v>
      </c>
    </row>
    <row r="364" spans="1:28" x14ac:dyDescent="0.3">
      <c r="A364" t="s">
        <v>501</v>
      </c>
      <c r="B364" s="6">
        <v>45644.519444444442</v>
      </c>
      <c r="C364" t="s">
        <v>28</v>
      </c>
      <c r="D364" t="s">
        <v>1153</v>
      </c>
      <c r="E364" t="s">
        <v>1162</v>
      </c>
      <c r="F364" t="s">
        <v>1143</v>
      </c>
      <c r="G364" t="s">
        <v>1144</v>
      </c>
      <c r="H364" t="s">
        <v>1145</v>
      </c>
      <c r="I364" t="s">
        <v>1155</v>
      </c>
      <c r="J364" t="s">
        <v>1156</v>
      </c>
      <c r="K364">
        <v>2</v>
      </c>
      <c r="L364">
        <v>8485</v>
      </c>
      <c r="M364">
        <v>0.05</v>
      </c>
      <c r="N364">
        <v>8060.75</v>
      </c>
      <c r="O364">
        <v>0.12</v>
      </c>
      <c r="P364">
        <v>16121.5</v>
      </c>
      <c r="Q364">
        <v>1934.58</v>
      </c>
      <c r="R364">
        <v>18056.080000000002</v>
      </c>
      <c r="S364" t="s">
        <v>1366</v>
      </c>
      <c r="T364" t="s">
        <v>1361</v>
      </c>
      <c r="U364" s="4">
        <v>45645</v>
      </c>
      <c r="V364" s="4">
        <v>45648</v>
      </c>
      <c r="W364" t="b">
        <v>0</v>
      </c>
      <c r="Z364" t="s">
        <v>1398</v>
      </c>
      <c r="AA364" t="s">
        <v>1377</v>
      </c>
      <c r="AB364" t="s">
        <v>1391</v>
      </c>
    </row>
    <row r="365" spans="1:28" x14ac:dyDescent="0.3">
      <c r="A365" t="s">
        <v>502</v>
      </c>
      <c r="B365" s="6">
        <v>45769.440972222219</v>
      </c>
      <c r="C365" t="s">
        <v>498</v>
      </c>
      <c r="D365" t="s">
        <v>1141</v>
      </c>
      <c r="E365" t="s">
        <v>1285</v>
      </c>
      <c r="F365" t="s">
        <v>1143</v>
      </c>
      <c r="G365" t="s">
        <v>1144</v>
      </c>
      <c r="H365" t="s">
        <v>1276</v>
      </c>
      <c r="I365" t="s">
        <v>1286</v>
      </c>
      <c r="J365" t="s">
        <v>1287</v>
      </c>
      <c r="K365">
        <v>1</v>
      </c>
      <c r="L365">
        <v>3293</v>
      </c>
      <c r="M365">
        <v>0</v>
      </c>
      <c r="N365">
        <v>3293</v>
      </c>
      <c r="O365">
        <v>0.18</v>
      </c>
      <c r="P365">
        <v>3293</v>
      </c>
      <c r="Q365">
        <v>592.74</v>
      </c>
      <c r="R365">
        <v>3885.74</v>
      </c>
      <c r="S365" t="s">
        <v>1360</v>
      </c>
      <c r="T365" t="s">
        <v>1361</v>
      </c>
      <c r="U365" s="4">
        <v>45771</v>
      </c>
      <c r="V365" s="4">
        <v>45773</v>
      </c>
      <c r="W365" t="b">
        <v>0</v>
      </c>
      <c r="Z365" t="s">
        <v>1388</v>
      </c>
      <c r="AA365" t="s">
        <v>1385</v>
      </c>
      <c r="AB365" t="s">
        <v>1380</v>
      </c>
    </row>
    <row r="366" spans="1:28" x14ac:dyDescent="0.3">
      <c r="A366" t="s">
        <v>504</v>
      </c>
      <c r="B366" s="6">
        <v>45332.462500000001</v>
      </c>
      <c r="C366" t="s">
        <v>505</v>
      </c>
      <c r="D366" t="s">
        <v>1157</v>
      </c>
      <c r="E366" t="s">
        <v>1158</v>
      </c>
      <c r="F366" t="s">
        <v>1143</v>
      </c>
      <c r="G366" t="s">
        <v>1177</v>
      </c>
      <c r="H366" t="s">
        <v>1309</v>
      </c>
      <c r="I366" t="s">
        <v>1328</v>
      </c>
      <c r="J366" t="s">
        <v>1329</v>
      </c>
      <c r="K366">
        <v>1</v>
      </c>
      <c r="L366">
        <v>746</v>
      </c>
      <c r="M366">
        <v>0.2</v>
      </c>
      <c r="N366">
        <v>596.80000000000007</v>
      </c>
      <c r="O366">
        <v>0.12</v>
      </c>
      <c r="P366">
        <v>596.80000000000007</v>
      </c>
      <c r="Q366">
        <v>71.616</v>
      </c>
      <c r="R366">
        <v>668.41600000000005</v>
      </c>
      <c r="S366" t="s">
        <v>1360</v>
      </c>
      <c r="T366" t="s">
        <v>1368</v>
      </c>
      <c r="U366" s="4">
        <v>45333</v>
      </c>
      <c r="W366" t="b">
        <v>0</v>
      </c>
      <c r="Z366" t="s">
        <v>1396</v>
      </c>
      <c r="AA366" t="s">
        <v>1399</v>
      </c>
      <c r="AB366" t="s">
        <v>1383</v>
      </c>
    </row>
    <row r="367" spans="1:28" x14ac:dyDescent="0.3">
      <c r="A367" t="s">
        <v>506</v>
      </c>
      <c r="B367" s="6">
        <v>45360.507638888892</v>
      </c>
      <c r="C367" t="s">
        <v>117</v>
      </c>
      <c r="D367" t="s">
        <v>1141</v>
      </c>
      <c r="E367" t="s">
        <v>1285</v>
      </c>
      <c r="F367" t="s">
        <v>1143</v>
      </c>
      <c r="G367" t="s">
        <v>1172</v>
      </c>
      <c r="H367" t="s">
        <v>1173</v>
      </c>
      <c r="I367" t="s">
        <v>1222</v>
      </c>
      <c r="J367" t="s">
        <v>1223</v>
      </c>
      <c r="K367">
        <v>2</v>
      </c>
      <c r="L367">
        <v>8779</v>
      </c>
      <c r="M367">
        <v>0</v>
      </c>
      <c r="N367">
        <v>8779</v>
      </c>
      <c r="O367">
        <v>0.12</v>
      </c>
      <c r="P367">
        <v>17558</v>
      </c>
      <c r="Q367">
        <v>2106.96</v>
      </c>
      <c r="R367">
        <v>19664.96</v>
      </c>
      <c r="S367" t="s">
        <v>1366</v>
      </c>
      <c r="T367" t="s">
        <v>1361</v>
      </c>
      <c r="U367" s="4">
        <v>45361</v>
      </c>
      <c r="V367" s="4">
        <v>45362</v>
      </c>
      <c r="W367" t="b">
        <v>0</v>
      </c>
      <c r="Z367" t="s">
        <v>1386</v>
      </c>
      <c r="AA367" t="s">
        <v>1394</v>
      </c>
      <c r="AB367" t="s">
        <v>1378</v>
      </c>
    </row>
    <row r="368" spans="1:28" x14ac:dyDescent="0.3">
      <c r="A368" t="s">
        <v>508</v>
      </c>
      <c r="B368" s="6">
        <v>45444.470833333333</v>
      </c>
      <c r="C368" t="s">
        <v>24</v>
      </c>
      <c r="D368" t="s">
        <v>1153</v>
      </c>
      <c r="E368" t="s">
        <v>1154</v>
      </c>
      <c r="F368" t="s">
        <v>1143</v>
      </c>
      <c r="G368" t="s">
        <v>1163</v>
      </c>
      <c r="H368" t="s">
        <v>1224</v>
      </c>
      <c r="I368" t="s">
        <v>1243</v>
      </c>
      <c r="J368" t="s">
        <v>1244</v>
      </c>
      <c r="K368">
        <v>1</v>
      </c>
      <c r="L368">
        <v>134</v>
      </c>
      <c r="M368">
        <v>0</v>
      </c>
      <c r="N368">
        <v>134</v>
      </c>
      <c r="O368">
        <v>0.05</v>
      </c>
      <c r="P368">
        <v>134</v>
      </c>
      <c r="Q368">
        <v>6.7</v>
      </c>
      <c r="R368">
        <v>140.69999999999999</v>
      </c>
      <c r="S368" t="s">
        <v>1360</v>
      </c>
      <c r="T368" t="s">
        <v>1367</v>
      </c>
      <c r="U368" s="4">
        <v>45446</v>
      </c>
      <c r="W368" t="b">
        <v>0</v>
      </c>
      <c r="Z368" t="s">
        <v>1388</v>
      </c>
      <c r="AA368" t="s">
        <v>1397</v>
      </c>
      <c r="AB368" t="s">
        <v>1378</v>
      </c>
    </row>
    <row r="369" spans="1:28" x14ac:dyDescent="0.3">
      <c r="A369" t="s">
        <v>509</v>
      </c>
      <c r="B369" s="6">
        <v>45468.515277777777</v>
      </c>
      <c r="C369" t="s">
        <v>510</v>
      </c>
      <c r="D369" t="s">
        <v>1153</v>
      </c>
      <c r="E369" t="s">
        <v>1191</v>
      </c>
      <c r="F369" t="s">
        <v>1143</v>
      </c>
      <c r="G369" t="s">
        <v>1144</v>
      </c>
      <c r="H369" t="s">
        <v>1214</v>
      </c>
      <c r="I369" t="s">
        <v>1252</v>
      </c>
      <c r="J369" t="s">
        <v>1253</v>
      </c>
      <c r="K369">
        <v>2</v>
      </c>
      <c r="L369">
        <v>12674</v>
      </c>
      <c r="M369">
        <v>0.15</v>
      </c>
      <c r="N369">
        <v>10772.9</v>
      </c>
      <c r="O369">
        <v>0.12</v>
      </c>
      <c r="P369">
        <v>21545.8</v>
      </c>
      <c r="Q369">
        <v>2585.4960000000001</v>
      </c>
      <c r="R369">
        <v>24131.295999999998</v>
      </c>
      <c r="S369" t="s">
        <v>1360</v>
      </c>
      <c r="T369" t="s">
        <v>1361</v>
      </c>
      <c r="U369" s="4">
        <v>45468</v>
      </c>
      <c r="V369" s="4">
        <v>45469</v>
      </c>
      <c r="W369" t="b">
        <v>0</v>
      </c>
      <c r="Z369" t="s">
        <v>1384</v>
      </c>
      <c r="AA369" t="s">
        <v>1400</v>
      </c>
      <c r="AB369" t="s">
        <v>1393</v>
      </c>
    </row>
    <row r="370" spans="1:28" x14ac:dyDescent="0.3">
      <c r="A370" t="s">
        <v>513</v>
      </c>
      <c r="B370" s="6">
        <v>45303.472222222219</v>
      </c>
      <c r="C370" t="s">
        <v>366</v>
      </c>
      <c r="D370" t="s">
        <v>1157</v>
      </c>
      <c r="E370" t="s">
        <v>1249</v>
      </c>
      <c r="F370" t="s">
        <v>1143</v>
      </c>
      <c r="G370" t="s">
        <v>1167</v>
      </c>
      <c r="H370" t="s">
        <v>1208</v>
      </c>
      <c r="I370" t="s">
        <v>1291</v>
      </c>
      <c r="J370" t="s">
        <v>1292</v>
      </c>
      <c r="K370">
        <v>1</v>
      </c>
      <c r="L370">
        <v>6140</v>
      </c>
      <c r="M370">
        <v>0.15</v>
      </c>
      <c r="N370">
        <v>5219</v>
      </c>
      <c r="O370">
        <v>0.12</v>
      </c>
      <c r="P370">
        <v>5219</v>
      </c>
      <c r="Q370">
        <v>626.28</v>
      </c>
      <c r="R370">
        <v>5845.28</v>
      </c>
      <c r="S370" t="s">
        <v>1360</v>
      </c>
      <c r="T370" t="s">
        <v>1367</v>
      </c>
      <c r="U370" s="4">
        <v>45304</v>
      </c>
      <c r="W370" t="b">
        <v>0</v>
      </c>
      <c r="Z370" t="s">
        <v>1390</v>
      </c>
      <c r="AA370" t="s">
        <v>1400</v>
      </c>
      <c r="AB370" t="s">
        <v>1389</v>
      </c>
    </row>
    <row r="371" spans="1:28" x14ac:dyDescent="0.3">
      <c r="A371" t="s">
        <v>515</v>
      </c>
      <c r="B371" s="6">
        <v>45682.632638888892</v>
      </c>
      <c r="C371" t="s">
        <v>346</v>
      </c>
      <c r="D371" t="s">
        <v>1153</v>
      </c>
      <c r="E371" t="s">
        <v>1162</v>
      </c>
      <c r="F371" t="s">
        <v>1143</v>
      </c>
      <c r="G371" t="s">
        <v>1163</v>
      </c>
      <c r="H371" t="s">
        <v>1164</v>
      </c>
      <c r="I371" t="s">
        <v>1324</v>
      </c>
      <c r="J371" t="s">
        <v>1325</v>
      </c>
      <c r="K371">
        <v>1</v>
      </c>
      <c r="L371">
        <v>834</v>
      </c>
      <c r="M371">
        <v>0.1</v>
      </c>
      <c r="N371">
        <v>750.6</v>
      </c>
      <c r="O371">
        <v>0.18</v>
      </c>
      <c r="P371">
        <v>750.6</v>
      </c>
      <c r="Q371">
        <v>135.108</v>
      </c>
      <c r="R371">
        <v>885.70800000000008</v>
      </c>
      <c r="S371" t="s">
        <v>1360</v>
      </c>
      <c r="T371" t="s">
        <v>1369</v>
      </c>
      <c r="W371" t="b">
        <v>0</v>
      </c>
      <c r="Z371" t="s">
        <v>1392</v>
      </c>
      <c r="AA371" t="s">
        <v>1394</v>
      </c>
      <c r="AB371" t="s">
        <v>1391</v>
      </c>
    </row>
    <row r="372" spans="1:28" x14ac:dyDescent="0.3">
      <c r="A372" t="s">
        <v>518</v>
      </c>
      <c r="B372" s="6">
        <v>45740.460416666669</v>
      </c>
      <c r="C372" t="s">
        <v>519</v>
      </c>
      <c r="D372" t="s">
        <v>1182</v>
      </c>
      <c r="E372" t="s">
        <v>1257</v>
      </c>
      <c r="F372" t="s">
        <v>1143</v>
      </c>
      <c r="G372" t="s">
        <v>1177</v>
      </c>
      <c r="H372" t="s">
        <v>1192</v>
      </c>
      <c r="I372" t="s">
        <v>1193</v>
      </c>
      <c r="J372" t="s">
        <v>1194</v>
      </c>
      <c r="K372">
        <v>3</v>
      </c>
      <c r="L372">
        <v>937</v>
      </c>
      <c r="M372">
        <v>0</v>
      </c>
      <c r="N372">
        <v>937</v>
      </c>
      <c r="O372">
        <v>0.05</v>
      </c>
      <c r="P372">
        <v>2811</v>
      </c>
      <c r="Q372">
        <v>140.55000000000001</v>
      </c>
      <c r="R372">
        <v>2951.55</v>
      </c>
      <c r="S372" t="s">
        <v>1362</v>
      </c>
      <c r="T372" t="s">
        <v>1361</v>
      </c>
      <c r="U372" s="4">
        <v>45741</v>
      </c>
      <c r="V372" s="4">
        <v>45742</v>
      </c>
      <c r="W372" t="b">
        <v>0</v>
      </c>
      <c r="Z372" t="s">
        <v>1376</v>
      </c>
      <c r="AA372" t="s">
        <v>1397</v>
      </c>
      <c r="AB372" t="s">
        <v>1383</v>
      </c>
    </row>
    <row r="373" spans="1:28" x14ac:dyDescent="0.3">
      <c r="A373" t="s">
        <v>520</v>
      </c>
      <c r="B373" s="6">
        <v>45455.386111111111</v>
      </c>
      <c r="C373" t="s">
        <v>521</v>
      </c>
      <c r="D373" t="s">
        <v>1153</v>
      </c>
      <c r="E373" t="s">
        <v>1176</v>
      </c>
      <c r="F373" t="s">
        <v>1143</v>
      </c>
      <c r="G373" t="s">
        <v>1163</v>
      </c>
      <c r="H373" t="s">
        <v>1266</v>
      </c>
      <c r="I373" t="s">
        <v>1330</v>
      </c>
      <c r="J373" t="s">
        <v>1331</v>
      </c>
      <c r="K373">
        <v>2</v>
      </c>
      <c r="L373">
        <v>788</v>
      </c>
      <c r="M373">
        <v>0</v>
      </c>
      <c r="N373">
        <v>788</v>
      </c>
      <c r="O373">
        <v>0.05</v>
      </c>
      <c r="P373">
        <v>1576</v>
      </c>
      <c r="Q373">
        <v>78.800000000000011</v>
      </c>
      <c r="R373">
        <v>1654.8</v>
      </c>
      <c r="S373" t="s">
        <v>1360</v>
      </c>
      <c r="T373" t="s">
        <v>1361</v>
      </c>
      <c r="U373" s="4">
        <v>45456</v>
      </c>
      <c r="V373" s="4">
        <v>45460</v>
      </c>
      <c r="W373" t="b">
        <v>0</v>
      </c>
      <c r="Z373" t="s">
        <v>1398</v>
      </c>
      <c r="AA373" t="s">
        <v>1387</v>
      </c>
      <c r="AB373" t="s">
        <v>1389</v>
      </c>
    </row>
    <row r="374" spans="1:28" x14ac:dyDescent="0.3">
      <c r="A374" t="s">
        <v>525</v>
      </c>
      <c r="B374" s="6">
        <v>45437.536111111112</v>
      </c>
      <c r="C374" t="s">
        <v>135</v>
      </c>
      <c r="D374" t="s">
        <v>1182</v>
      </c>
      <c r="E374" t="s">
        <v>1207</v>
      </c>
      <c r="F374" t="s">
        <v>1143</v>
      </c>
      <c r="G374" t="s">
        <v>1177</v>
      </c>
      <c r="H374" t="s">
        <v>1192</v>
      </c>
      <c r="I374" t="s">
        <v>1344</v>
      </c>
      <c r="J374" t="s">
        <v>1345</v>
      </c>
      <c r="K374">
        <v>1</v>
      </c>
      <c r="L374">
        <v>637</v>
      </c>
      <c r="M374">
        <v>0.05</v>
      </c>
      <c r="N374">
        <v>605.15</v>
      </c>
      <c r="O374">
        <v>0.18</v>
      </c>
      <c r="P374">
        <v>605.15</v>
      </c>
      <c r="Q374">
        <v>108.92700000000001</v>
      </c>
      <c r="R374">
        <v>714.077</v>
      </c>
      <c r="S374" t="s">
        <v>1365</v>
      </c>
      <c r="T374" t="s">
        <v>1361</v>
      </c>
      <c r="U374" s="4">
        <v>45439</v>
      </c>
      <c r="V374" s="4">
        <v>45443</v>
      </c>
      <c r="W374" t="b">
        <v>0</v>
      </c>
      <c r="Z374" t="s">
        <v>1388</v>
      </c>
      <c r="AA374" t="s">
        <v>1387</v>
      </c>
      <c r="AB374" t="s">
        <v>1380</v>
      </c>
    </row>
    <row r="375" spans="1:28" x14ac:dyDescent="0.3">
      <c r="A375" t="s">
        <v>527</v>
      </c>
      <c r="B375" s="6">
        <v>45561.513194444444</v>
      </c>
      <c r="C375" t="s">
        <v>211</v>
      </c>
      <c r="D375" t="s">
        <v>1157</v>
      </c>
      <c r="E375" t="s">
        <v>1181</v>
      </c>
      <c r="F375" t="s">
        <v>1143</v>
      </c>
      <c r="G375" t="s">
        <v>1163</v>
      </c>
      <c r="H375" t="s">
        <v>1164</v>
      </c>
      <c r="I375" t="s">
        <v>1318</v>
      </c>
      <c r="J375" t="s">
        <v>1319</v>
      </c>
      <c r="K375">
        <v>3</v>
      </c>
      <c r="L375">
        <v>84</v>
      </c>
      <c r="M375">
        <v>0</v>
      </c>
      <c r="N375">
        <v>84</v>
      </c>
      <c r="O375">
        <v>0.12</v>
      </c>
      <c r="P375">
        <v>252</v>
      </c>
      <c r="Q375">
        <v>30.24</v>
      </c>
      <c r="R375">
        <v>282.24</v>
      </c>
      <c r="S375" t="s">
        <v>1360</v>
      </c>
      <c r="T375" t="s">
        <v>1361</v>
      </c>
      <c r="U375" s="4">
        <v>45561</v>
      </c>
      <c r="V375" s="4">
        <v>45562</v>
      </c>
      <c r="W375" t="b">
        <v>0</v>
      </c>
      <c r="Z375" t="s">
        <v>1379</v>
      </c>
      <c r="AA375" t="s">
        <v>1397</v>
      </c>
      <c r="AB375" t="s">
        <v>1378</v>
      </c>
    </row>
    <row r="376" spans="1:28" x14ac:dyDescent="0.3">
      <c r="A376" t="s">
        <v>533</v>
      </c>
      <c r="B376" s="6">
        <v>45630.430555555555</v>
      </c>
      <c r="C376" t="s">
        <v>102</v>
      </c>
      <c r="D376" t="s">
        <v>1141</v>
      </c>
      <c r="E376" t="s">
        <v>1239</v>
      </c>
      <c r="F376" t="s">
        <v>1143</v>
      </c>
      <c r="G376" t="s">
        <v>1167</v>
      </c>
      <c r="H376" t="s">
        <v>1288</v>
      </c>
      <c r="I376" t="s">
        <v>1289</v>
      </c>
      <c r="J376" t="s">
        <v>1290</v>
      </c>
      <c r="K376">
        <v>4</v>
      </c>
      <c r="L376">
        <v>55852</v>
      </c>
      <c r="M376">
        <v>0.1</v>
      </c>
      <c r="N376">
        <v>50266.8</v>
      </c>
      <c r="O376">
        <v>0.12</v>
      </c>
      <c r="P376">
        <v>201067.2</v>
      </c>
      <c r="Q376">
        <v>24128.063999999998</v>
      </c>
      <c r="R376">
        <v>225195.264</v>
      </c>
      <c r="S376" t="s">
        <v>1365</v>
      </c>
      <c r="T376" t="s">
        <v>1361</v>
      </c>
      <c r="U376" s="4">
        <v>45630</v>
      </c>
      <c r="V376" s="4">
        <v>45632</v>
      </c>
      <c r="W376" t="b">
        <v>0</v>
      </c>
      <c r="Z376" t="s">
        <v>1398</v>
      </c>
      <c r="AA376" t="s">
        <v>1385</v>
      </c>
      <c r="AB376" t="s">
        <v>1389</v>
      </c>
    </row>
    <row r="377" spans="1:28" x14ac:dyDescent="0.3">
      <c r="A377" t="s">
        <v>536</v>
      </c>
      <c r="B377" s="6">
        <v>45317.511111111111</v>
      </c>
      <c r="C377" t="s">
        <v>537</v>
      </c>
      <c r="D377" t="s">
        <v>1153</v>
      </c>
      <c r="E377" t="s">
        <v>1162</v>
      </c>
      <c r="F377" t="s">
        <v>1143</v>
      </c>
      <c r="G377" t="s">
        <v>1172</v>
      </c>
      <c r="H377" t="s">
        <v>1204</v>
      </c>
      <c r="I377" t="s">
        <v>1205</v>
      </c>
      <c r="J377" t="s">
        <v>1206</v>
      </c>
      <c r="K377">
        <v>3</v>
      </c>
      <c r="L377">
        <v>6291</v>
      </c>
      <c r="M377">
        <v>0.15</v>
      </c>
      <c r="N377">
        <v>5347.3499999999995</v>
      </c>
      <c r="O377">
        <v>0.05</v>
      </c>
      <c r="P377">
        <v>16042.05</v>
      </c>
      <c r="Q377">
        <v>802.10249999999996</v>
      </c>
      <c r="R377">
        <v>16844.1525</v>
      </c>
      <c r="S377" t="s">
        <v>1363</v>
      </c>
      <c r="T377" t="s">
        <v>1369</v>
      </c>
      <c r="W377" t="b">
        <v>0</v>
      </c>
      <c r="Z377" t="s">
        <v>1388</v>
      </c>
      <c r="AA377" t="s">
        <v>1394</v>
      </c>
      <c r="AB377" t="s">
        <v>1383</v>
      </c>
    </row>
    <row r="378" spans="1:28" x14ac:dyDescent="0.3">
      <c r="A378" t="s">
        <v>538</v>
      </c>
      <c r="B378" s="6">
        <v>45704.441666666666</v>
      </c>
      <c r="C378" t="s">
        <v>392</v>
      </c>
      <c r="D378" t="s">
        <v>1153</v>
      </c>
      <c r="E378" t="s">
        <v>1191</v>
      </c>
      <c r="F378" t="s">
        <v>1143</v>
      </c>
      <c r="G378" t="s">
        <v>1177</v>
      </c>
      <c r="H378" t="s">
        <v>1192</v>
      </c>
      <c r="I378" t="s">
        <v>1283</v>
      </c>
      <c r="J378" t="s">
        <v>1284</v>
      </c>
      <c r="K378">
        <v>1</v>
      </c>
      <c r="L378">
        <v>1112</v>
      </c>
      <c r="M378">
        <v>0.05</v>
      </c>
      <c r="N378">
        <v>1056.4000000000001</v>
      </c>
      <c r="O378">
        <v>0.12</v>
      </c>
      <c r="P378">
        <v>1056.4000000000001</v>
      </c>
      <c r="Q378">
        <v>126.768</v>
      </c>
      <c r="R378">
        <v>1183.1679999999999</v>
      </c>
      <c r="S378" t="s">
        <v>1360</v>
      </c>
      <c r="T378" t="s">
        <v>1361</v>
      </c>
      <c r="U378" s="4">
        <v>45704</v>
      </c>
      <c r="V378" s="4">
        <v>45707</v>
      </c>
      <c r="W378" t="b">
        <v>0</v>
      </c>
      <c r="Z378" t="s">
        <v>1386</v>
      </c>
      <c r="AA378" t="s">
        <v>1387</v>
      </c>
      <c r="AB378" t="s">
        <v>1389</v>
      </c>
    </row>
    <row r="379" spans="1:28" x14ac:dyDescent="0.3">
      <c r="A379" t="s">
        <v>539</v>
      </c>
      <c r="B379" s="6">
        <v>45487.59652777778</v>
      </c>
      <c r="C379" t="s">
        <v>341</v>
      </c>
      <c r="D379" t="s">
        <v>1141</v>
      </c>
      <c r="E379" t="s">
        <v>1142</v>
      </c>
      <c r="F379" t="s">
        <v>1143</v>
      </c>
      <c r="G379" t="s">
        <v>1163</v>
      </c>
      <c r="H379" t="s">
        <v>1184</v>
      </c>
      <c r="I379" t="s">
        <v>1260</v>
      </c>
      <c r="J379" t="s">
        <v>1261</v>
      </c>
      <c r="K379">
        <v>3</v>
      </c>
      <c r="L379">
        <v>1024</v>
      </c>
      <c r="M379">
        <v>0.05</v>
      </c>
      <c r="N379">
        <v>972.8</v>
      </c>
      <c r="O379">
        <v>0.12</v>
      </c>
      <c r="P379">
        <v>2918.4</v>
      </c>
      <c r="Q379">
        <v>350.20800000000003</v>
      </c>
      <c r="R379">
        <v>3268.6080000000002</v>
      </c>
      <c r="S379" t="s">
        <v>1360</v>
      </c>
      <c r="T379" t="s">
        <v>1368</v>
      </c>
      <c r="U379" s="4">
        <v>45489</v>
      </c>
      <c r="W379" t="b">
        <v>0</v>
      </c>
      <c r="Z379" t="s">
        <v>1376</v>
      </c>
      <c r="AA379" t="s">
        <v>1377</v>
      </c>
      <c r="AB379" t="s">
        <v>1383</v>
      </c>
    </row>
    <row r="380" spans="1:28" x14ac:dyDescent="0.3">
      <c r="A380" t="s">
        <v>542</v>
      </c>
      <c r="B380" s="6">
        <v>45581.536111111112</v>
      </c>
      <c r="C380" t="s">
        <v>124</v>
      </c>
      <c r="D380" t="s">
        <v>1153</v>
      </c>
      <c r="E380" t="s">
        <v>1191</v>
      </c>
      <c r="F380" t="s">
        <v>1143</v>
      </c>
      <c r="G380" t="s">
        <v>1172</v>
      </c>
      <c r="H380" t="s">
        <v>1229</v>
      </c>
      <c r="I380" t="s">
        <v>1230</v>
      </c>
      <c r="J380" t="s">
        <v>1231</v>
      </c>
      <c r="K380">
        <v>2</v>
      </c>
      <c r="L380">
        <v>4006</v>
      </c>
      <c r="M380">
        <v>0.05</v>
      </c>
      <c r="N380">
        <v>3805.7</v>
      </c>
      <c r="O380">
        <v>0.05</v>
      </c>
      <c r="P380">
        <v>7611.4</v>
      </c>
      <c r="Q380">
        <v>380.57</v>
      </c>
      <c r="R380">
        <v>7991.9699999999993</v>
      </c>
      <c r="S380" t="s">
        <v>1360</v>
      </c>
      <c r="T380" t="s">
        <v>1361</v>
      </c>
      <c r="U380" s="4">
        <v>45581</v>
      </c>
      <c r="V380" s="4">
        <v>45583</v>
      </c>
      <c r="W380" t="b">
        <v>0</v>
      </c>
      <c r="Z380" t="s">
        <v>1386</v>
      </c>
      <c r="AA380" t="s">
        <v>1385</v>
      </c>
      <c r="AB380" t="s">
        <v>1395</v>
      </c>
    </row>
    <row r="381" spans="1:28" x14ac:dyDescent="0.3">
      <c r="A381" t="s">
        <v>543</v>
      </c>
      <c r="B381" s="6">
        <v>45733.548611111109</v>
      </c>
      <c r="C381" t="s">
        <v>115</v>
      </c>
      <c r="D381" t="s">
        <v>1157</v>
      </c>
      <c r="E381" t="s">
        <v>1249</v>
      </c>
      <c r="F381" t="s">
        <v>1143</v>
      </c>
      <c r="G381" t="s">
        <v>1177</v>
      </c>
      <c r="H381" t="s">
        <v>1309</v>
      </c>
      <c r="I381" t="s">
        <v>1310</v>
      </c>
      <c r="J381" t="s">
        <v>1311</v>
      </c>
      <c r="K381">
        <v>4</v>
      </c>
      <c r="L381">
        <v>2504</v>
      </c>
      <c r="M381">
        <v>0</v>
      </c>
      <c r="N381">
        <v>2504</v>
      </c>
      <c r="O381">
        <v>0.12</v>
      </c>
      <c r="P381">
        <v>10016</v>
      </c>
      <c r="Q381">
        <v>1201.92</v>
      </c>
      <c r="R381">
        <v>11217.92</v>
      </c>
      <c r="S381" t="s">
        <v>1362</v>
      </c>
      <c r="T381" t="s">
        <v>1361</v>
      </c>
      <c r="U381" s="4">
        <v>45733</v>
      </c>
      <c r="V381" s="4">
        <v>45734</v>
      </c>
      <c r="W381" t="b">
        <v>0</v>
      </c>
      <c r="Z381" t="s">
        <v>1390</v>
      </c>
      <c r="AA381" t="s">
        <v>1387</v>
      </c>
      <c r="AB381" t="s">
        <v>1378</v>
      </c>
    </row>
    <row r="382" spans="1:28" x14ac:dyDescent="0.3">
      <c r="A382" t="s">
        <v>544</v>
      </c>
      <c r="B382" s="6">
        <v>45442.481944444444</v>
      </c>
      <c r="C382" t="s">
        <v>545</v>
      </c>
      <c r="D382" t="s">
        <v>1148</v>
      </c>
      <c r="E382" t="s">
        <v>1171</v>
      </c>
      <c r="F382" t="s">
        <v>1143</v>
      </c>
      <c r="G382" t="s">
        <v>1167</v>
      </c>
      <c r="H382" t="s">
        <v>1288</v>
      </c>
      <c r="I382" t="s">
        <v>1293</v>
      </c>
      <c r="J382" t="s">
        <v>1294</v>
      </c>
      <c r="K382">
        <v>3</v>
      </c>
      <c r="L382">
        <v>36115</v>
      </c>
      <c r="M382">
        <v>0.05</v>
      </c>
      <c r="N382">
        <v>34309.25</v>
      </c>
      <c r="O382">
        <v>0.12</v>
      </c>
      <c r="P382">
        <v>102927.75</v>
      </c>
      <c r="Q382">
        <v>12351.33</v>
      </c>
      <c r="R382">
        <v>115279.08</v>
      </c>
      <c r="S382" t="s">
        <v>1366</v>
      </c>
      <c r="T382" t="s">
        <v>1361</v>
      </c>
      <c r="U382" s="4">
        <v>45442</v>
      </c>
      <c r="V382" s="4">
        <v>45443</v>
      </c>
      <c r="W382" t="b">
        <v>0</v>
      </c>
      <c r="Z382" t="s">
        <v>1390</v>
      </c>
      <c r="AA382" t="s">
        <v>1385</v>
      </c>
      <c r="AB382" t="s">
        <v>1393</v>
      </c>
    </row>
    <row r="383" spans="1:28" x14ac:dyDescent="0.3">
      <c r="A383" t="s">
        <v>546</v>
      </c>
      <c r="B383" s="6">
        <v>45471.584027777775</v>
      </c>
      <c r="C383" t="s">
        <v>22</v>
      </c>
      <c r="D383" t="s">
        <v>1182</v>
      </c>
      <c r="E383" t="s">
        <v>1183</v>
      </c>
      <c r="F383" t="s">
        <v>1143</v>
      </c>
      <c r="G383" t="s">
        <v>1163</v>
      </c>
      <c r="H383" t="s">
        <v>1224</v>
      </c>
      <c r="I383" t="s">
        <v>1225</v>
      </c>
      <c r="J383" t="s">
        <v>1226</v>
      </c>
      <c r="K383">
        <v>1</v>
      </c>
      <c r="L383">
        <v>592</v>
      </c>
      <c r="M383">
        <v>0</v>
      </c>
      <c r="N383">
        <v>592</v>
      </c>
      <c r="O383">
        <v>0.12</v>
      </c>
      <c r="P383">
        <v>592</v>
      </c>
      <c r="Q383">
        <v>71.039999999999992</v>
      </c>
      <c r="R383">
        <v>663.04</v>
      </c>
      <c r="S383" t="s">
        <v>1363</v>
      </c>
      <c r="T383" t="s">
        <v>1361</v>
      </c>
      <c r="U383" s="4">
        <v>45471</v>
      </c>
      <c r="V383" s="4">
        <v>45472</v>
      </c>
      <c r="W383" t="b">
        <v>0</v>
      </c>
      <c r="Z383" t="s">
        <v>1379</v>
      </c>
      <c r="AA383" t="s">
        <v>1387</v>
      </c>
      <c r="AB383" t="s">
        <v>1395</v>
      </c>
    </row>
    <row r="384" spans="1:28" x14ac:dyDescent="0.3">
      <c r="A384" t="s">
        <v>547</v>
      </c>
      <c r="B384" s="6">
        <v>45743.540277777778</v>
      </c>
      <c r="C384" t="s">
        <v>115</v>
      </c>
      <c r="D384" t="s">
        <v>1157</v>
      </c>
      <c r="E384" t="s">
        <v>1249</v>
      </c>
      <c r="F384" t="s">
        <v>1143</v>
      </c>
      <c r="G384" t="s">
        <v>1172</v>
      </c>
      <c r="H384" t="s">
        <v>1188</v>
      </c>
      <c r="I384" t="s">
        <v>1189</v>
      </c>
      <c r="J384" t="s">
        <v>1190</v>
      </c>
      <c r="K384">
        <v>3</v>
      </c>
      <c r="L384">
        <v>8937</v>
      </c>
      <c r="M384">
        <v>0.15</v>
      </c>
      <c r="N384">
        <v>7596.45</v>
      </c>
      <c r="O384">
        <v>0.12</v>
      </c>
      <c r="P384">
        <v>22789.35</v>
      </c>
      <c r="Q384">
        <v>2734.7220000000002</v>
      </c>
      <c r="R384">
        <v>25524.072</v>
      </c>
      <c r="S384" t="s">
        <v>1363</v>
      </c>
      <c r="T384" t="s">
        <v>1361</v>
      </c>
      <c r="U384" s="4">
        <v>45744</v>
      </c>
      <c r="V384" s="4">
        <v>45747</v>
      </c>
      <c r="W384" t="b">
        <v>0</v>
      </c>
      <c r="Z384" t="s">
        <v>1388</v>
      </c>
      <c r="AA384" t="s">
        <v>1385</v>
      </c>
      <c r="AB384" t="s">
        <v>1393</v>
      </c>
    </row>
    <row r="385" spans="1:28" x14ac:dyDescent="0.3">
      <c r="A385" t="s">
        <v>548</v>
      </c>
      <c r="B385" s="6">
        <v>45467.482638888891</v>
      </c>
      <c r="C385" t="s">
        <v>362</v>
      </c>
      <c r="D385" t="s">
        <v>1148</v>
      </c>
      <c r="E385" t="s">
        <v>1262</v>
      </c>
      <c r="F385" t="s">
        <v>1143</v>
      </c>
      <c r="G385" t="s">
        <v>1163</v>
      </c>
      <c r="H385" t="s">
        <v>1240</v>
      </c>
      <c r="I385" t="s">
        <v>1281</v>
      </c>
      <c r="J385" t="s">
        <v>1282</v>
      </c>
      <c r="K385">
        <v>3</v>
      </c>
      <c r="L385">
        <v>426</v>
      </c>
      <c r="M385">
        <v>0.05</v>
      </c>
      <c r="N385">
        <v>404.7</v>
      </c>
      <c r="O385">
        <v>0.05</v>
      </c>
      <c r="P385">
        <v>1214.0999999999999</v>
      </c>
      <c r="Q385">
        <v>60.704999999999998</v>
      </c>
      <c r="R385">
        <v>1274.8050000000001</v>
      </c>
      <c r="S385" t="s">
        <v>1366</v>
      </c>
      <c r="T385" t="s">
        <v>1361</v>
      </c>
      <c r="U385" s="4">
        <v>45469</v>
      </c>
      <c r="V385" s="4">
        <v>45473</v>
      </c>
      <c r="W385" t="b">
        <v>0</v>
      </c>
      <c r="Z385" t="s">
        <v>1390</v>
      </c>
      <c r="AA385" t="s">
        <v>1377</v>
      </c>
      <c r="AB385" t="s">
        <v>1383</v>
      </c>
    </row>
    <row r="386" spans="1:28" x14ac:dyDescent="0.3">
      <c r="A386" t="s">
        <v>549</v>
      </c>
      <c r="B386" s="6">
        <v>45423.658333333333</v>
      </c>
      <c r="C386" t="s">
        <v>12</v>
      </c>
      <c r="D386" t="s">
        <v>1153</v>
      </c>
      <c r="E386" t="s">
        <v>1162</v>
      </c>
      <c r="F386" t="s">
        <v>1143</v>
      </c>
      <c r="G386" t="s">
        <v>1144</v>
      </c>
      <c r="H386" t="s">
        <v>1159</v>
      </c>
      <c r="I386" t="s">
        <v>1272</v>
      </c>
      <c r="J386" t="s">
        <v>1273</v>
      </c>
      <c r="K386">
        <v>2</v>
      </c>
      <c r="L386">
        <v>14965</v>
      </c>
      <c r="M386">
        <v>0</v>
      </c>
      <c r="N386">
        <v>14965</v>
      </c>
      <c r="O386">
        <v>0.05</v>
      </c>
      <c r="P386">
        <v>29930</v>
      </c>
      <c r="Q386">
        <v>1496.5</v>
      </c>
      <c r="R386">
        <v>31426.5</v>
      </c>
      <c r="S386" t="s">
        <v>1365</v>
      </c>
      <c r="T386" t="s">
        <v>1361</v>
      </c>
      <c r="U386" s="4">
        <v>45423</v>
      </c>
      <c r="V386" s="4">
        <v>45428</v>
      </c>
      <c r="W386" t="b">
        <v>0</v>
      </c>
      <c r="Z386" t="s">
        <v>1396</v>
      </c>
      <c r="AA386" t="s">
        <v>1400</v>
      </c>
      <c r="AB386" t="s">
        <v>1378</v>
      </c>
    </row>
    <row r="387" spans="1:28" x14ac:dyDescent="0.3">
      <c r="A387" t="s">
        <v>550</v>
      </c>
      <c r="B387" s="6">
        <v>45474.51458333333</v>
      </c>
      <c r="C387" t="s">
        <v>551</v>
      </c>
      <c r="D387" t="s">
        <v>1157</v>
      </c>
      <c r="E387" t="s">
        <v>1201</v>
      </c>
      <c r="F387" t="s">
        <v>1143</v>
      </c>
      <c r="G387" t="s">
        <v>1144</v>
      </c>
      <c r="H387" t="s">
        <v>1145</v>
      </c>
      <c r="I387" t="s">
        <v>1146</v>
      </c>
      <c r="J387" t="s">
        <v>1147</v>
      </c>
      <c r="K387">
        <v>2</v>
      </c>
      <c r="L387">
        <v>14208</v>
      </c>
      <c r="M387">
        <v>0.05</v>
      </c>
      <c r="N387">
        <v>13497.6</v>
      </c>
      <c r="O387">
        <v>0.12</v>
      </c>
      <c r="P387">
        <v>26995.200000000001</v>
      </c>
      <c r="Q387">
        <v>3239.424</v>
      </c>
      <c r="R387">
        <v>30234.624</v>
      </c>
      <c r="S387" t="s">
        <v>1363</v>
      </c>
      <c r="T387" t="s">
        <v>1361</v>
      </c>
      <c r="U387" s="4">
        <v>45476</v>
      </c>
      <c r="V387" s="4">
        <v>45478</v>
      </c>
      <c r="W387" t="b">
        <v>0</v>
      </c>
      <c r="Z387" t="s">
        <v>1382</v>
      </c>
      <c r="AA387" t="s">
        <v>1377</v>
      </c>
      <c r="AB387" t="s">
        <v>1380</v>
      </c>
    </row>
    <row r="388" spans="1:28" x14ac:dyDescent="0.3">
      <c r="A388" t="s">
        <v>552</v>
      </c>
      <c r="B388" s="6">
        <v>45305.541666666664</v>
      </c>
      <c r="C388" t="s">
        <v>206</v>
      </c>
      <c r="D388" t="s">
        <v>1153</v>
      </c>
      <c r="E388" t="s">
        <v>1191</v>
      </c>
      <c r="F388" t="s">
        <v>1143</v>
      </c>
      <c r="G388" t="s">
        <v>1167</v>
      </c>
      <c r="H388" t="s">
        <v>1211</v>
      </c>
      <c r="I388" t="s">
        <v>1279</v>
      </c>
      <c r="J388" t="s">
        <v>1280</v>
      </c>
      <c r="K388">
        <v>2</v>
      </c>
      <c r="L388">
        <v>57336</v>
      </c>
      <c r="M388">
        <v>0.05</v>
      </c>
      <c r="N388">
        <v>54469.2</v>
      </c>
      <c r="O388">
        <v>0.12</v>
      </c>
      <c r="P388">
        <v>108938.4</v>
      </c>
      <c r="Q388">
        <v>13072.608</v>
      </c>
      <c r="R388">
        <v>122011.008</v>
      </c>
      <c r="S388" t="s">
        <v>1366</v>
      </c>
      <c r="T388" t="s">
        <v>1361</v>
      </c>
      <c r="U388" s="4">
        <v>45305</v>
      </c>
      <c r="V388" s="4">
        <v>45310</v>
      </c>
      <c r="W388" t="b">
        <v>0</v>
      </c>
      <c r="Z388" t="s">
        <v>1382</v>
      </c>
      <c r="AA388" t="s">
        <v>1399</v>
      </c>
      <c r="AB388" t="s">
        <v>1383</v>
      </c>
    </row>
    <row r="389" spans="1:28" x14ac:dyDescent="0.3">
      <c r="A389" t="s">
        <v>554</v>
      </c>
      <c r="B389" s="6">
        <v>45576.491666666669</v>
      </c>
      <c r="C389" t="s">
        <v>213</v>
      </c>
      <c r="D389" t="s">
        <v>1182</v>
      </c>
      <c r="E389" t="s">
        <v>1256</v>
      </c>
      <c r="F389" t="s">
        <v>1143</v>
      </c>
      <c r="G389" t="s">
        <v>1177</v>
      </c>
      <c r="H389" t="s">
        <v>1195</v>
      </c>
      <c r="I389" t="s">
        <v>1202</v>
      </c>
      <c r="J389" t="s">
        <v>1203</v>
      </c>
      <c r="K389">
        <v>2</v>
      </c>
      <c r="L389">
        <v>1526</v>
      </c>
      <c r="M389">
        <v>0</v>
      </c>
      <c r="N389">
        <v>1526</v>
      </c>
      <c r="O389">
        <v>0.12</v>
      </c>
      <c r="P389">
        <v>3052</v>
      </c>
      <c r="Q389">
        <v>366.24</v>
      </c>
      <c r="R389">
        <v>3418.24</v>
      </c>
      <c r="S389" t="s">
        <v>1365</v>
      </c>
      <c r="T389" t="s">
        <v>1361</v>
      </c>
      <c r="U389" s="4">
        <v>45576</v>
      </c>
      <c r="V389" s="4">
        <v>45579</v>
      </c>
      <c r="W389" t="b">
        <v>0</v>
      </c>
      <c r="Z389" t="s">
        <v>1386</v>
      </c>
      <c r="AA389" t="s">
        <v>1397</v>
      </c>
      <c r="AB389" t="s">
        <v>1380</v>
      </c>
    </row>
    <row r="390" spans="1:28" x14ac:dyDescent="0.3">
      <c r="A390" t="s">
        <v>555</v>
      </c>
      <c r="B390" s="6">
        <v>45663.647222222222</v>
      </c>
      <c r="C390" t="s">
        <v>4</v>
      </c>
      <c r="D390" t="s">
        <v>1141</v>
      </c>
      <c r="E390" t="s">
        <v>1142</v>
      </c>
      <c r="F390" t="s">
        <v>1143</v>
      </c>
      <c r="G390" t="s">
        <v>1144</v>
      </c>
      <c r="H390" t="s">
        <v>1269</v>
      </c>
      <c r="I390" t="s">
        <v>1301</v>
      </c>
      <c r="J390" t="s">
        <v>1302</v>
      </c>
      <c r="K390">
        <v>3</v>
      </c>
      <c r="L390">
        <v>14783</v>
      </c>
      <c r="M390">
        <v>0</v>
      </c>
      <c r="N390">
        <v>14783</v>
      </c>
      <c r="O390">
        <v>0.05</v>
      </c>
      <c r="P390">
        <v>44349</v>
      </c>
      <c r="Q390">
        <v>2217.4499999999998</v>
      </c>
      <c r="R390">
        <v>46566.45</v>
      </c>
      <c r="S390" t="s">
        <v>1363</v>
      </c>
      <c r="T390" t="s">
        <v>1361</v>
      </c>
      <c r="U390" s="4">
        <v>45665</v>
      </c>
      <c r="V390" s="4">
        <v>45669</v>
      </c>
      <c r="W390" t="b">
        <v>0</v>
      </c>
      <c r="Z390" t="s">
        <v>1390</v>
      </c>
      <c r="AA390" t="s">
        <v>1377</v>
      </c>
      <c r="AB390" t="s">
        <v>1380</v>
      </c>
    </row>
    <row r="391" spans="1:28" x14ac:dyDescent="0.3">
      <c r="A391" t="s">
        <v>557</v>
      </c>
      <c r="B391" s="6">
        <v>45615.551388888889</v>
      </c>
      <c r="C391" t="s">
        <v>318</v>
      </c>
      <c r="D391" t="s">
        <v>1153</v>
      </c>
      <c r="E391" t="s">
        <v>1176</v>
      </c>
      <c r="F391" t="s">
        <v>1143</v>
      </c>
      <c r="G391" t="s">
        <v>1144</v>
      </c>
      <c r="H391" t="s">
        <v>1145</v>
      </c>
      <c r="I391" t="s">
        <v>1151</v>
      </c>
      <c r="J391" t="s">
        <v>1152</v>
      </c>
      <c r="K391">
        <v>2</v>
      </c>
      <c r="L391">
        <v>5426</v>
      </c>
      <c r="M391">
        <v>0.1</v>
      </c>
      <c r="N391">
        <v>4883.4000000000005</v>
      </c>
      <c r="O391">
        <v>0.18</v>
      </c>
      <c r="P391">
        <v>9766.8000000000011</v>
      </c>
      <c r="Q391">
        <v>1758.0239999999999</v>
      </c>
      <c r="R391">
        <v>11524.824000000001</v>
      </c>
      <c r="S391" t="s">
        <v>1360</v>
      </c>
      <c r="T391" t="s">
        <v>1367</v>
      </c>
      <c r="U391" s="4">
        <v>45617</v>
      </c>
      <c r="W391" t="b">
        <v>0</v>
      </c>
      <c r="Z391" t="s">
        <v>1379</v>
      </c>
      <c r="AA391" t="s">
        <v>1394</v>
      </c>
      <c r="AB391" t="s">
        <v>1393</v>
      </c>
    </row>
    <row r="392" spans="1:28" x14ac:dyDescent="0.3">
      <c r="A392" t="s">
        <v>558</v>
      </c>
      <c r="B392" s="6">
        <v>45370.590277777781</v>
      </c>
      <c r="C392" t="s">
        <v>271</v>
      </c>
      <c r="D392" t="s">
        <v>1148</v>
      </c>
      <c r="E392" t="s">
        <v>1149</v>
      </c>
      <c r="F392" t="s">
        <v>1143</v>
      </c>
      <c r="G392" t="s">
        <v>1144</v>
      </c>
      <c r="H392" t="s">
        <v>1276</v>
      </c>
      <c r="I392" t="s">
        <v>1286</v>
      </c>
      <c r="J392" t="s">
        <v>1287</v>
      </c>
      <c r="K392">
        <v>1</v>
      </c>
      <c r="L392">
        <v>8221</v>
      </c>
      <c r="M392">
        <v>0.1</v>
      </c>
      <c r="N392">
        <v>7398.9000000000005</v>
      </c>
      <c r="O392">
        <v>0.12</v>
      </c>
      <c r="P392">
        <v>7398.9000000000005</v>
      </c>
      <c r="Q392">
        <v>887.86800000000005</v>
      </c>
      <c r="R392">
        <v>8286.768</v>
      </c>
      <c r="S392" t="s">
        <v>1360</v>
      </c>
      <c r="T392" t="s">
        <v>1361</v>
      </c>
      <c r="U392" s="4">
        <v>45370</v>
      </c>
      <c r="V392" s="4">
        <v>45374</v>
      </c>
      <c r="W392" t="b">
        <v>0</v>
      </c>
      <c r="Z392" t="s">
        <v>1386</v>
      </c>
      <c r="AA392" t="s">
        <v>1400</v>
      </c>
      <c r="AB392" t="s">
        <v>1389</v>
      </c>
    </row>
    <row r="393" spans="1:28" x14ac:dyDescent="0.3">
      <c r="A393" t="s">
        <v>561</v>
      </c>
      <c r="B393" s="6">
        <v>45375.52847222222</v>
      </c>
      <c r="C393" t="s">
        <v>195</v>
      </c>
      <c r="D393" t="s">
        <v>1148</v>
      </c>
      <c r="E393" t="s">
        <v>1149</v>
      </c>
      <c r="F393" t="s">
        <v>1143</v>
      </c>
      <c r="G393" t="s">
        <v>1163</v>
      </c>
      <c r="H393" t="s">
        <v>1184</v>
      </c>
      <c r="I393" t="s">
        <v>1245</v>
      </c>
      <c r="J393" t="s">
        <v>1246</v>
      </c>
      <c r="K393">
        <v>2</v>
      </c>
      <c r="L393">
        <v>662</v>
      </c>
      <c r="M393">
        <v>0.05</v>
      </c>
      <c r="N393">
        <v>628.9</v>
      </c>
      <c r="O393">
        <v>0.12</v>
      </c>
      <c r="P393">
        <v>1257.8</v>
      </c>
      <c r="Q393">
        <v>150.93600000000001</v>
      </c>
      <c r="R393">
        <v>1408.7360000000001</v>
      </c>
      <c r="S393" t="s">
        <v>1365</v>
      </c>
      <c r="T393" t="s">
        <v>1361</v>
      </c>
      <c r="U393" s="4">
        <v>45377</v>
      </c>
      <c r="V393" s="4">
        <v>45380</v>
      </c>
      <c r="W393" t="b">
        <v>0</v>
      </c>
      <c r="Z393" t="s">
        <v>1386</v>
      </c>
      <c r="AA393" t="s">
        <v>1385</v>
      </c>
      <c r="AB393" t="s">
        <v>1383</v>
      </c>
    </row>
    <row r="394" spans="1:28" x14ac:dyDescent="0.3">
      <c r="A394" t="s">
        <v>562</v>
      </c>
      <c r="B394" s="6">
        <v>45328.418749999997</v>
      </c>
      <c r="C394" t="s">
        <v>460</v>
      </c>
      <c r="D394" t="s">
        <v>1182</v>
      </c>
      <c r="E394" t="s">
        <v>1256</v>
      </c>
      <c r="F394" t="s">
        <v>1143</v>
      </c>
      <c r="G394" t="s">
        <v>1172</v>
      </c>
      <c r="H394" t="s">
        <v>1173</v>
      </c>
      <c r="I394" t="s">
        <v>1342</v>
      </c>
      <c r="J394" t="s">
        <v>1343</v>
      </c>
      <c r="K394">
        <v>1</v>
      </c>
      <c r="L394">
        <v>7915</v>
      </c>
      <c r="M394">
        <v>0</v>
      </c>
      <c r="N394">
        <v>7915</v>
      </c>
      <c r="O394">
        <v>0.12</v>
      </c>
      <c r="P394">
        <v>7915</v>
      </c>
      <c r="Q394">
        <v>949.8</v>
      </c>
      <c r="R394">
        <v>8864.7999999999993</v>
      </c>
      <c r="S394" t="s">
        <v>1362</v>
      </c>
      <c r="T394" t="s">
        <v>1361</v>
      </c>
      <c r="U394" s="4">
        <v>45328</v>
      </c>
      <c r="V394" s="4">
        <v>45333</v>
      </c>
      <c r="W394" t="b">
        <v>0</v>
      </c>
      <c r="Z394" t="s">
        <v>1396</v>
      </c>
      <c r="AA394" t="s">
        <v>1385</v>
      </c>
      <c r="AB394" t="s">
        <v>1380</v>
      </c>
    </row>
    <row r="395" spans="1:28" x14ac:dyDescent="0.3">
      <c r="A395" t="s">
        <v>564</v>
      </c>
      <c r="B395" s="6">
        <v>45521.620138888888</v>
      </c>
      <c r="C395" t="s">
        <v>128</v>
      </c>
      <c r="D395" t="s">
        <v>1182</v>
      </c>
      <c r="E395" t="s">
        <v>1183</v>
      </c>
      <c r="F395" t="s">
        <v>1143</v>
      </c>
      <c r="G395" t="s">
        <v>1177</v>
      </c>
      <c r="H395" t="s">
        <v>1236</v>
      </c>
      <c r="I395" t="s">
        <v>1254</v>
      </c>
      <c r="J395" t="s">
        <v>1255</v>
      </c>
      <c r="K395">
        <v>1</v>
      </c>
      <c r="L395">
        <v>1044</v>
      </c>
      <c r="M395">
        <v>0</v>
      </c>
      <c r="N395">
        <v>1044</v>
      </c>
      <c r="O395">
        <v>0.18</v>
      </c>
      <c r="P395">
        <v>1044</v>
      </c>
      <c r="Q395">
        <v>187.92</v>
      </c>
      <c r="R395">
        <v>1231.92</v>
      </c>
      <c r="S395" t="s">
        <v>1366</v>
      </c>
      <c r="T395" t="s">
        <v>1369</v>
      </c>
      <c r="W395" t="b">
        <v>0</v>
      </c>
      <c r="Z395" t="s">
        <v>1376</v>
      </c>
      <c r="AA395" t="s">
        <v>1397</v>
      </c>
      <c r="AB395" t="s">
        <v>1389</v>
      </c>
    </row>
    <row r="396" spans="1:28" x14ac:dyDescent="0.3">
      <c r="A396" t="s">
        <v>565</v>
      </c>
      <c r="B396" s="6">
        <v>45535.586111111108</v>
      </c>
      <c r="C396" t="s">
        <v>65</v>
      </c>
      <c r="D396" t="s">
        <v>1141</v>
      </c>
      <c r="E396" t="s">
        <v>1142</v>
      </c>
      <c r="F396" t="s">
        <v>1143</v>
      </c>
      <c r="G396" t="s">
        <v>1144</v>
      </c>
      <c r="H396" t="s">
        <v>1214</v>
      </c>
      <c r="I396" t="s">
        <v>1320</v>
      </c>
      <c r="J396" t="s">
        <v>1321</v>
      </c>
      <c r="K396">
        <v>1</v>
      </c>
      <c r="L396">
        <v>9815</v>
      </c>
      <c r="M396">
        <v>0.15</v>
      </c>
      <c r="N396">
        <v>8342.75</v>
      </c>
      <c r="O396">
        <v>0.18</v>
      </c>
      <c r="P396">
        <v>8342.75</v>
      </c>
      <c r="Q396">
        <v>1501.6949999999999</v>
      </c>
      <c r="R396">
        <v>9844.4449999999997</v>
      </c>
      <c r="S396" t="s">
        <v>1363</v>
      </c>
      <c r="T396" t="s">
        <v>1361</v>
      </c>
      <c r="U396" s="4">
        <v>45535</v>
      </c>
      <c r="V396" s="4">
        <v>45539</v>
      </c>
      <c r="W396" t="b">
        <v>0</v>
      </c>
      <c r="Z396" t="s">
        <v>1388</v>
      </c>
      <c r="AA396" t="s">
        <v>1394</v>
      </c>
      <c r="AB396" t="s">
        <v>1393</v>
      </c>
    </row>
    <row r="397" spans="1:28" x14ac:dyDescent="0.3">
      <c r="A397" t="s">
        <v>567</v>
      </c>
      <c r="B397" s="6">
        <v>45420.46875</v>
      </c>
      <c r="C397" t="s">
        <v>130</v>
      </c>
      <c r="D397" t="s">
        <v>1153</v>
      </c>
      <c r="E397" t="s">
        <v>1176</v>
      </c>
      <c r="F397" t="s">
        <v>1143</v>
      </c>
      <c r="G397" t="s">
        <v>1177</v>
      </c>
      <c r="H397" t="s">
        <v>1178</v>
      </c>
      <c r="I397" t="s">
        <v>1220</v>
      </c>
      <c r="J397" t="s">
        <v>1221</v>
      </c>
      <c r="K397">
        <v>1</v>
      </c>
      <c r="L397">
        <v>550</v>
      </c>
      <c r="M397">
        <v>0.05</v>
      </c>
      <c r="N397">
        <v>522.5</v>
      </c>
      <c r="O397">
        <v>0.18</v>
      </c>
      <c r="P397">
        <v>522.5</v>
      </c>
      <c r="Q397">
        <v>94.05</v>
      </c>
      <c r="R397">
        <v>616.54999999999995</v>
      </c>
      <c r="S397" t="s">
        <v>1360</v>
      </c>
      <c r="T397" t="s">
        <v>1361</v>
      </c>
      <c r="U397" s="4">
        <v>45422</v>
      </c>
      <c r="V397" s="4">
        <v>45423</v>
      </c>
      <c r="W397" t="b">
        <v>0</v>
      </c>
      <c r="Z397" t="s">
        <v>1384</v>
      </c>
      <c r="AA397" t="s">
        <v>1394</v>
      </c>
      <c r="AB397" t="s">
        <v>1393</v>
      </c>
    </row>
    <row r="398" spans="1:28" x14ac:dyDescent="0.3">
      <c r="A398" t="s">
        <v>569</v>
      </c>
      <c r="B398" s="6">
        <v>45338.602777777778</v>
      </c>
      <c r="C398" t="s">
        <v>173</v>
      </c>
      <c r="D398" t="s">
        <v>1153</v>
      </c>
      <c r="E398" t="s">
        <v>1176</v>
      </c>
      <c r="F398" t="s">
        <v>1143</v>
      </c>
      <c r="G398" t="s">
        <v>1172</v>
      </c>
      <c r="H398" t="s">
        <v>1229</v>
      </c>
      <c r="I398" t="s">
        <v>1230</v>
      </c>
      <c r="J398" t="s">
        <v>1231</v>
      </c>
      <c r="K398">
        <v>1</v>
      </c>
      <c r="L398">
        <v>9646</v>
      </c>
      <c r="M398">
        <v>0</v>
      </c>
      <c r="N398">
        <v>9646</v>
      </c>
      <c r="O398">
        <v>0.12</v>
      </c>
      <c r="P398">
        <v>9646</v>
      </c>
      <c r="Q398">
        <v>1157.52</v>
      </c>
      <c r="R398">
        <v>10803.52</v>
      </c>
      <c r="S398" t="s">
        <v>1360</v>
      </c>
      <c r="T398" t="s">
        <v>1361</v>
      </c>
      <c r="U398" s="4">
        <v>45338</v>
      </c>
      <c r="V398" s="4">
        <v>45340</v>
      </c>
      <c r="W398" t="b">
        <v>0</v>
      </c>
      <c r="Z398" t="s">
        <v>1382</v>
      </c>
      <c r="AA398" t="s">
        <v>1400</v>
      </c>
      <c r="AB398" t="s">
        <v>1378</v>
      </c>
    </row>
    <row r="399" spans="1:28" x14ac:dyDescent="0.3">
      <c r="A399" t="s">
        <v>572</v>
      </c>
      <c r="B399" s="6">
        <v>45502.550694444442</v>
      </c>
      <c r="C399" t="s">
        <v>143</v>
      </c>
      <c r="D399" t="s">
        <v>1153</v>
      </c>
      <c r="E399" t="s">
        <v>1154</v>
      </c>
      <c r="F399" t="s">
        <v>1143</v>
      </c>
      <c r="G399" t="s">
        <v>1144</v>
      </c>
      <c r="H399" t="s">
        <v>1214</v>
      </c>
      <c r="I399" t="s">
        <v>1320</v>
      </c>
      <c r="J399" t="s">
        <v>1321</v>
      </c>
      <c r="K399">
        <v>2</v>
      </c>
      <c r="L399">
        <v>8491</v>
      </c>
      <c r="M399">
        <v>0</v>
      </c>
      <c r="N399">
        <v>8491</v>
      </c>
      <c r="O399">
        <v>0.12</v>
      </c>
      <c r="P399">
        <v>16982</v>
      </c>
      <c r="Q399">
        <v>2037.84</v>
      </c>
      <c r="R399">
        <v>19019.84</v>
      </c>
      <c r="S399" t="s">
        <v>1360</v>
      </c>
      <c r="T399" t="s">
        <v>1361</v>
      </c>
      <c r="U399" s="4">
        <v>45503</v>
      </c>
      <c r="V399" s="4">
        <v>45507</v>
      </c>
      <c r="W399" t="b">
        <v>0</v>
      </c>
      <c r="Z399" t="s">
        <v>1382</v>
      </c>
      <c r="AA399" t="s">
        <v>1394</v>
      </c>
      <c r="AB399" t="s">
        <v>1380</v>
      </c>
    </row>
    <row r="400" spans="1:28" x14ac:dyDescent="0.3">
      <c r="A400" t="s">
        <v>574</v>
      </c>
      <c r="B400" s="6">
        <v>45369.525000000001</v>
      </c>
      <c r="C400" t="s">
        <v>494</v>
      </c>
      <c r="D400" t="s">
        <v>1153</v>
      </c>
      <c r="E400" t="s">
        <v>1191</v>
      </c>
      <c r="F400" t="s">
        <v>1143</v>
      </c>
      <c r="G400" t="s">
        <v>1177</v>
      </c>
      <c r="H400" t="s">
        <v>1236</v>
      </c>
      <c r="I400" t="s">
        <v>1338</v>
      </c>
      <c r="J400" t="s">
        <v>1339</v>
      </c>
      <c r="K400">
        <v>2</v>
      </c>
      <c r="L400">
        <v>2139</v>
      </c>
      <c r="M400">
        <v>0</v>
      </c>
      <c r="N400">
        <v>2139</v>
      </c>
      <c r="O400">
        <v>0.18</v>
      </c>
      <c r="P400">
        <v>4278</v>
      </c>
      <c r="Q400">
        <v>770.04</v>
      </c>
      <c r="R400">
        <v>5048.04</v>
      </c>
      <c r="S400" t="s">
        <v>1360</v>
      </c>
      <c r="T400" t="s">
        <v>1361</v>
      </c>
      <c r="U400" s="4">
        <v>45371</v>
      </c>
      <c r="V400" s="4">
        <v>45376</v>
      </c>
      <c r="W400" t="b">
        <v>0</v>
      </c>
      <c r="Z400" t="s">
        <v>1398</v>
      </c>
      <c r="AA400" t="s">
        <v>1385</v>
      </c>
      <c r="AB400" t="s">
        <v>1391</v>
      </c>
    </row>
    <row r="401" spans="1:28" x14ac:dyDescent="0.3">
      <c r="A401" t="s">
        <v>576</v>
      </c>
      <c r="B401" s="6">
        <v>45474.758333333331</v>
      </c>
      <c r="C401" t="s">
        <v>247</v>
      </c>
      <c r="D401" t="s">
        <v>1141</v>
      </c>
      <c r="E401" t="s">
        <v>1227</v>
      </c>
      <c r="F401" t="s">
        <v>1143</v>
      </c>
      <c r="G401" t="s">
        <v>1144</v>
      </c>
      <c r="H401" t="s">
        <v>1269</v>
      </c>
      <c r="I401" t="s">
        <v>1326</v>
      </c>
      <c r="J401" t="s">
        <v>1327</v>
      </c>
      <c r="K401">
        <v>4</v>
      </c>
      <c r="L401">
        <v>5321</v>
      </c>
      <c r="M401">
        <v>0.05</v>
      </c>
      <c r="N401">
        <v>5054.95</v>
      </c>
      <c r="O401">
        <v>0.05</v>
      </c>
      <c r="P401">
        <v>20219.8</v>
      </c>
      <c r="Q401">
        <v>1010.99</v>
      </c>
      <c r="R401">
        <v>21230.79</v>
      </c>
      <c r="S401" t="s">
        <v>1363</v>
      </c>
      <c r="T401" t="s">
        <v>1361</v>
      </c>
      <c r="U401" s="4">
        <v>45474</v>
      </c>
      <c r="V401" s="4">
        <v>45475</v>
      </c>
      <c r="W401" t="b">
        <v>0</v>
      </c>
      <c r="Z401" t="s">
        <v>1392</v>
      </c>
      <c r="AA401" t="s">
        <v>1387</v>
      </c>
      <c r="AB401" t="s">
        <v>1380</v>
      </c>
    </row>
    <row r="402" spans="1:28" x14ac:dyDescent="0.3">
      <c r="A402" t="s">
        <v>577</v>
      </c>
      <c r="B402" s="6">
        <v>45674.502083333333</v>
      </c>
      <c r="C402" t="s">
        <v>239</v>
      </c>
      <c r="D402" t="s">
        <v>1153</v>
      </c>
      <c r="E402" t="s">
        <v>1162</v>
      </c>
      <c r="F402" t="s">
        <v>1143</v>
      </c>
      <c r="G402" t="s">
        <v>1144</v>
      </c>
      <c r="H402" t="s">
        <v>1269</v>
      </c>
      <c r="I402" t="s">
        <v>1301</v>
      </c>
      <c r="J402" t="s">
        <v>1302</v>
      </c>
      <c r="K402">
        <v>1</v>
      </c>
      <c r="L402">
        <v>9618</v>
      </c>
      <c r="M402">
        <v>0.05</v>
      </c>
      <c r="N402">
        <v>9137.1</v>
      </c>
      <c r="O402">
        <v>0.12</v>
      </c>
      <c r="P402">
        <v>9137.1</v>
      </c>
      <c r="Q402">
        <v>1096.452</v>
      </c>
      <c r="R402">
        <v>10233.552</v>
      </c>
      <c r="S402" t="s">
        <v>1360</v>
      </c>
      <c r="T402" t="s">
        <v>1361</v>
      </c>
      <c r="U402" s="4">
        <v>45676</v>
      </c>
      <c r="V402" s="4">
        <v>45679</v>
      </c>
      <c r="W402" t="b">
        <v>0</v>
      </c>
      <c r="Z402" t="s">
        <v>1382</v>
      </c>
      <c r="AA402" t="s">
        <v>1387</v>
      </c>
      <c r="AB402" t="s">
        <v>1395</v>
      </c>
    </row>
    <row r="403" spans="1:28" x14ac:dyDescent="0.3">
      <c r="A403" t="s">
        <v>579</v>
      </c>
      <c r="B403" s="6">
        <v>45737.535416666666</v>
      </c>
      <c r="C403" t="s">
        <v>346</v>
      </c>
      <c r="D403" t="s">
        <v>1153</v>
      </c>
      <c r="E403" t="s">
        <v>1162</v>
      </c>
      <c r="F403" t="s">
        <v>1143</v>
      </c>
      <c r="G403" t="s">
        <v>1167</v>
      </c>
      <c r="H403" t="s">
        <v>1263</v>
      </c>
      <c r="I403" t="s">
        <v>1274</v>
      </c>
      <c r="J403" t="s">
        <v>1275</v>
      </c>
      <c r="K403">
        <v>1</v>
      </c>
      <c r="L403">
        <v>57337</v>
      </c>
      <c r="M403">
        <v>0.05</v>
      </c>
      <c r="N403">
        <v>54470.149999999987</v>
      </c>
      <c r="O403">
        <v>0.12</v>
      </c>
      <c r="P403">
        <v>54470.149999999987</v>
      </c>
      <c r="Q403">
        <v>6536.4179999999988</v>
      </c>
      <c r="R403">
        <v>61006.567999999992</v>
      </c>
      <c r="S403" t="s">
        <v>1362</v>
      </c>
      <c r="T403" t="s">
        <v>1361</v>
      </c>
      <c r="U403" s="4">
        <v>45737</v>
      </c>
      <c r="V403" s="4">
        <v>45740</v>
      </c>
      <c r="W403" t="b">
        <v>0</v>
      </c>
      <c r="Z403" t="s">
        <v>1398</v>
      </c>
      <c r="AA403" t="s">
        <v>1394</v>
      </c>
      <c r="AB403" t="s">
        <v>1393</v>
      </c>
    </row>
    <row r="404" spans="1:28" x14ac:dyDescent="0.3">
      <c r="A404" t="s">
        <v>583</v>
      </c>
      <c r="B404" s="6">
        <v>45336.474999999999</v>
      </c>
      <c r="C404" t="s">
        <v>67</v>
      </c>
      <c r="D404" t="s">
        <v>1148</v>
      </c>
      <c r="E404" t="s">
        <v>1149</v>
      </c>
      <c r="F404" t="s">
        <v>1143</v>
      </c>
      <c r="G404" t="s">
        <v>1163</v>
      </c>
      <c r="H404" t="s">
        <v>1224</v>
      </c>
      <c r="I404" t="s">
        <v>1225</v>
      </c>
      <c r="J404" t="s">
        <v>1226</v>
      </c>
      <c r="K404">
        <v>5</v>
      </c>
      <c r="L404">
        <v>161</v>
      </c>
      <c r="M404">
        <v>0.05</v>
      </c>
      <c r="N404">
        <v>152.94999999999999</v>
      </c>
      <c r="O404">
        <v>0.18</v>
      </c>
      <c r="P404">
        <v>764.75</v>
      </c>
      <c r="Q404">
        <v>137.655</v>
      </c>
      <c r="R404">
        <v>902.40499999999997</v>
      </c>
      <c r="S404" t="s">
        <v>1360</v>
      </c>
      <c r="T404" t="s">
        <v>1361</v>
      </c>
      <c r="U404" s="4">
        <v>45336</v>
      </c>
      <c r="V404" s="4">
        <v>45341</v>
      </c>
      <c r="W404" t="b">
        <v>0</v>
      </c>
      <c r="Z404" t="s">
        <v>1384</v>
      </c>
      <c r="AA404" t="s">
        <v>1399</v>
      </c>
      <c r="AB404" t="s">
        <v>1395</v>
      </c>
    </row>
    <row r="405" spans="1:28" x14ac:dyDescent="0.3">
      <c r="A405" t="s">
        <v>585</v>
      </c>
      <c r="B405" s="6">
        <v>45738.679166666669</v>
      </c>
      <c r="C405" t="s">
        <v>111</v>
      </c>
      <c r="D405" t="s">
        <v>1153</v>
      </c>
      <c r="E405" t="s">
        <v>1162</v>
      </c>
      <c r="F405" t="s">
        <v>1143</v>
      </c>
      <c r="G405" t="s">
        <v>1167</v>
      </c>
      <c r="H405" t="s">
        <v>1168</v>
      </c>
      <c r="I405" t="s">
        <v>1314</v>
      </c>
      <c r="J405" t="s">
        <v>1315</v>
      </c>
      <c r="K405">
        <v>1</v>
      </c>
      <c r="L405">
        <v>22903</v>
      </c>
      <c r="M405">
        <v>0</v>
      </c>
      <c r="N405">
        <v>22903</v>
      </c>
      <c r="O405">
        <v>0.12</v>
      </c>
      <c r="P405">
        <v>22903</v>
      </c>
      <c r="Q405">
        <v>2748.36</v>
      </c>
      <c r="R405">
        <v>25651.360000000001</v>
      </c>
      <c r="S405" t="s">
        <v>1363</v>
      </c>
      <c r="T405" t="s">
        <v>1361</v>
      </c>
      <c r="U405" s="4">
        <v>45738</v>
      </c>
      <c r="V405" s="4">
        <v>45739</v>
      </c>
      <c r="W405" t="b">
        <v>0</v>
      </c>
      <c r="Z405" t="s">
        <v>1384</v>
      </c>
      <c r="AA405" t="s">
        <v>1385</v>
      </c>
      <c r="AB405" t="s">
        <v>1391</v>
      </c>
    </row>
    <row r="406" spans="1:28" x14ac:dyDescent="0.3">
      <c r="A406" t="s">
        <v>586</v>
      </c>
      <c r="B406" s="6">
        <v>45444.454861111109</v>
      </c>
      <c r="C406" t="s">
        <v>26</v>
      </c>
      <c r="D406" t="s">
        <v>1153</v>
      </c>
      <c r="E406" t="s">
        <v>1191</v>
      </c>
      <c r="F406" t="s">
        <v>1143</v>
      </c>
      <c r="G406" t="s">
        <v>1177</v>
      </c>
      <c r="H406" t="s">
        <v>1236</v>
      </c>
      <c r="I406" t="s">
        <v>1338</v>
      </c>
      <c r="J406" t="s">
        <v>1339</v>
      </c>
      <c r="K406">
        <v>4</v>
      </c>
      <c r="L406">
        <v>2998</v>
      </c>
      <c r="M406">
        <v>0.05</v>
      </c>
      <c r="N406">
        <v>2848.1</v>
      </c>
      <c r="O406">
        <v>0.12</v>
      </c>
      <c r="P406">
        <v>11392.4</v>
      </c>
      <c r="Q406">
        <v>1367.088</v>
      </c>
      <c r="R406">
        <v>12759.487999999999</v>
      </c>
      <c r="S406" t="s">
        <v>1362</v>
      </c>
      <c r="T406" t="s">
        <v>1361</v>
      </c>
      <c r="U406" s="4">
        <v>45445</v>
      </c>
      <c r="V406" s="4">
        <v>45449</v>
      </c>
      <c r="W406" t="b">
        <v>0</v>
      </c>
      <c r="Z406" t="s">
        <v>1396</v>
      </c>
      <c r="AA406" t="s">
        <v>1399</v>
      </c>
      <c r="AB406" t="s">
        <v>1393</v>
      </c>
    </row>
    <row r="407" spans="1:28" x14ac:dyDescent="0.3">
      <c r="A407" t="s">
        <v>588</v>
      </c>
      <c r="B407" s="6">
        <v>45631.482638888891</v>
      </c>
      <c r="C407" t="s">
        <v>160</v>
      </c>
      <c r="D407" t="s">
        <v>1157</v>
      </c>
      <c r="E407" t="s">
        <v>1201</v>
      </c>
      <c r="F407" t="s">
        <v>1143</v>
      </c>
      <c r="G407" t="s">
        <v>1167</v>
      </c>
      <c r="H407" t="s">
        <v>1211</v>
      </c>
      <c r="I407" t="s">
        <v>1212</v>
      </c>
      <c r="J407" t="s">
        <v>1213</v>
      </c>
      <c r="K407">
        <v>2</v>
      </c>
      <c r="L407">
        <v>49215</v>
      </c>
      <c r="M407">
        <v>0</v>
      </c>
      <c r="N407">
        <v>49215</v>
      </c>
      <c r="O407">
        <v>0.12</v>
      </c>
      <c r="P407">
        <v>98430</v>
      </c>
      <c r="Q407">
        <v>11811.6</v>
      </c>
      <c r="R407">
        <v>110241.60000000001</v>
      </c>
      <c r="S407" t="s">
        <v>1360</v>
      </c>
      <c r="T407" t="s">
        <v>1361</v>
      </c>
      <c r="U407" s="4">
        <v>45631</v>
      </c>
      <c r="V407" s="4">
        <v>45636</v>
      </c>
      <c r="W407" t="b">
        <v>0</v>
      </c>
      <c r="Z407" t="s">
        <v>1384</v>
      </c>
      <c r="AA407" t="s">
        <v>1399</v>
      </c>
      <c r="AB407" t="s">
        <v>1393</v>
      </c>
    </row>
    <row r="408" spans="1:28" x14ac:dyDescent="0.3">
      <c r="A408" t="s">
        <v>589</v>
      </c>
      <c r="B408" s="6">
        <v>45718.384722222225</v>
      </c>
      <c r="C408" t="s">
        <v>28</v>
      </c>
      <c r="D408" t="s">
        <v>1153</v>
      </c>
      <c r="E408" t="s">
        <v>1162</v>
      </c>
      <c r="F408" t="s">
        <v>1143</v>
      </c>
      <c r="G408" t="s">
        <v>1163</v>
      </c>
      <c r="H408" t="s">
        <v>1164</v>
      </c>
      <c r="I408" t="s">
        <v>1324</v>
      </c>
      <c r="J408" t="s">
        <v>1325</v>
      </c>
      <c r="K408">
        <v>1</v>
      </c>
      <c r="L408">
        <v>87</v>
      </c>
      <c r="M408">
        <v>0.15</v>
      </c>
      <c r="N408">
        <v>73.95</v>
      </c>
      <c r="O408">
        <v>0.18</v>
      </c>
      <c r="P408">
        <v>73.95</v>
      </c>
      <c r="Q408">
        <v>13.311</v>
      </c>
      <c r="R408">
        <v>87.260999999999996</v>
      </c>
      <c r="S408" t="s">
        <v>1363</v>
      </c>
      <c r="T408" t="s">
        <v>1367</v>
      </c>
      <c r="U408" s="4">
        <v>45718</v>
      </c>
      <c r="W408" t="b">
        <v>0</v>
      </c>
      <c r="Z408" t="s">
        <v>1396</v>
      </c>
      <c r="AA408" t="s">
        <v>1400</v>
      </c>
      <c r="AB408" t="s">
        <v>1383</v>
      </c>
    </row>
    <row r="409" spans="1:28" x14ac:dyDescent="0.3">
      <c r="A409" t="s">
        <v>592</v>
      </c>
      <c r="B409" s="6">
        <v>45744.661111111112</v>
      </c>
      <c r="C409" t="s">
        <v>385</v>
      </c>
      <c r="D409" t="s">
        <v>1182</v>
      </c>
      <c r="E409" t="s">
        <v>1207</v>
      </c>
      <c r="F409" t="s">
        <v>1143</v>
      </c>
      <c r="G409" t="s">
        <v>1167</v>
      </c>
      <c r="H409" t="s">
        <v>1263</v>
      </c>
      <c r="I409" t="s">
        <v>1274</v>
      </c>
      <c r="J409" t="s">
        <v>1275</v>
      </c>
      <c r="K409">
        <v>1</v>
      </c>
      <c r="L409">
        <v>15885</v>
      </c>
      <c r="M409">
        <v>0.05</v>
      </c>
      <c r="N409">
        <v>15090.75</v>
      </c>
      <c r="O409">
        <v>0.05</v>
      </c>
      <c r="P409">
        <v>15090.75</v>
      </c>
      <c r="Q409">
        <v>754.53750000000002</v>
      </c>
      <c r="R409">
        <v>15845.2875</v>
      </c>
      <c r="S409" t="s">
        <v>1360</v>
      </c>
      <c r="T409" t="s">
        <v>1361</v>
      </c>
      <c r="U409" s="4">
        <v>45746</v>
      </c>
      <c r="V409" s="4">
        <v>45748</v>
      </c>
      <c r="W409" t="b">
        <v>0</v>
      </c>
      <c r="Z409" t="s">
        <v>1376</v>
      </c>
      <c r="AA409" t="s">
        <v>1385</v>
      </c>
      <c r="AB409" t="s">
        <v>1383</v>
      </c>
    </row>
    <row r="410" spans="1:28" x14ac:dyDescent="0.3">
      <c r="A410" t="s">
        <v>593</v>
      </c>
      <c r="B410" s="6">
        <v>45369.486111111109</v>
      </c>
      <c r="C410" t="s">
        <v>243</v>
      </c>
      <c r="D410" t="s">
        <v>1153</v>
      </c>
      <c r="E410" t="s">
        <v>1176</v>
      </c>
      <c r="F410" t="s">
        <v>1143</v>
      </c>
      <c r="G410" t="s">
        <v>1177</v>
      </c>
      <c r="H410" t="s">
        <v>1192</v>
      </c>
      <c r="I410" t="s">
        <v>1193</v>
      </c>
      <c r="J410" t="s">
        <v>1194</v>
      </c>
      <c r="K410">
        <v>4</v>
      </c>
      <c r="L410">
        <v>867</v>
      </c>
      <c r="M410">
        <v>0.1</v>
      </c>
      <c r="N410">
        <v>780.30000000000007</v>
      </c>
      <c r="O410">
        <v>0.18</v>
      </c>
      <c r="P410">
        <v>3121.2</v>
      </c>
      <c r="Q410">
        <v>561.81600000000003</v>
      </c>
      <c r="R410">
        <v>3683.016000000001</v>
      </c>
      <c r="S410" t="s">
        <v>1360</v>
      </c>
      <c r="T410" t="s">
        <v>1361</v>
      </c>
      <c r="U410" s="4">
        <v>45369</v>
      </c>
      <c r="V410" s="4">
        <v>45371</v>
      </c>
      <c r="W410" t="b">
        <v>0</v>
      </c>
      <c r="Z410" t="s">
        <v>1376</v>
      </c>
      <c r="AA410" t="s">
        <v>1385</v>
      </c>
      <c r="AB410" t="s">
        <v>1378</v>
      </c>
    </row>
    <row r="411" spans="1:28" x14ac:dyDescent="0.3">
      <c r="A411" t="s">
        <v>594</v>
      </c>
      <c r="B411" s="6">
        <v>45709.478472222225</v>
      </c>
      <c r="C411" t="s">
        <v>14</v>
      </c>
      <c r="D411" t="s">
        <v>1153</v>
      </c>
      <c r="E411" t="s">
        <v>1162</v>
      </c>
      <c r="F411" t="s">
        <v>1143</v>
      </c>
      <c r="G411" t="s">
        <v>1144</v>
      </c>
      <c r="H411" t="s">
        <v>1269</v>
      </c>
      <c r="I411" t="s">
        <v>1301</v>
      </c>
      <c r="J411" t="s">
        <v>1302</v>
      </c>
      <c r="K411">
        <v>1</v>
      </c>
      <c r="L411">
        <v>1306</v>
      </c>
      <c r="M411">
        <v>0</v>
      </c>
      <c r="N411">
        <v>1306</v>
      </c>
      <c r="O411">
        <v>0.12</v>
      </c>
      <c r="P411">
        <v>1306</v>
      </c>
      <c r="Q411">
        <v>156.72</v>
      </c>
      <c r="R411">
        <v>1462.72</v>
      </c>
      <c r="S411" t="s">
        <v>1360</v>
      </c>
      <c r="T411" t="s">
        <v>1361</v>
      </c>
      <c r="U411" s="4">
        <v>45710</v>
      </c>
      <c r="V411" s="4">
        <v>45711</v>
      </c>
      <c r="W411" t="b">
        <v>0</v>
      </c>
      <c r="Z411" t="s">
        <v>1396</v>
      </c>
      <c r="AA411" t="s">
        <v>1387</v>
      </c>
      <c r="AB411" t="s">
        <v>1393</v>
      </c>
    </row>
    <row r="412" spans="1:28" x14ac:dyDescent="0.3">
      <c r="A412" t="s">
        <v>597</v>
      </c>
      <c r="B412" s="6">
        <v>45752.376388888886</v>
      </c>
      <c r="C412" t="s">
        <v>213</v>
      </c>
      <c r="D412" t="s">
        <v>1182</v>
      </c>
      <c r="E412" t="s">
        <v>1256</v>
      </c>
      <c r="F412" t="s">
        <v>1143</v>
      </c>
      <c r="G412" t="s">
        <v>1144</v>
      </c>
      <c r="H412" t="s">
        <v>1159</v>
      </c>
      <c r="I412" t="s">
        <v>1334</v>
      </c>
      <c r="J412" t="s">
        <v>1335</v>
      </c>
      <c r="K412">
        <v>3</v>
      </c>
      <c r="L412">
        <v>7011</v>
      </c>
      <c r="M412">
        <v>0</v>
      </c>
      <c r="N412">
        <v>7011</v>
      </c>
      <c r="O412">
        <v>0.05</v>
      </c>
      <c r="P412">
        <v>21033</v>
      </c>
      <c r="Q412">
        <v>1051.6500000000001</v>
      </c>
      <c r="R412">
        <v>22084.65</v>
      </c>
      <c r="S412" t="s">
        <v>1363</v>
      </c>
      <c r="T412" t="s">
        <v>1369</v>
      </c>
      <c r="W412" t="b">
        <v>0</v>
      </c>
      <c r="Z412" t="s">
        <v>1396</v>
      </c>
      <c r="AA412" t="s">
        <v>1400</v>
      </c>
      <c r="AB412" t="s">
        <v>1378</v>
      </c>
    </row>
    <row r="413" spans="1:28" x14ac:dyDescent="0.3">
      <c r="A413" t="s">
        <v>599</v>
      </c>
      <c r="B413" s="6">
        <v>45604.489583333336</v>
      </c>
      <c r="C413" t="s">
        <v>105</v>
      </c>
      <c r="D413" t="s">
        <v>1182</v>
      </c>
      <c r="E413" t="s">
        <v>1207</v>
      </c>
      <c r="F413" t="s">
        <v>1143</v>
      </c>
      <c r="G413" t="s">
        <v>1177</v>
      </c>
      <c r="H413" t="s">
        <v>1192</v>
      </c>
      <c r="I413" t="s">
        <v>1283</v>
      </c>
      <c r="J413" t="s">
        <v>1284</v>
      </c>
      <c r="K413">
        <v>3</v>
      </c>
      <c r="L413">
        <v>2954</v>
      </c>
      <c r="M413">
        <v>0</v>
      </c>
      <c r="N413">
        <v>2954</v>
      </c>
      <c r="O413">
        <v>0.18</v>
      </c>
      <c r="P413">
        <v>8862</v>
      </c>
      <c r="Q413">
        <v>1595.16</v>
      </c>
      <c r="R413">
        <v>10457.16</v>
      </c>
      <c r="S413" t="s">
        <v>1363</v>
      </c>
      <c r="T413" t="s">
        <v>1369</v>
      </c>
      <c r="W413" t="b">
        <v>0</v>
      </c>
      <c r="Z413" t="s">
        <v>1392</v>
      </c>
      <c r="AA413" t="s">
        <v>1387</v>
      </c>
      <c r="AB413" t="s">
        <v>1383</v>
      </c>
    </row>
    <row r="414" spans="1:28" x14ac:dyDescent="0.3">
      <c r="A414" t="s">
        <v>604</v>
      </c>
      <c r="B414" s="6">
        <v>45507.810416666667</v>
      </c>
      <c r="C414" t="s">
        <v>117</v>
      </c>
      <c r="D414" t="s">
        <v>1141</v>
      </c>
      <c r="E414" t="s">
        <v>1285</v>
      </c>
      <c r="F414" t="s">
        <v>1143</v>
      </c>
      <c r="G414" t="s">
        <v>1177</v>
      </c>
      <c r="H414" t="s">
        <v>1236</v>
      </c>
      <c r="I414" t="s">
        <v>1237</v>
      </c>
      <c r="J414" t="s">
        <v>1238</v>
      </c>
      <c r="K414">
        <v>1</v>
      </c>
      <c r="L414">
        <v>530</v>
      </c>
      <c r="M414">
        <v>0</v>
      </c>
      <c r="N414">
        <v>530</v>
      </c>
      <c r="O414">
        <v>0.12</v>
      </c>
      <c r="P414">
        <v>530</v>
      </c>
      <c r="Q414">
        <v>63.599999999999987</v>
      </c>
      <c r="R414">
        <v>593.6</v>
      </c>
      <c r="S414" t="s">
        <v>1360</v>
      </c>
      <c r="T414" t="s">
        <v>1361</v>
      </c>
      <c r="U414" s="4">
        <v>45508</v>
      </c>
      <c r="V414" s="4">
        <v>45512</v>
      </c>
      <c r="W414" t="b">
        <v>0</v>
      </c>
      <c r="Z414" t="s">
        <v>1376</v>
      </c>
      <c r="AA414" t="s">
        <v>1387</v>
      </c>
      <c r="AB414" t="s">
        <v>1391</v>
      </c>
    </row>
    <row r="415" spans="1:28" x14ac:dyDescent="0.3">
      <c r="A415" t="s">
        <v>605</v>
      </c>
      <c r="B415" s="6">
        <v>45563.564583333333</v>
      </c>
      <c r="C415" t="s">
        <v>117</v>
      </c>
      <c r="D415" t="s">
        <v>1141</v>
      </c>
      <c r="E415" t="s">
        <v>1285</v>
      </c>
      <c r="F415" t="s">
        <v>1143</v>
      </c>
      <c r="G415" t="s">
        <v>1167</v>
      </c>
      <c r="H415" t="s">
        <v>1288</v>
      </c>
      <c r="I415" t="s">
        <v>1289</v>
      </c>
      <c r="J415" t="s">
        <v>1290</v>
      </c>
      <c r="K415">
        <v>1</v>
      </c>
      <c r="L415">
        <v>19222</v>
      </c>
      <c r="M415">
        <v>0.05</v>
      </c>
      <c r="N415">
        <v>18260.900000000001</v>
      </c>
      <c r="O415">
        <v>0.18</v>
      </c>
      <c r="P415">
        <v>18260.900000000001</v>
      </c>
      <c r="Q415">
        <v>3286.962</v>
      </c>
      <c r="R415">
        <v>21547.862000000001</v>
      </c>
      <c r="S415" t="s">
        <v>1366</v>
      </c>
      <c r="T415" t="s">
        <v>1368</v>
      </c>
      <c r="U415" s="4">
        <v>45563</v>
      </c>
      <c r="W415" t="b">
        <v>0</v>
      </c>
      <c r="Z415" t="s">
        <v>1379</v>
      </c>
      <c r="AA415" t="s">
        <v>1385</v>
      </c>
      <c r="AB415" t="s">
        <v>1395</v>
      </c>
    </row>
    <row r="416" spans="1:28" x14ac:dyDescent="0.3">
      <c r="A416" t="s">
        <v>606</v>
      </c>
      <c r="B416" s="6">
        <v>45769.550694444442</v>
      </c>
      <c r="C416" t="s">
        <v>551</v>
      </c>
      <c r="D416" t="s">
        <v>1157</v>
      </c>
      <c r="E416" t="s">
        <v>1201</v>
      </c>
      <c r="F416" t="s">
        <v>1143</v>
      </c>
      <c r="G416" t="s">
        <v>1167</v>
      </c>
      <c r="H416" t="s">
        <v>1208</v>
      </c>
      <c r="I416" t="s">
        <v>1209</v>
      </c>
      <c r="J416" t="s">
        <v>1210</v>
      </c>
      <c r="K416">
        <v>2</v>
      </c>
      <c r="L416">
        <v>54308</v>
      </c>
      <c r="M416">
        <v>0.15</v>
      </c>
      <c r="N416">
        <v>46161.8</v>
      </c>
      <c r="O416">
        <v>0.18</v>
      </c>
      <c r="P416">
        <v>92323.599999999991</v>
      </c>
      <c r="Q416">
        <v>16618.248</v>
      </c>
      <c r="R416">
        <v>108941.848</v>
      </c>
      <c r="S416" t="s">
        <v>1362</v>
      </c>
      <c r="T416" t="s">
        <v>1361</v>
      </c>
      <c r="U416" s="4">
        <v>45769</v>
      </c>
      <c r="V416" s="4">
        <v>45772</v>
      </c>
      <c r="W416" t="b">
        <v>0</v>
      </c>
      <c r="Z416" t="s">
        <v>1382</v>
      </c>
      <c r="AA416" t="s">
        <v>1400</v>
      </c>
      <c r="AB416" t="s">
        <v>1393</v>
      </c>
    </row>
    <row r="417" spans="1:28" x14ac:dyDescent="0.3">
      <c r="A417" t="s">
        <v>608</v>
      </c>
      <c r="B417" s="6">
        <v>45408.458333333336</v>
      </c>
      <c r="C417" t="s">
        <v>235</v>
      </c>
      <c r="D417" t="s">
        <v>1157</v>
      </c>
      <c r="E417" t="s">
        <v>1158</v>
      </c>
      <c r="F417" t="s">
        <v>1143</v>
      </c>
      <c r="G417" t="s">
        <v>1177</v>
      </c>
      <c r="H417" t="s">
        <v>1195</v>
      </c>
      <c r="I417" t="s">
        <v>1202</v>
      </c>
      <c r="J417" t="s">
        <v>1203</v>
      </c>
      <c r="K417">
        <v>1</v>
      </c>
      <c r="L417">
        <v>1671</v>
      </c>
      <c r="M417">
        <v>0.1</v>
      </c>
      <c r="N417">
        <v>1503.9</v>
      </c>
      <c r="O417">
        <v>0.05</v>
      </c>
      <c r="P417">
        <v>1503.9</v>
      </c>
      <c r="Q417">
        <v>75.195000000000007</v>
      </c>
      <c r="R417">
        <v>1579.095</v>
      </c>
      <c r="S417" t="s">
        <v>1362</v>
      </c>
      <c r="T417" t="s">
        <v>1361</v>
      </c>
      <c r="U417" s="4">
        <v>45409</v>
      </c>
      <c r="V417" s="4">
        <v>45411</v>
      </c>
      <c r="W417" t="b">
        <v>0</v>
      </c>
      <c r="Z417" t="s">
        <v>1386</v>
      </c>
      <c r="AA417" t="s">
        <v>1385</v>
      </c>
      <c r="AB417" t="s">
        <v>1378</v>
      </c>
    </row>
    <row r="418" spans="1:28" x14ac:dyDescent="0.3">
      <c r="A418" t="s">
        <v>611</v>
      </c>
      <c r="B418" s="6">
        <v>45767.480555555558</v>
      </c>
      <c r="C418" t="s">
        <v>79</v>
      </c>
      <c r="D418" t="s">
        <v>1182</v>
      </c>
      <c r="E418" t="s">
        <v>1257</v>
      </c>
      <c r="F418" t="s">
        <v>1143</v>
      </c>
      <c r="G418" t="s">
        <v>1172</v>
      </c>
      <c r="H418" t="s">
        <v>1198</v>
      </c>
      <c r="I418" t="s">
        <v>1303</v>
      </c>
      <c r="J418" t="s">
        <v>1304</v>
      </c>
      <c r="K418">
        <v>1</v>
      </c>
      <c r="L418">
        <v>8380</v>
      </c>
      <c r="M418">
        <v>0.05</v>
      </c>
      <c r="N418">
        <v>7961</v>
      </c>
      <c r="O418">
        <v>0.05</v>
      </c>
      <c r="P418">
        <v>7961</v>
      </c>
      <c r="Q418">
        <v>398.05</v>
      </c>
      <c r="R418">
        <v>8359.0499999999993</v>
      </c>
      <c r="S418" t="s">
        <v>1363</v>
      </c>
      <c r="T418" t="s">
        <v>1361</v>
      </c>
      <c r="U418" s="4">
        <v>45767</v>
      </c>
      <c r="V418" s="4">
        <v>45769</v>
      </c>
      <c r="W418" t="b">
        <v>0</v>
      </c>
      <c r="Z418" t="s">
        <v>1386</v>
      </c>
      <c r="AA418" t="s">
        <v>1387</v>
      </c>
      <c r="AB418" t="s">
        <v>1391</v>
      </c>
    </row>
    <row r="419" spans="1:28" x14ac:dyDescent="0.3">
      <c r="A419" t="s">
        <v>612</v>
      </c>
      <c r="B419" s="6">
        <v>45770.432638888888</v>
      </c>
      <c r="C419" t="s">
        <v>40</v>
      </c>
      <c r="D419" t="s">
        <v>1141</v>
      </c>
      <c r="E419" t="s">
        <v>1142</v>
      </c>
      <c r="F419" t="s">
        <v>1143</v>
      </c>
      <c r="G419" t="s">
        <v>1172</v>
      </c>
      <c r="H419" t="s">
        <v>1188</v>
      </c>
      <c r="I419" t="s">
        <v>1258</v>
      </c>
      <c r="J419" t="s">
        <v>1259</v>
      </c>
      <c r="K419">
        <v>2</v>
      </c>
      <c r="L419">
        <v>4483</v>
      </c>
      <c r="M419">
        <v>0.05</v>
      </c>
      <c r="N419">
        <v>4258.8499999999995</v>
      </c>
      <c r="O419">
        <v>0.12</v>
      </c>
      <c r="P419">
        <v>8517.6999999999989</v>
      </c>
      <c r="Q419">
        <v>1022.124</v>
      </c>
      <c r="R419">
        <v>9539.8239999999987</v>
      </c>
      <c r="S419" t="s">
        <v>1360</v>
      </c>
      <c r="T419" t="s">
        <v>1361</v>
      </c>
      <c r="U419" s="4">
        <v>45771</v>
      </c>
      <c r="V419" s="4">
        <v>45775</v>
      </c>
      <c r="W419" t="b">
        <v>0</v>
      </c>
      <c r="Z419" t="s">
        <v>1388</v>
      </c>
      <c r="AA419" t="s">
        <v>1400</v>
      </c>
      <c r="AB419" t="s">
        <v>1378</v>
      </c>
    </row>
    <row r="420" spans="1:28" x14ac:dyDescent="0.3">
      <c r="A420" t="s">
        <v>616</v>
      </c>
      <c r="B420" s="6">
        <v>45435.629166666666</v>
      </c>
      <c r="C420" t="s">
        <v>354</v>
      </c>
      <c r="D420" t="s">
        <v>1148</v>
      </c>
      <c r="E420" t="s">
        <v>1217</v>
      </c>
      <c r="F420" t="s">
        <v>1143</v>
      </c>
      <c r="G420" t="s">
        <v>1163</v>
      </c>
      <c r="H420" t="s">
        <v>1164</v>
      </c>
      <c r="I420" t="s">
        <v>1318</v>
      </c>
      <c r="J420" t="s">
        <v>1319</v>
      </c>
      <c r="K420">
        <v>3</v>
      </c>
      <c r="L420">
        <v>368</v>
      </c>
      <c r="M420">
        <v>0</v>
      </c>
      <c r="N420">
        <v>368</v>
      </c>
      <c r="O420">
        <v>0.18</v>
      </c>
      <c r="P420">
        <v>1104</v>
      </c>
      <c r="Q420">
        <v>198.72</v>
      </c>
      <c r="R420">
        <v>1302.72</v>
      </c>
      <c r="S420" t="s">
        <v>1365</v>
      </c>
      <c r="T420" t="s">
        <v>1361</v>
      </c>
      <c r="U420" s="4">
        <v>45436</v>
      </c>
      <c r="V420" s="4">
        <v>45440</v>
      </c>
      <c r="W420" t="b">
        <v>0</v>
      </c>
      <c r="Z420" t="s">
        <v>1379</v>
      </c>
      <c r="AA420" t="s">
        <v>1394</v>
      </c>
      <c r="AB420" t="s">
        <v>1389</v>
      </c>
    </row>
    <row r="421" spans="1:28" x14ac:dyDescent="0.3">
      <c r="A421" t="s">
        <v>617</v>
      </c>
      <c r="B421" s="6">
        <v>45674.456250000003</v>
      </c>
      <c r="C421" t="s">
        <v>153</v>
      </c>
      <c r="D421" t="s">
        <v>1141</v>
      </c>
      <c r="E421" t="s">
        <v>1239</v>
      </c>
      <c r="F421" t="s">
        <v>1143</v>
      </c>
      <c r="G421" t="s">
        <v>1177</v>
      </c>
      <c r="H421" t="s">
        <v>1236</v>
      </c>
      <c r="I421" t="s">
        <v>1254</v>
      </c>
      <c r="J421" t="s">
        <v>1255</v>
      </c>
      <c r="K421">
        <v>1</v>
      </c>
      <c r="L421">
        <v>2840</v>
      </c>
      <c r="M421">
        <v>0</v>
      </c>
      <c r="N421">
        <v>2840</v>
      </c>
      <c r="O421">
        <v>0.18</v>
      </c>
      <c r="P421">
        <v>2840</v>
      </c>
      <c r="Q421">
        <v>511.2</v>
      </c>
      <c r="R421">
        <v>3351.2</v>
      </c>
      <c r="S421" t="s">
        <v>1362</v>
      </c>
      <c r="T421" t="s">
        <v>1361</v>
      </c>
      <c r="U421" s="4">
        <v>45675</v>
      </c>
      <c r="V421" s="4">
        <v>45678</v>
      </c>
      <c r="W421" t="b">
        <v>0</v>
      </c>
      <c r="Z421" t="s">
        <v>1390</v>
      </c>
      <c r="AA421" t="s">
        <v>1399</v>
      </c>
      <c r="AB421" t="s">
        <v>1378</v>
      </c>
    </row>
    <row r="422" spans="1:28" x14ac:dyDescent="0.3">
      <c r="A422" t="s">
        <v>619</v>
      </c>
      <c r="B422" s="6">
        <v>45549.599305555559</v>
      </c>
      <c r="C422" t="s">
        <v>510</v>
      </c>
      <c r="D422" t="s">
        <v>1153</v>
      </c>
      <c r="E422" t="s">
        <v>1191</v>
      </c>
      <c r="F422" t="s">
        <v>1143</v>
      </c>
      <c r="G422" t="s">
        <v>1163</v>
      </c>
      <c r="H422" t="s">
        <v>1184</v>
      </c>
      <c r="I422" t="s">
        <v>1245</v>
      </c>
      <c r="J422" t="s">
        <v>1246</v>
      </c>
      <c r="K422">
        <v>2</v>
      </c>
      <c r="L422">
        <v>859</v>
      </c>
      <c r="M422">
        <v>0</v>
      </c>
      <c r="N422">
        <v>859</v>
      </c>
      <c r="O422">
        <v>0.05</v>
      </c>
      <c r="P422">
        <v>1718</v>
      </c>
      <c r="Q422">
        <v>85.9</v>
      </c>
      <c r="R422">
        <v>1803.9</v>
      </c>
      <c r="S422" t="s">
        <v>1365</v>
      </c>
      <c r="T422" t="s">
        <v>1361</v>
      </c>
      <c r="U422" s="4">
        <v>45549</v>
      </c>
      <c r="V422" s="4">
        <v>45554</v>
      </c>
      <c r="W422" t="b">
        <v>0</v>
      </c>
      <c r="Z422" t="s">
        <v>1382</v>
      </c>
      <c r="AA422" t="s">
        <v>1387</v>
      </c>
      <c r="AB422" t="s">
        <v>1383</v>
      </c>
    </row>
    <row r="423" spans="1:28" x14ac:dyDescent="0.3">
      <c r="A423" t="s">
        <v>622</v>
      </c>
      <c r="B423" s="6">
        <v>45644.536805555559</v>
      </c>
      <c r="C423" t="s">
        <v>32</v>
      </c>
      <c r="D423" t="s">
        <v>1157</v>
      </c>
      <c r="E423" t="s">
        <v>1201</v>
      </c>
      <c r="F423" t="s">
        <v>1143</v>
      </c>
      <c r="G423" t="s">
        <v>1167</v>
      </c>
      <c r="H423" t="s">
        <v>1263</v>
      </c>
      <c r="I423" t="s">
        <v>1264</v>
      </c>
      <c r="J423" t="s">
        <v>1265</v>
      </c>
      <c r="K423">
        <v>2</v>
      </c>
      <c r="L423">
        <v>48524</v>
      </c>
      <c r="M423">
        <v>0.1</v>
      </c>
      <c r="N423">
        <v>43671.6</v>
      </c>
      <c r="O423">
        <v>0.18</v>
      </c>
      <c r="P423">
        <v>87343.2</v>
      </c>
      <c r="Q423">
        <v>15721.776</v>
      </c>
      <c r="R423">
        <v>103064.976</v>
      </c>
      <c r="S423" t="s">
        <v>1362</v>
      </c>
      <c r="T423" t="s">
        <v>1361</v>
      </c>
      <c r="U423" s="4">
        <v>45645</v>
      </c>
      <c r="V423" s="4">
        <v>45646</v>
      </c>
      <c r="W423" t="b">
        <v>0</v>
      </c>
      <c r="Z423" t="s">
        <v>1382</v>
      </c>
      <c r="AA423" t="s">
        <v>1400</v>
      </c>
      <c r="AB423" t="s">
        <v>1391</v>
      </c>
    </row>
    <row r="424" spans="1:28" x14ac:dyDescent="0.3">
      <c r="A424" t="s">
        <v>623</v>
      </c>
      <c r="B424" s="6">
        <v>45353.604861111111</v>
      </c>
      <c r="C424" t="s">
        <v>109</v>
      </c>
      <c r="D424" t="s">
        <v>1157</v>
      </c>
      <c r="E424" t="s">
        <v>1181</v>
      </c>
      <c r="F424" t="s">
        <v>1143</v>
      </c>
      <c r="G424" t="s">
        <v>1177</v>
      </c>
      <c r="H424" t="s">
        <v>1309</v>
      </c>
      <c r="I424" t="s">
        <v>1310</v>
      </c>
      <c r="J424" t="s">
        <v>1311</v>
      </c>
      <c r="K424">
        <v>4</v>
      </c>
      <c r="L424">
        <v>539</v>
      </c>
      <c r="M424">
        <v>0</v>
      </c>
      <c r="N424">
        <v>539</v>
      </c>
      <c r="O424">
        <v>0.05</v>
      </c>
      <c r="P424">
        <v>2156</v>
      </c>
      <c r="Q424">
        <v>107.8</v>
      </c>
      <c r="R424">
        <v>2263.8000000000002</v>
      </c>
      <c r="S424" t="s">
        <v>1363</v>
      </c>
      <c r="T424" t="s">
        <v>1361</v>
      </c>
      <c r="U424" s="4">
        <v>45355</v>
      </c>
      <c r="V424" s="4">
        <v>45359</v>
      </c>
      <c r="W424" t="b">
        <v>0</v>
      </c>
      <c r="Z424" t="s">
        <v>1398</v>
      </c>
      <c r="AA424" t="s">
        <v>1400</v>
      </c>
      <c r="AB424" t="s">
        <v>1383</v>
      </c>
    </row>
    <row r="425" spans="1:28" x14ac:dyDescent="0.3">
      <c r="A425" t="s">
        <v>626</v>
      </c>
      <c r="B425" s="6">
        <v>45367.534722222219</v>
      </c>
      <c r="C425" t="s">
        <v>627</v>
      </c>
      <c r="D425" t="s">
        <v>1182</v>
      </c>
      <c r="E425" t="s">
        <v>1256</v>
      </c>
      <c r="F425" t="s">
        <v>1143</v>
      </c>
      <c r="G425" t="s">
        <v>1167</v>
      </c>
      <c r="H425" t="s">
        <v>1168</v>
      </c>
      <c r="I425" t="s">
        <v>1314</v>
      </c>
      <c r="J425" t="s">
        <v>1315</v>
      </c>
      <c r="K425">
        <v>2</v>
      </c>
      <c r="L425">
        <v>41572</v>
      </c>
      <c r="M425">
        <v>0.2</v>
      </c>
      <c r="N425">
        <v>33257.599999999999</v>
      </c>
      <c r="O425">
        <v>0.12</v>
      </c>
      <c r="P425">
        <v>66515.199999999997</v>
      </c>
      <c r="Q425">
        <v>7981.8239999999996</v>
      </c>
      <c r="R425">
        <v>74497.02399999999</v>
      </c>
      <c r="S425" t="s">
        <v>1366</v>
      </c>
      <c r="T425" t="s">
        <v>1367</v>
      </c>
      <c r="U425" s="4">
        <v>45369</v>
      </c>
      <c r="W425" t="b">
        <v>0</v>
      </c>
      <c r="Z425" t="s">
        <v>1382</v>
      </c>
      <c r="AA425" t="s">
        <v>1400</v>
      </c>
      <c r="AB425" t="s">
        <v>1383</v>
      </c>
    </row>
    <row r="426" spans="1:28" x14ac:dyDescent="0.3">
      <c r="A426" t="s">
        <v>628</v>
      </c>
      <c r="B426" s="6">
        <v>45463.55972222222</v>
      </c>
      <c r="C426" t="s">
        <v>629</v>
      </c>
      <c r="D426" t="s">
        <v>1153</v>
      </c>
      <c r="E426" t="s">
        <v>1191</v>
      </c>
      <c r="F426" t="s">
        <v>1143</v>
      </c>
      <c r="G426" t="s">
        <v>1144</v>
      </c>
      <c r="H426" t="s">
        <v>1159</v>
      </c>
      <c r="I426" t="s">
        <v>1272</v>
      </c>
      <c r="J426" t="s">
        <v>1273</v>
      </c>
      <c r="K426">
        <v>1</v>
      </c>
      <c r="L426">
        <v>6955</v>
      </c>
      <c r="M426">
        <v>0.05</v>
      </c>
      <c r="N426">
        <v>6607.25</v>
      </c>
      <c r="O426">
        <v>0.12</v>
      </c>
      <c r="P426">
        <v>6607.25</v>
      </c>
      <c r="Q426">
        <v>792.87</v>
      </c>
      <c r="R426">
        <v>7400.12</v>
      </c>
      <c r="S426" t="s">
        <v>1363</v>
      </c>
      <c r="T426" t="s">
        <v>1361</v>
      </c>
      <c r="U426" s="4">
        <v>45464</v>
      </c>
      <c r="V426" s="4">
        <v>45469</v>
      </c>
      <c r="W426" t="b">
        <v>0</v>
      </c>
      <c r="Z426" t="s">
        <v>1382</v>
      </c>
      <c r="AA426" t="s">
        <v>1385</v>
      </c>
      <c r="AB426" t="s">
        <v>1389</v>
      </c>
    </row>
    <row r="427" spans="1:28" x14ac:dyDescent="0.3">
      <c r="A427" t="s">
        <v>630</v>
      </c>
      <c r="B427" s="6">
        <v>45563.661805555559</v>
      </c>
      <c r="C427" t="s">
        <v>176</v>
      </c>
      <c r="D427" t="s">
        <v>1148</v>
      </c>
      <c r="E427" t="s">
        <v>1262</v>
      </c>
      <c r="F427" t="s">
        <v>1143</v>
      </c>
      <c r="G427" t="s">
        <v>1144</v>
      </c>
      <c r="H427" t="s">
        <v>1159</v>
      </c>
      <c r="I427" t="s">
        <v>1334</v>
      </c>
      <c r="J427" t="s">
        <v>1335</v>
      </c>
      <c r="K427">
        <v>1</v>
      </c>
      <c r="L427">
        <v>6778</v>
      </c>
      <c r="M427">
        <v>0.1</v>
      </c>
      <c r="N427">
        <v>6100.2</v>
      </c>
      <c r="O427">
        <v>0.12</v>
      </c>
      <c r="P427">
        <v>6100.2</v>
      </c>
      <c r="Q427">
        <v>732.024</v>
      </c>
      <c r="R427">
        <v>6832.2240000000002</v>
      </c>
      <c r="S427" t="s">
        <v>1360</v>
      </c>
      <c r="T427" t="s">
        <v>1368</v>
      </c>
      <c r="U427" s="4">
        <v>45563</v>
      </c>
      <c r="W427" t="b">
        <v>0</v>
      </c>
      <c r="Z427" t="s">
        <v>1392</v>
      </c>
      <c r="AA427" t="s">
        <v>1387</v>
      </c>
      <c r="AB427" t="s">
        <v>1378</v>
      </c>
    </row>
    <row r="428" spans="1:28" x14ac:dyDescent="0.3">
      <c r="A428" t="s">
        <v>631</v>
      </c>
      <c r="B428" s="6">
        <v>45670.519444444442</v>
      </c>
      <c r="C428" t="s">
        <v>491</v>
      </c>
      <c r="D428" t="s">
        <v>1148</v>
      </c>
      <c r="E428" t="s">
        <v>1149</v>
      </c>
      <c r="F428" t="s">
        <v>1143</v>
      </c>
      <c r="G428" t="s">
        <v>1163</v>
      </c>
      <c r="H428" t="s">
        <v>1184</v>
      </c>
      <c r="I428" t="s">
        <v>1185</v>
      </c>
      <c r="J428" t="s">
        <v>1186</v>
      </c>
      <c r="K428">
        <v>5</v>
      </c>
      <c r="L428">
        <v>253</v>
      </c>
      <c r="M428">
        <v>0.1</v>
      </c>
      <c r="N428">
        <v>227.7</v>
      </c>
      <c r="O428">
        <v>0.05</v>
      </c>
      <c r="P428">
        <v>1138.5</v>
      </c>
      <c r="Q428">
        <v>56.924999999999997</v>
      </c>
      <c r="R428">
        <v>1195.425</v>
      </c>
      <c r="S428" t="s">
        <v>1365</v>
      </c>
      <c r="T428" t="s">
        <v>1369</v>
      </c>
      <c r="W428" t="b">
        <v>0</v>
      </c>
      <c r="Z428" t="s">
        <v>1376</v>
      </c>
      <c r="AA428" t="s">
        <v>1397</v>
      </c>
      <c r="AB428" t="s">
        <v>1378</v>
      </c>
    </row>
    <row r="429" spans="1:28" x14ac:dyDescent="0.3">
      <c r="A429" t="s">
        <v>633</v>
      </c>
      <c r="B429" s="6">
        <v>45552.427777777775</v>
      </c>
      <c r="C429" t="s">
        <v>51</v>
      </c>
      <c r="D429" t="s">
        <v>1141</v>
      </c>
      <c r="E429" t="s">
        <v>1227</v>
      </c>
      <c r="F429" t="s">
        <v>1143</v>
      </c>
      <c r="G429" t="s">
        <v>1167</v>
      </c>
      <c r="H429" t="s">
        <v>1288</v>
      </c>
      <c r="I429" t="s">
        <v>1289</v>
      </c>
      <c r="J429" t="s">
        <v>1290</v>
      </c>
      <c r="K429">
        <v>3</v>
      </c>
      <c r="L429">
        <v>33429</v>
      </c>
      <c r="M429">
        <v>0</v>
      </c>
      <c r="N429">
        <v>33429</v>
      </c>
      <c r="O429">
        <v>0.12</v>
      </c>
      <c r="P429">
        <v>100287</v>
      </c>
      <c r="Q429">
        <v>12034.44</v>
      </c>
      <c r="R429">
        <v>112321.44</v>
      </c>
      <c r="S429" t="s">
        <v>1362</v>
      </c>
      <c r="T429" t="s">
        <v>1361</v>
      </c>
      <c r="U429" s="4">
        <v>45553</v>
      </c>
      <c r="V429" s="4">
        <v>45555</v>
      </c>
      <c r="W429" t="b">
        <v>0</v>
      </c>
      <c r="Z429" t="s">
        <v>1379</v>
      </c>
      <c r="AA429" t="s">
        <v>1397</v>
      </c>
      <c r="AB429" t="s">
        <v>1393</v>
      </c>
    </row>
    <row r="430" spans="1:28" x14ac:dyDescent="0.3">
      <c r="A430" t="s">
        <v>634</v>
      </c>
      <c r="B430" s="6">
        <v>45759.547222222223</v>
      </c>
      <c r="C430" t="s">
        <v>213</v>
      </c>
      <c r="D430" t="s">
        <v>1182</v>
      </c>
      <c r="E430" t="s">
        <v>1256</v>
      </c>
      <c r="F430" t="s">
        <v>1143</v>
      </c>
      <c r="G430" t="s">
        <v>1172</v>
      </c>
      <c r="H430" t="s">
        <v>1188</v>
      </c>
      <c r="I430" t="s">
        <v>1232</v>
      </c>
      <c r="J430" t="s">
        <v>1233</v>
      </c>
      <c r="K430">
        <v>2</v>
      </c>
      <c r="L430">
        <v>9004</v>
      </c>
      <c r="M430">
        <v>0.05</v>
      </c>
      <c r="N430">
        <v>8553.7999999999993</v>
      </c>
      <c r="O430">
        <v>0.12</v>
      </c>
      <c r="P430">
        <v>17107.599999999999</v>
      </c>
      <c r="Q430">
        <v>2052.9119999999998</v>
      </c>
      <c r="R430">
        <v>19160.511999999999</v>
      </c>
      <c r="S430" t="s">
        <v>1365</v>
      </c>
      <c r="T430" t="s">
        <v>1361</v>
      </c>
      <c r="U430" s="4">
        <v>45759</v>
      </c>
      <c r="V430" s="4">
        <v>45764</v>
      </c>
      <c r="W430" t="b">
        <v>0</v>
      </c>
      <c r="Z430" t="s">
        <v>1379</v>
      </c>
      <c r="AA430" t="s">
        <v>1377</v>
      </c>
      <c r="AB430" t="s">
        <v>1391</v>
      </c>
    </row>
    <row r="431" spans="1:28" x14ac:dyDescent="0.3">
      <c r="A431" t="s">
        <v>637</v>
      </c>
      <c r="B431" s="6">
        <v>45562.463194444441</v>
      </c>
      <c r="C431" t="s">
        <v>65</v>
      </c>
      <c r="D431" t="s">
        <v>1141</v>
      </c>
      <c r="E431" t="s">
        <v>1142</v>
      </c>
      <c r="F431" t="s">
        <v>1143</v>
      </c>
      <c r="G431" t="s">
        <v>1163</v>
      </c>
      <c r="H431" t="s">
        <v>1184</v>
      </c>
      <c r="I431" t="s">
        <v>1185</v>
      </c>
      <c r="J431" t="s">
        <v>1186</v>
      </c>
      <c r="K431">
        <v>3</v>
      </c>
      <c r="L431">
        <v>918</v>
      </c>
      <c r="M431">
        <v>0.1</v>
      </c>
      <c r="N431">
        <v>826.2</v>
      </c>
      <c r="O431">
        <v>0.12</v>
      </c>
      <c r="P431">
        <v>2478.6</v>
      </c>
      <c r="Q431">
        <v>297.43200000000002</v>
      </c>
      <c r="R431">
        <v>2776.0320000000002</v>
      </c>
      <c r="S431" t="s">
        <v>1363</v>
      </c>
      <c r="T431" t="s">
        <v>1361</v>
      </c>
      <c r="U431" s="4">
        <v>45564</v>
      </c>
      <c r="V431" s="4">
        <v>45566</v>
      </c>
      <c r="W431" t="b">
        <v>0</v>
      </c>
      <c r="Z431" t="s">
        <v>1396</v>
      </c>
      <c r="AA431" t="s">
        <v>1399</v>
      </c>
      <c r="AB431" t="s">
        <v>1389</v>
      </c>
    </row>
    <row r="432" spans="1:28" x14ac:dyDescent="0.3">
      <c r="A432" t="s">
        <v>643</v>
      </c>
      <c r="B432" s="6">
        <v>45665.420138888891</v>
      </c>
      <c r="C432" t="s">
        <v>354</v>
      </c>
      <c r="D432" t="s">
        <v>1148</v>
      </c>
      <c r="E432" t="s">
        <v>1217</v>
      </c>
      <c r="F432" t="s">
        <v>1143</v>
      </c>
      <c r="G432" t="s">
        <v>1167</v>
      </c>
      <c r="H432" t="s">
        <v>1263</v>
      </c>
      <c r="I432" t="s">
        <v>1274</v>
      </c>
      <c r="J432" t="s">
        <v>1275</v>
      </c>
      <c r="K432">
        <v>4</v>
      </c>
      <c r="L432">
        <v>47831</v>
      </c>
      <c r="M432">
        <v>0</v>
      </c>
      <c r="N432">
        <v>47831</v>
      </c>
      <c r="O432">
        <v>0.12</v>
      </c>
      <c r="P432">
        <v>191324</v>
      </c>
      <c r="Q432">
        <v>22958.880000000001</v>
      </c>
      <c r="R432">
        <v>214282.88</v>
      </c>
      <c r="S432" t="s">
        <v>1360</v>
      </c>
      <c r="T432" t="s">
        <v>1369</v>
      </c>
      <c r="W432" t="b">
        <v>0</v>
      </c>
      <c r="Z432" t="s">
        <v>1398</v>
      </c>
      <c r="AA432" t="s">
        <v>1397</v>
      </c>
      <c r="AB432" t="s">
        <v>1383</v>
      </c>
    </row>
    <row r="433" spans="1:28" x14ac:dyDescent="0.3">
      <c r="A433" t="s">
        <v>650</v>
      </c>
      <c r="B433" s="6">
        <v>45682.469444444447</v>
      </c>
      <c r="C433" t="s">
        <v>200</v>
      </c>
      <c r="D433" t="s">
        <v>1182</v>
      </c>
      <c r="E433" t="s">
        <v>1183</v>
      </c>
      <c r="F433" t="s">
        <v>1143</v>
      </c>
      <c r="G433" t="s">
        <v>1163</v>
      </c>
      <c r="H433" t="s">
        <v>1164</v>
      </c>
      <c r="I433" t="s">
        <v>1318</v>
      </c>
      <c r="J433" t="s">
        <v>1319</v>
      </c>
      <c r="K433">
        <v>3</v>
      </c>
      <c r="L433">
        <v>92</v>
      </c>
      <c r="M433">
        <v>0</v>
      </c>
      <c r="N433">
        <v>92</v>
      </c>
      <c r="O433">
        <v>0.12</v>
      </c>
      <c r="P433">
        <v>276</v>
      </c>
      <c r="Q433">
        <v>33.119999999999997</v>
      </c>
      <c r="R433">
        <v>309.12</v>
      </c>
      <c r="S433" t="s">
        <v>1366</v>
      </c>
      <c r="T433" t="s">
        <v>1361</v>
      </c>
      <c r="U433" s="4">
        <v>45684</v>
      </c>
      <c r="V433" s="4">
        <v>45686</v>
      </c>
      <c r="W433" t="b">
        <v>0</v>
      </c>
      <c r="Z433" t="s">
        <v>1398</v>
      </c>
      <c r="AA433" t="s">
        <v>1400</v>
      </c>
      <c r="AB433" t="s">
        <v>1378</v>
      </c>
    </row>
    <row r="434" spans="1:28" x14ac:dyDescent="0.3">
      <c r="A434" t="s">
        <v>651</v>
      </c>
      <c r="B434" s="6">
        <v>45468.480555555558</v>
      </c>
      <c r="C434" t="s">
        <v>14</v>
      </c>
      <c r="D434" t="s">
        <v>1153</v>
      </c>
      <c r="E434" t="s">
        <v>1162</v>
      </c>
      <c r="F434" t="s">
        <v>1143</v>
      </c>
      <c r="G434" t="s">
        <v>1163</v>
      </c>
      <c r="H434" t="s">
        <v>1224</v>
      </c>
      <c r="I434" t="s">
        <v>1243</v>
      </c>
      <c r="J434" t="s">
        <v>1244</v>
      </c>
      <c r="K434">
        <v>2</v>
      </c>
      <c r="L434">
        <v>94</v>
      </c>
      <c r="M434">
        <v>0.05</v>
      </c>
      <c r="N434">
        <v>89.3</v>
      </c>
      <c r="O434">
        <v>0.18</v>
      </c>
      <c r="P434">
        <v>178.6</v>
      </c>
      <c r="Q434">
        <v>32.148000000000003</v>
      </c>
      <c r="R434">
        <v>210.74799999999999</v>
      </c>
      <c r="S434" t="s">
        <v>1362</v>
      </c>
      <c r="T434" t="s">
        <v>1361</v>
      </c>
      <c r="U434" s="4">
        <v>45470</v>
      </c>
      <c r="V434" s="4">
        <v>45471</v>
      </c>
      <c r="W434" t="b">
        <v>0</v>
      </c>
      <c r="Z434" t="s">
        <v>1386</v>
      </c>
      <c r="AA434" t="s">
        <v>1399</v>
      </c>
      <c r="AB434" t="s">
        <v>1395</v>
      </c>
    </row>
    <row r="435" spans="1:28" x14ac:dyDescent="0.3">
      <c r="A435" t="s">
        <v>652</v>
      </c>
      <c r="B435" s="6">
        <v>45319.506249999999</v>
      </c>
      <c r="C435" t="s">
        <v>374</v>
      </c>
      <c r="D435" t="s">
        <v>1153</v>
      </c>
      <c r="E435" t="s">
        <v>1162</v>
      </c>
      <c r="F435" t="s">
        <v>1143</v>
      </c>
      <c r="G435" t="s">
        <v>1163</v>
      </c>
      <c r="H435" t="s">
        <v>1164</v>
      </c>
      <c r="I435" t="s">
        <v>1165</v>
      </c>
      <c r="J435" t="s">
        <v>1166</v>
      </c>
      <c r="K435">
        <v>4</v>
      </c>
      <c r="L435">
        <v>187</v>
      </c>
      <c r="M435">
        <v>0</v>
      </c>
      <c r="N435">
        <v>187</v>
      </c>
      <c r="O435">
        <v>0.12</v>
      </c>
      <c r="P435">
        <v>748</v>
      </c>
      <c r="Q435">
        <v>89.759999999999991</v>
      </c>
      <c r="R435">
        <v>837.76</v>
      </c>
      <c r="S435" t="s">
        <v>1365</v>
      </c>
      <c r="T435" t="s">
        <v>1367</v>
      </c>
      <c r="U435" s="4">
        <v>45320</v>
      </c>
      <c r="W435" t="b">
        <v>0</v>
      </c>
      <c r="Z435" t="s">
        <v>1392</v>
      </c>
      <c r="AA435" t="s">
        <v>1400</v>
      </c>
      <c r="AB435" t="s">
        <v>1380</v>
      </c>
    </row>
    <row r="436" spans="1:28" x14ac:dyDescent="0.3">
      <c r="A436" t="s">
        <v>653</v>
      </c>
      <c r="B436" s="6">
        <v>45540.600694444445</v>
      </c>
      <c r="C436" t="s">
        <v>63</v>
      </c>
      <c r="D436" t="s">
        <v>1141</v>
      </c>
      <c r="E436" t="s">
        <v>1239</v>
      </c>
      <c r="F436" t="s">
        <v>1143</v>
      </c>
      <c r="G436" t="s">
        <v>1163</v>
      </c>
      <c r="H436" t="s">
        <v>1266</v>
      </c>
      <c r="I436" t="s">
        <v>1267</v>
      </c>
      <c r="J436" t="s">
        <v>1268</v>
      </c>
      <c r="K436">
        <v>3</v>
      </c>
      <c r="L436">
        <v>86</v>
      </c>
      <c r="M436">
        <v>0</v>
      </c>
      <c r="N436">
        <v>86</v>
      </c>
      <c r="O436">
        <v>0.05</v>
      </c>
      <c r="P436">
        <v>258</v>
      </c>
      <c r="Q436">
        <v>12.9</v>
      </c>
      <c r="R436">
        <v>270.89999999999998</v>
      </c>
      <c r="S436" t="s">
        <v>1363</v>
      </c>
      <c r="T436" t="s">
        <v>1361</v>
      </c>
      <c r="U436" s="4">
        <v>45542</v>
      </c>
      <c r="V436" s="4">
        <v>45547</v>
      </c>
      <c r="W436" t="b">
        <v>0</v>
      </c>
      <c r="Z436" t="s">
        <v>1398</v>
      </c>
      <c r="AA436" t="s">
        <v>1377</v>
      </c>
      <c r="AB436" t="s">
        <v>1389</v>
      </c>
    </row>
    <row r="437" spans="1:28" x14ac:dyDescent="0.3">
      <c r="A437" t="s">
        <v>657</v>
      </c>
      <c r="B437" s="6">
        <v>45623.513888888891</v>
      </c>
      <c r="C437" t="s">
        <v>146</v>
      </c>
      <c r="D437" t="s">
        <v>1148</v>
      </c>
      <c r="E437" t="s">
        <v>1149</v>
      </c>
      <c r="F437" t="s">
        <v>1143</v>
      </c>
      <c r="G437" t="s">
        <v>1177</v>
      </c>
      <c r="H437" t="s">
        <v>1309</v>
      </c>
      <c r="I437" t="s">
        <v>1332</v>
      </c>
      <c r="J437" t="s">
        <v>1333</v>
      </c>
      <c r="K437">
        <v>3</v>
      </c>
      <c r="L437">
        <v>624</v>
      </c>
      <c r="M437">
        <v>0.05</v>
      </c>
      <c r="N437">
        <v>592.79999999999995</v>
      </c>
      <c r="O437">
        <v>0.18</v>
      </c>
      <c r="P437">
        <v>1778.4</v>
      </c>
      <c r="Q437">
        <v>320.11200000000002</v>
      </c>
      <c r="R437">
        <v>2098.5120000000002</v>
      </c>
      <c r="S437" t="s">
        <v>1360</v>
      </c>
      <c r="T437" t="s">
        <v>1361</v>
      </c>
      <c r="U437" s="4">
        <v>45623</v>
      </c>
      <c r="V437" s="4">
        <v>45626</v>
      </c>
      <c r="W437" t="b">
        <v>0</v>
      </c>
      <c r="Z437" t="s">
        <v>1388</v>
      </c>
      <c r="AA437" t="s">
        <v>1397</v>
      </c>
      <c r="AB437" t="s">
        <v>1383</v>
      </c>
    </row>
    <row r="438" spans="1:28" x14ac:dyDescent="0.3">
      <c r="A438" t="s">
        <v>658</v>
      </c>
      <c r="B438" s="6">
        <v>45743.435416666667</v>
      </c>
      <c r="C438" t="s">
        <v>571</v>
      </c>
      <c r="D438" t="s">
        <v>1157</v>
      </c>
      <c r="E438" t="s">
        <v>1201</v>
      </c>
      <c r="F438" t="s">
        <v>1143</v>
      </c>
      <c r="G438" t="s">
        <v>1144</v>
      </c>
      <c r="H438" t="s">
        <v>1276</v>
      </c>
      <c r="I438" t="s">
        <v>1307</v>
      </c>
      <c r="J438" t="s">
        <v>1308</v>
      </c>
      <c r="K438">
        <v>2</v>
      </c>
      <c r="L438">
        <v>3949</v>
      </c>
      <c r="M438">
        <v>0</v>
      </c>
      <c r="N438">
        <v>3949</v>
      </c>
      <c r="O438">
        <v>0.12</v>
      </c>
      <c r="P438">
        <v>7898</v>
      </c>
      <c r="Q438">
        <v>947.76</v>
      </c>
      <c r="R438">
        <v>8845.76</v>
      </c>
      <c r="S438" t="s">
        <v>1362</v>
      </c>
      <c r="T438" t="s">
        <v>1361</v>
      </c>
      <c r="U438" s="4">
        <v>45745</v>
      </c>
      <c r="V438" s="4">
        <v>45749</v>
      </c>
      <c r="W438" t="b">
        <v>0</v>
      </c>
      <c r="Z438" t="s">
        <v>1388</v>
      </c>
      <c r="AA438" t="s">
        <v>1394</v>
      </c>
      <c r="AB438" t="s">
        <v>1393</v>
      </c>
    </row>
    <row r="439" spans="1:28" x14ac:dyDescent="0.3">
      <c r="A439" t="s">
        <v>659</v>
      </c>
      <c r="B439" s="6">
        <v>45387.604166666664</v>
      </c>
      <c r="C439" t="s">
        <v>137</v>
      </c>
      <c r="D439" t="s">
        <v>1182</v>
      </c>
      <c r="E439" t="s">
        <v>1183</v>
      </c>
      <c r="F439" t="s">
        <v>1143</v>
      </c>
      <c r="G439" t="s">
        <v>1177</v>
      </c>
      <c r="H439" t="s">
        <v>1236</v>
      </c>
      <c r="I439" t="s">
        <v>1254</v>
      </c>
      <c r="J439" t="s">
        <v>1255</v>
      </c>
      <c r="K439">
        <v>1</v>
      </c>
      <c r="L439">
        <v>715</v>
      </c>
      <c r="M439">
        <v>0.05</v>
      </c>
      <c r="N439">
        <v>679.25</v>
      </c>
      <c r="O439">
        <v>0.12</v>
      </c>
      <c r="P439">
        <v>679.25</v>
      </c>
      <c r="Q439">
        <v>81.509999999999991</v>
      </c>
      <c r="R439">
        <v>760.76</v>
      </c>
      <c r="S439" t="s">
        <v>1360</v>
      </c>
      <c r="T439" t="s">
        <v>1361</v>
      </c>
      <c r="U439" s="4">
        <v>45387</v>
      </c>
      <c r="V439" s="4">
        <v>45388</v>
      </c>
      <c r="W439" t="b">
        <v>0</v>
      </c>
      <c r="Z439" t="s">
        <v>1388</v>
      </c>
      <c r="AA439" t="s">
        <v>1399</v>
      </c>
      <c r="AB439" t="s">
        <v>1380</v>
      </c>
    </row>
    <row r="440" spans="1:28" x14ac:dyDescent="0.3">
      <c r="A440" t="s">
        <v>663</v>
      </c>
      <c r="B440" s="6">
        <v>45616.586111111108</v>
      </c>
      <c r="C440" t="s">
        <v>83</v>
      </c>
      <c r="D440" t="s">
        <v>1141</v>
      </c>
      <c r="E440" t="s">
        <v>1239</v>
      </c>
      <c r="F440" t="s">
        <v>1143</v>
      </c>
      <c r="G440" t="s">
        <v>1177</v>
      </c>
      <c r="H440" t="s">
        <v>1192</v>
      </c>
      <c r="I440" t="s">
        <v>1344</v>
      </c>
      <c r="J440" t="s">
        <v>1345</v>
      </c>
      <c r="K440">
        <v>3</v>
      </c>
      <c r="L440">
        <v>1269</v>
      </c>
      <c r="M440">
        <v>0.1</v>
      </c>
      <c r="N440">
        <v>1142.0999999999999</v>
      </c>
      <c r="O440">
        <v>0.05</v>
      </c>
      <c r="P440">
        <v>3426.3</v>
      </c>
      <c r="Q440">
        <v>171.315</v>
      </c>
      <c r="R440">
        <v>3597.6149999999998</v>
      </c>
      <c r="S440" t="s">
        <v>1363</v>
      </c>
      <c r="T440" t="s">
        <v>1361</v>
      </c>
      <c r="U440" s="4">
        <v>45617</v>
      </c>
      <c r="V440" s="4">
        <v>45620</v>
      </c>
      <c r="W440" t="b">
        <v>0</v>
      </c>
      <c r="Z440" t="s">
        <v>1384</v>
      </c>
      <c r="AA440" t="s">
        <v>1377</v>
      </c>
      <c r="AB440" t="s">
        <v>1383</v>
      </c>
    </row>
    <row r="441" spans="1:28" x14ac:dyDescent="0.3">
      <c r="A441" t="s">
        <v>664</v>
      </c>
      <c r="B441" s="6">
        <v>45454.55</v>
      </c>
      <c r="C441" t="s">
        <v>24</v>
      </c>
      <c r="D441" t="s">
        <v>1153</v>
      </c>
      <c r="E441" t="s">
        <v>1154</v>
      </c>
      <c r="F441" t="s">
        <v>1143</v>
      </c>
      <c r="G441" t="s">
        <v>1177</v>
      </c>
      <c r="H441" t="s">
        <v>1195</v>
      </c>
      <c r="I441" t="s">
        <v>1196</v>
      </c>
      <c r="J441" t="s">
        <v>1197</v>
      </c>
      <c r="K441">
        <v>2</v>
      </c>
      <c r="L441">
        <v>1180</v>
      </c>
      <c r="M441">
        <v>0.1</v>
      </c>
      <c r="N441">
        <v>1062</v>
      </c>
      <c r="O441">
        <v>0.12</v>
      </c>
      <c r="P441">
        <v>2124</v>
      </c>
      <c r="Q441">
        <v>254.88</v>
      </c>
      <c r="R441">
        <v>2378.88</v>
      </c>
      <c r="S441" t="s">
        <v>1363</v>
      </c>
      <c r="T441" t="s">
        <v>1369</v>
      </c>
      <c r="W441" t="b">
        <v>0</v>
      </c>
      <c r="Z441" t="s">
        <v>1396</v>
      </c>
      <c r="AA441" t="s">
        <v>1400</v>
      </c>
      <c r="AB441" t="s">
        <v>1395</v>
      </c>
    </row>
    <row r="442" spans="1:28" x14ac:dyDescent="0.3">
      <c r="A442" t="s">
        <v>665</v>
      </c>
      <c r="B442" s="6">
        <v>45578.427083333336</v>
      </c>
      <c r="C442" t="s">
        <v>247</v>
      </c>
      <c r="D442" t="s">
        <v>1141</v>
      </c>
      <c r="E442" t="s">
        <v>1227</v>
      </c>
      <c r="F442" t="s">
        <v>1143</v>
      </c>
      <c r="G442" t="s">
        <v>1144</v>
      </c>
      <c r="H442" t="s">
        <v>1276</v>
      </c>
      <c r="I442" t="s">
        <v>1277</v>
      </c>
      <c r="J442" t="s">
        <v>1278</v>
      </c>
      <c r="K442">
        <v>2</v>
      </c>
      <c r="L442">
        <v>4042</v>
      </c>
      <c r="M442">
        <v>0</v>
      </c>
      <c r="N442">
        <v>4042</v>
      </c>
      <c r="O442">
        <v>0.05</v>
      </c>
      <c r="P442">
        <v>8084</v>
      </c>
      <c r="Q442">
        <v>404.2</v>
      </c>
      <c r="R442">
        <v>8488.2000000000007</v>
      </c>
      <c r="S442" t="s">
        <v>1365</v>
      </c>
      <c r="T442" t="s">
        <v>1361</v>
      </c>
      <c r="U442" s="4">
        <v>45580</v>
      </c>
      <c r="V442" s="4">
        <v>45583</v>
      </c>
      <c r="W442" t="b">
        <v>0</v>
      </c>
      <c r="Z442" t="s">
        <v>1379</v>
      </c>
      <c r="AA442" t="s">
        <v>1377</v>
      </c>
      <c r="AB442" t="s">
        <v>1395</v>
      </c>
    </row>
    <row r="443" spans="1:28" x14ac:dyDescent="0.3">
      <c r="A443" t="s">
        <v>666</v>
      </c>
      <c r="B443" s="6">
        <v>45559.515277777777</v>
      </c>
      <c r="C443" t="s">
        <v>318</v>
      </c>
      <c r="D443" t="s">
        <v>1153</v>
      </c>
      <c r="E443" t="s">
        <v>1176</v>
      </c>
      <c r="F443" t="s">
        <v>1143</v>
      </c>
      <c r="G443" t="s">
        <v>1163</v>
      </c>
      <c r="H443" t="s">
        <v>1184</v>
      </c>
      <c r="I443" t="s">
        <v>1185</v>
      </c>
      <c r="J443" t="s">
        <v>1186</v>
      </c>
      <c r="K443">
        <v>1</v>
      </c>
      <c r="L443">
        <v>777</v>
      </c>
      <c r="M443">
        <v>0.05</v>
      </c>
      <c r="N443">
        <v>738.15</v>
      </c>
      <c r="O443">
        <v>0.18</v>
      </c>
      <c r="P443">
        <v>738.15</v>
      </c>
      <c r="Q443">
        <v>132.86699999999999</v>
      </c>
      <c r="R443">
        <v>871.01699999999994</v>
      </c>
      <c r="S443" t="s">
        <v>1360</v>
      </c>
      <c r="T443" t="s">
        <v>1369</v>
      </c>
      <c r="W443" t="b">
        <v>0</v>
      </c>
      <c r="Z443" t="s">
        <v>1386</v>
      </c>
      <c r="AA443" t="s">
        <v>1377</v>
      </c>
      <c r="AB443" t="s">
        <v>1391</v>
      </c>
    </row>
    <row r="444" spans="1:28" x14ac:dyDescent="0.3">
      <c r="A444" t="s">
        <v>668</v>
      </c>
      <c r="B444" s="6">
        <v>45675.658333333333</v>
      </c>
      <c r="C444" t="s">
        <v>669</v>
      </c>
      <c r="D444" t="s">
        <v>1157</v>
      </c>
      <c r="E444" t="s">
        <v>1181</v>
      </c>
      <c r="F444" t="s">
        <v>1143</v>
      </c>
      <c r="G444" t="s">
        <v>1144</v>
      </c>
      <c r="H444" t="s">
        <v>1276</v>
      </c>
      <c r="I444" t="s">
        <v>1277</v>
      </c>
      <c r="J444" t="s">
        <v>1278</v>
      </c>
      <c r="K444">
        <v>2</v>
      </c>
      <c r="L444">
        <v>13524</v>
      </c>
      <c r="M444">
        <v>0.15</v>
      </c>
      <c r="N444">
        <v>11495.4</v>
      </c>
      <c r="O444">
        <v>0.05</v>
      </c>
      <c r="P444">
        <v>22990.799999999999</v>
      </c>
      <c r="Q444">
        <v>1149.54</v>
      </c>
      <c r="R444">
        <v>24140.34</v>
      </c>
      <c r="S444" t="s">
        <v>1363</v>
      </c>
      <c r="T444" t="s">
        <v>1361</v>
      </c>
      <c r="U444" s="4">
        <v>45675</v>
      </c>
      <c r="V444" s="4">
        <v>45676</v>
      </c>
      <c r="W444" t="b">
        <v>0</v>
      </c>
      <c r="Z444" t="s">
        <v>1392</v>
      </c>
      <c r="AA444" t="s">
        <v>1394</v>
      </c>
      <c r="AB444" t="s">
        <v>1391</v>
      </c>
    </row>
    <row r="445" spans="1:28" x14ac:dyDescent="0.3">
      <c r="A445" t="s">
        <v>671</v>
      </c>
      <c r="B445" s="6">
        <v>45557.436111111114</v>
      </c>
      <c r="C445" t="s">
        <v>91</v>
      </c>
      <c r="D445" t="s">
        <v>1182</v>
      </c>
      <c r="E445" t="s">
        <v>1207</v>
      </c>
      <c r="F445" t="s">
        <v>1143</v>
      </c>
      <c r="G445" t="s">
        <v>1163</v>
      </c>
      <c r="H445" t="s">
        <v>1224</v>
      </c>
      <c r="I445" t="s">
        <v>1243</v>
      </c>
      <c r="J445" t="s">
        <v>1244</v>
      </c>
      <c r="K445">
        <v>1</v>
      </c>
      <c r="L445">
        <v>459</v>
      </c>
      <c r="M445">
        <v>0.1</v>
      </c>
      <c r="N445">
        <v>413.1</v>
      </c>
      <c r="O445">
        <v>0.05</v>
      </c>
      <c r="P445">
        <v>413.1</v>
      </c>
      <c r="Q445">
        <v>20.655000000000001</v>
      </c>
      <c r="R445">
        <v>433.755</v>
      </c>
      <c r="S445" t="s">
        <v>1360</v>
      </c>
      <c r="T445" t="s">
        <v>1361</v>
      </c>
      <c r="U445" s="4">
        <v>45559</v>
      </c>
      <c r="V445" s="4">
        <v>45562</v>
      </c>
      <c r="W445" t="b">
        <v>0</v>
      </c>
      <c r="Z445" t="s">
        <v>1382</v>
      </c>
      <c r="AA445" t="s">
        <v>1377</v>
      </c>
      <c r="AB445" t="s">
        <v>1395</v>
      </c>
    </row>
    <row r="446" spans="1:28" x14ac:dyDescent="0.3">
      <c r="A446" t="s">
        <v>672</v>
      </c>
      <c r="B446" s="6">
        <v>45693.630555555559</v>
      </c>
      <c r="C446" t="s">
        <v>494</v>
      </c>
      <c r="D446" t="s">
        <v>1153</v>
      </c>
      <c r="E446" t="s">
        <v>1191</v>
      </c>
      <c r="F446" t="s">
        <v>1143</v>
      </c>
      <c r="G446" t="s">
        <v>1172</v>
      </c>
      <c r="H446" t="s">
        <v>1204</v>
      </c>
      <c r="I446" t="s">
        <v>1205</v>
      </c>
      <c r="J446" t="s">
        <v>1206</v>
      </c>
      <c r="K446">
        <v>2</v>
      </c>
      <c r="L446">
        <v>6645</v>
      </c>
      <c r="M446">
        <v>0.15</v>
      </c>
      <c r="N446">
        <v>5648.25</v>
      </c>
      <c r="O446">
        <v>0.18</v>
      </c>
      <c r="P446">
        <v>11296.5</v>
      </c>
      <c r="Q446">
        <v>2033.37</v>
      </c>
      <c r="R446">
        <v>13329.87</v>
      </c>
      <c r="S446" t="s">
        <v>1366</v>
      </c>
      <c r="T446" t="s">
        <v>1361</v>
      </c>
      <c r="U446" s="4">
        <v>45694</v>
      </c>
      <c r="V446" s="4">
        <v>45699</v>
      </c>
      <c r="W446" t="b">
        <v>0</v>
      </c>
      <c r="Z446" t="s">
        <v>1382</v>
      </c>
      <c r="AA446" t="s">
        <v>1387</v>
      </c>
      <c r="AB446" t="s">
        <v>1378</v>
      </c>
    </row>
    <row r="447" spans="1:28" x14ac:dyDescent="0.3">
      <c r="A447" t="s">
        <v>674</v>
      </c>
      <c r="B447" s="6">
        <v>45456.431944444441</v>
      </c>
      <c r="C447" t="s">
        <v>169</v>
      </c>
      <c r="D447" t="s">
        <v>1148</v>
      </c>
      <c r="E447" t="s">
        <v>1149</v>
      </c>
      <c r="F447" t="s">
        <v>1143</v>
      </c>
      <c r="G447" t="s">
        <v>1177</v>
      </c>
      <c r="H447" t="s">
        <v>1195</v>
      </c>
      <c r="I447" t="s">
        <v>1218</v>
      </c>
      <c r="J447" t="s">
        <v>1219</v>
      </c>
      <c r="K447">
        <v>2</v>
      </c>
      <c r="L447">
        <v>2505</v>
      </c>
      <c r="M447">
        <v>0.05</v>
      </c>
      <c r="N447">
        <v>2379.75</v>
      </c>
      <c r="O447">
        <v>0.12</v>
      </c>
      <c r="P447">
        <v>4759.5</v>
      </c>
      <c r="Q447">
        <v>571.14</v>
      </c>
      <c r="R447">
        <v>5330.64</v>
      </c>
      <c r="S447" t="s">
        <v>1366</v>
      </c>
      <c r="T447" t="s">
        <v>1368</v>
      </c>
      <c r="U447" s="4">
        <v>45456</v>
      </c>
      <c r="W447" t="b">
        <v>0</v>
      </c>
      <c r="Z447" t="s">
        <v>1396</v>
      </c>
      <c r="AA447" t="s">
        <v>1399</v>
      </c>
      <c r="AB447" t="s">
        <v>1393</v>
      </c>
    </row>
    <row r="448" spans="1:28" x14ac:dyDescent="0.3">
      <c r="A448" t="s">
        <v>675</v>
      </c>
      <c r="B448" s="6">
        <v>45569.407638888886</v>
      </c>
      <c r="C448" t="s">
        <v>267</v>
      </c>
      <c r="D448" t="s">
        <v>1148</v>
      </c>
      <c r="E448" t="s">
        <v>1217</v>
      </c>
      <c r="F448" t="s">
        <v>1143</v>
      </c>
      <c r="G448" t="s">
        <v>1167</v>
      </c>
      <c r="H448" t="s">
        <v>1263</v>
      </c>
      <c r="I448" t="s">
        <v>1264</v>
      </c>
      <c r="J448" t="s">
        <v>1265</v>
      </c>
      <c r="K448">
        <v>1</v>
      </c>
      <c r="L448">
        <v>52306</v>
      </c>
      <c r="M448">
        <v>0.05</v>
      </c>
      <c r="N448">
        <v>49690.7</v>
      </c>
      <c r="O448">
        <v>0.12</v>
      </c>
      <c r="P448">
        <v>49690.7</v>
      </c>
      <c r="Q448">
        <v>5962.8839999999991</v>
      </c>
      <c r="R448">
        <v>55653.584000000003</v>
      </c>
      <c r="S448" t="s">
        <v>1363</v>
      </c>
      <c r="T448" t="s">
        <v>1361</v>
      </c>
      <c r="U448" s="4">
        <v>45569</v>
      </c>
      <c r="V448" s="4">
        <v>45574</v>
      </c>
      <c r="W448" t="b">
        <v>0</v>
      </c>
      <c r="Z448" t="s">
        <v>1396</v>
      </c>
      <c r="AA448" t="s">
        <v>1385</v>
      </c>
      <c r="AB448" t="s">
        <v>1389</v>
      </c>
    </row>
    <row r="449" spans="1:28" x14ac:dyDescent="0.3">
      <c r="A449" t="s">
        <v>676</v>
      </c>
      <c r="B449" s="6">
        <v>45391.426388888889</v>
      </c>
      <c r="C449" t="s">
        <v>551</v>
      </c>
      <c r="D449" t="s">
        <v>1157</v>
      </c>
      <c r="E449" t="s">
        <v>1201</v>
      </c>
      <c r="F449" t="s">
        <v>1143</v>
      </c>
      <c r="G449" t="s">
        <v>1177</v>
      </c>
      <c r="H449" t="s">
        <v>1178</v>
      </c>
      <c r="I449" t="s">
        <v>1220</v>
      </c>
      <c r="J449" t="s">
        <v>1221</v>
      </c>
      <c r="K449">
        <v>3</v>
      </c>
      <c r="L449">
        <v>423</v>
      </c>
      <c r="M449">
        <v>0</v>
      </c>
      <c r="N449">
        <v>423</v>
      </c>
      <c r="O449">
        <v>0.12</v>
      </c>
      <c r="P449">
        <v>1269</v>
      </c>
      <c r="Q449">
        <v>152.28</v>
      </c>
      <c r="R449">
        <v>1421.28</v>
      </c>
      <c r="S449" t="s">
        <v>1365</v>
      </c>
      <c r="T449" t="s">
        <v>1361</v>
      </c>
      <c r="U449" s="4">
        <v>45393</v>
      </c>
      <c r="V449" s="4">
        <v>45398</v>
      </c>
      <c r="W449" t="b">
        <v>0</v>
      </c>
      <c r="Z449" t="s">
        <v>1390</v>
      </c>
      <c r="AA449" t="s">
        <v>1397</v>
      </c>
      <c r="AB449" t="s">
        <v>1378</v>
      </c>
    </row>
    <row r="450" spans="1:28" x14ac:dyDescent="0.3">
      <c r="A450" t="s">
        <v>681</v>
      </c>
      <c r="B450" s="6">
        <v>45393.489583333336</v>
      </c>
      <c r="C450" t="s">
        <v>368</v>
      </c>
      <c r="D450" t="s">
        <v>1153</v>
      </c>
      <c r="E450" t="s">
        <v>1191</v>
      </c>
      <c r="F450" t="s">
        <v>1143</v>
      </c>
      <c r="G450" t="s">
        <v>1172</v>
      </c>
      <c r="H450" t="s">
        <v>1204</v>
      </c>
      <c r="I450" t="s">
        <v>1205</v>
      </c>
      <c r="J450" t="s">
        <v>1206</v>
      </c>
      <c r="K450">
        <v>1</v>
      </c>
      <c r="L450">
        <v>5632</v>
      </c>
      <c r="M450">
        <v>0</v>
      </c>
      <c r="N450">
        <v>5632</v>
      </c>
      <c r="O450">
        <v>0.12</v>
      </c>
      <c r="P450">
        <v>5632</v>
      </c>
      <c r="Q450">
        <v>675.83999999999992</v>
      </c>
      <c r="R450">
        <v>6307.84</v>
      </c>
      <c r="S450" t="s">
        <v>1360</v>
      </c>
      <c r="T450" t="s">
        <v>1368</v>
      </c>
      <c r="U450" s="4">
        <v>45394</v>
      </c>
      <c r="W450" t="b">
        <v>0</v>
      </c>
      <c r="Z450" t="s">
        <v>1382</v>
      </c>
      <c r="AA450" t="s">
        <v>1385</v>
      </c>
      <c r="AB450" t="s">
        <v>1389</v>
      </c>
    </row>
    <row r="451" spans="1:28" x14ac:dyDescent="0.3">
      <c r="A451" t="s">
        <v>685</v>
      </c>
      <c r="B451" s="6">
        <v>45666.504166666666</v>
      </c>
      <c r="C451" t="s">
        <v>59</v>
      </c>
      <c r="D451" t="s">
        <v>1148</v>
      </c>
      <c r="E451" t="s">
        <v>1217</v>
      </c>
      <c r="F451" t="s">
        <v>1143</v>
      </c>
      <c r="G451" t="s">
        <v>1172</v>
      </c>
      <c r="H451" t="s">
        <v>1188</v>
      </c>
      <c r="I451" t="s">
        <v>1189</v>
      </c>
      <c r="J451" t="s">
        <v>1190</v>
      </c>
      <c r="K451">
        <v>3</v>
      </c>
      <c r="L451">
        <v>8869</v>
      </c>
      <c r="M451">
        <v>0.1</v>
      </c>
      <c r="N451">
        <v>7982.1</v>
      </c>
      <c r="O451">
        <v>0.12</v>
      </c>
      <c r="P451">
        <v>23946.3</v>
      </c>
      <c r="Q451">
        <v>2873.556</v>
      </c>
      <c r="R451">
        <v>26819.856</v>
      </c>
      <c r="S451" t="s">
        <v>1365</v>
      </c>
      <c r="T451" t="s">
        <v>1361</v>
      </c>
      <c r="U451" s="4">
        <v>45667</v>
      </c>
      <c r="V451" s="4">
        <v>45671</v>
      </c>
      <c r="W451" t="b">
        <v>0</v>
      </c>
      <c r="Z451" t="s">
        <v>1386</v>
      </c>
      <c r="AA451" t="s">
        <v>1400</v>
      </c>
      <c r="AB451" t="s">
        <v>1391</v>
      </c>
    </row>
    <row r="452" spans="1:28" x14ac:dyDescent="0.3">
      <c r="A452" t="s">
        <v>686</v>
      </c>
      <c r="B452" s="6">
        <v>45481.467361111114</v>
      </c>
      <c r="C452" t="s">
        <v>211</v>
      </c>
      <c r="D452" t="s">
        <v>1157</v>
      </c>
      <c r="E452" t="s">
        <v>1181</v>
      </c>
      <c r="F452" t="s">
        <v>1143</v>
      </c>
      <c r="G452" t="s">
        <v>1163</v>
      </c>
      <c r="H452" t="s">
        <v>1240</v>
      </c>
      <c r="I452" t="s">
        <v>1247</v>
      </c>
      <c r="J452" t="s">
        <v>1248</v>
      </c>
      <c r="K452">
        <v>1</v>
      </c>
      <c r="L452">
        <v>1044</v>
      </c>
      <c r="M452">
        <v>0.15</v>
      </c>
      <c r="N452">
        <v>887.4</v>
      </c>
      <c r="O452">
        <v>0.12</v>
      </c>
      <c r="P452">
        <v>887.4</v>
      </c>
      <c r="Q452">
        <v>106.488</v>
      </c>
      <c r="R452">
        <v>993.88799999999992</v>
      </c>
      <c r="S452" t="s">
        <v>1360</v>
      </c>
      <c r="T452" t="s">
        <v>1361</v>
      </c>
      <c r="U452" s="4">
        <v>45482</v>
      </c>
      <c r="V452" s="4">
        <v>45483</v>
      </c>
      <c r="W452" t="b">
        <v>0</v>
      </c>
      <c r="Z452" t="s">
        <v>1384</v>
      </c>
      <c r="AA452" t="s">
        <v>1385</v>
      </c>
      <c r="AB452" t="s">
        <v>1380</v>
      </c>
    </row>
    <row r="453" spans="1:28" x14ac:dyDescent="0.3">
      <c r="A453" t="s">
        <v>687</v>
      </c>
      <c r="B453" s="6">
        <v>45587.597222222219</v>
      </c>
      <c r="C453" t="s">
        <v>271</v>
      </c>
      <c r="D453" t="s">
        <v>1148</v>
      </c>
      <c r="E453" t="s">
        <v>1149</v>
      </c>
      <c r="F453" t="s">
        <v>1143</v>
      </c>
      <c r="G453" t="s">
        <v>1144</v>
      </c>
      <c r="H453" t="s">
        <v>1276</v>
      </c>
      <c r="I453" t="s">
        <v>1286</v>
      </c>
      <c r="J453" t="s">
        <v>1287</v>
      </c>
      <c r="K453">
        <v>4</v>
      </c>
      <c r="L453">
        <v>7672</v>
      </c>
      <c r="M453">
        <v>0.1</v>
      </c>
      <c r="N453">
        <v>6904.8</v>
      </c>
      <c r="O453">
        <v>0.18</v>
      </c>
      <c r="P453">
        <v>27619.200000000001</v>
      </c>
      <c r="Q453">
        <v>4971.4560000000001</v>
      </c>
      <c r="R453">
        <v>32590.655999999999</v>
      </c>
      <c r="S453" t="s">
        <v>1366</v>
      </c>
      <c r="T453" t="s">
        <v>1369</v>
      </c>
      <c r="W453" t="b">
        <v>0</v>
      </c>
      <c r="Z453" t="s">
        <v>1392</v>
      </c>
      <c r="AA453" t="s">
        <v>1394</v>
      </c>
      <c r="AB453" t="s">
        <v>1393</v>
      </c>
    </row>
    <row r="454" spans="1:28" x14ac:dyDescent="0.3">
      <c r="A454" t="s">
        <v>688</v>
      </c>
      <c r="B454" s="6">
        <v>45484.427777777775</v>
      </c>
      <c r="C454" t="s">
        <v>382</v>
      </c>
      <c r="D454" t="s">
        <v>1157</v>
      </c>
      <c r="E454" t="s">
        <v>1158</v>
      </c>
      <c r="F454" t="s">
        <v>1143</v>
      </c>
      <c r="G454" t="s">
        <v>1177</v>
      </c>
      <c r="H454" t="s">
        <v>1178</v>
      </c>
      <c r="I454" t="s">
        <v>1305</v>
      </c>
      <c r="J454" t="s">
        <v>1306</v>
      </c>
      <c r="K454">
        <v>1</v>
      </c>
      <c r="L454">
        <v>1910</v>
      </c>
      <c r="M454">
        <v>0.05</v>
      </c>
      <c r="N454">
        <v>1814.5</v>
      </c>
      <c r="O454">
        <v>0.18</v>
      </c>
      <c r="P454">
        <v>1814.5</v>
      </c>
      <c r="Q454">
        <v>326.61</v>
      </c>
      <c r="R454">
        <v>2141.11</v>
      </c>
      <c r="S454" t="s">
        <v>1360</v>
      </c>
      <c r="T454" t="s">
        <v>1369</v>
      </c>
      <c r="W454" t="b">
        <v>0</v>
      </c>
      <c r="Z454" t="s">
        <v>1376</v>
      </c>
      <c r="AA454" t="s">
        <v>1377</v>
      </c>
      <c r="AB454" t="s">
        <v>1383</v>
      </c>
    </row>
    <row r="455" spans="1:28" x14ac:dyDescent="0.3">
      <c r="A455" t="s">
        <v>689</v>
      </c>
      <c r="B455" s="6">
        <v>45488.488888888889</v>
      </c>
      <c r="C455" t="s">
        <v>71</v>
      </c>
      <c r="D455" t="s">
        <v>1157</v>
      </c>
      <c r="E455" t="s">
        <v>1249</v>
      </c>
      <c r="F455" t="s">
        <v>1143</v>
      </c>
      <c r="G455" t="s">
        <v>1172</v>
      </c>
      <c r="H455" t="s">
        <v>1229</v>
      </c>
      <c r="I455" t="s">
        <v>1340</v>
      </c>
      <c r="J455" t="s">
        <v>1341</v>
      </c>
      <c r="K455">
        <v>2</v>
      </c>
      <c r="L455">
        <v>1881</v>
      </c>
      <c r="M455">
        <v>0.2</v>
      </c>
      <c r="N455">
        <v>1504.8</v>
      </c>
      <c r="O455">
        <v>0.05</v>
      </c>
      <c r="P455">
        <v>3009.6</v>
      </c>
      <c r="Q455">
        <v>150.47999999999999</v>
      </c>
      <c r="R455">
        <v>3160.08</v>
      </c>
      <c r="S455" t="s">
        <v>1363</v>
      </c>
      <c r="T455" t="s">
        <v>1361</v>
      </c>
      <c r="U455" s="4">
        <v>45490</v>
      </c>
      <c r="V455" s="4">
        <v>45493</v>
      </c>
      <c r="W455" t="b">
        <v>0</v>
      </c>
      <c r="Z455" t="s">
        <v>1392</v>
      </c>
      <c r="AA455" t="s">
        <v>1400</v>
      </c>
      <c r="AB455" t="s">
        <v>1395</v>
      </c>
    </row>
    <row r="456" spans="1:28" x14ac:dyDescent="0.3">
      <c r="A456" t="s">
        <v>690</v>
      </c>
      <c r="B456" s="6">
        <v>45605.482638888891</v>
      </c>
      <c r="C456" t="s">
        <v>354</v>
      </c>
      <c r="D456" t="s">
        <v>1148</v>
      </c>
      <c r="E456" t="s">
        <v>1217</v>
      </c>
      <c r="F456" t="s">
        <v>1143</v>
      </c>
      <c r="G456" t="s">
        <v>1163</v>
      </c>
      <c r="H456" t="s">
        <v>1184</v>
      </c>
      <c r="I456" t="s">
        <v>1185</v>
      </c>
      <c r="J456" t="s">
        <v>1186</v>
      </c>
      <c r="K456">
        <v>2</v>
      </c>
      <c r="L456">
        <v>806</v>
      </c>
      <c r="M456">
        <v>0.1</v>
      </c>
      <c r="N456">
        <v>725.4</v>
      </c>
      <c r="O456">
        <v>0.18</v>
      </c>
      <c r="P456">
        <v>1450.8</v>
      </c>
      <c r="Q456">
        <v>261.14400000000001</v>
      </c>
      <c r="R456">
        <v>1711.944</v>
      </c>
      <c r="S456" t="s">
        <v>1363</v>
      </c>
      <c r="T456" t="s">
        <v>1361</v>
      </c>
      <c r="U456" s="4">
        <v>45606</v>
      </c>
      <c r="V456" s="4">
        <v>45609</v>
      </c>
      <c r="W456" t="b">
        <v>0</v>
      </c>
      <c r="Z456" t="s">
        <v>1392</v>
      </c>
      <c r="AA456" t="s">
        <v>1399</v>
      </c>
      <c r="AB456" t="s">
        <v>1391</v>
      </c>
    </row>
    <row r="457" spans="1:28" x14ac:dyDescent="0.3">
      <c r="A457" t="s">
        <v>691</v>
      </c>
      <c r="B457" s="6">
        <v>45504.345833333333</v>
      </c>
      <c r="C457" t="s">
        <v>283</v>
      </c>
      <c r="D457" t="s">
        <v>1148</v>
      </c>
      <c r="E457" t="s">
        <v>1262</v>
      </c>
      <c r="F457" t="s">
        <v>1143</v>
      </c>
      <c r="G457" t="s">
        <v>1144</v>
      </c>
      <c r="H457" t="s">
        <v>1145</v>
      </c>
      <c r="I457" t="s">
        <v>1146</v>
      </c>
      <c r="J457" t="s">
        <v>1147</v>
      </c>
      <c r="K457">
        <v>2</v>
      </c>
      <c r="L457">
        <v>2875</v>
      </c>
      <c r="M457">
        <v>0</v>
      </c>
      <c r="N457">
        <v>2875</v>
      </c>
      <c r="O457">
        <v>0.12</v>
      </c>
      <c r="P457">
        <v>5750</v>
      </c>
      <c r="Q457">
        <v>690</v>
      </c>
      <c r="R457">
        <v>6440</v>
      </c>
      <c r="S457" t="s">
        <v>1360</v>
      </c>
      <c r="T457" t="s">
        <v>1368</v>
      </c>
      <c r="U457" s="4">
        <v>45506</v>
      </c>
      <c r="W457" t="b">
        <v>0</v>
      </c>
      <c r="Z457" t="s">
        <v>1398</v>
      </c>
      <c r="AA457" t="s">
        <v>1377</v>
      </c>
      <c r="AB457" t="s">
        <v>1391</v>
      </c>
    </row>
    <row r="458" spans="1:28" x14ac:dyDescent="0.3">
      <c r="A458" t="s">
        <v>692</v>
      </c>
      <c r="B458" s="6">
        <v>45619.413888888892</v>
      </c>
      <c r="C458" t="s">
        <v>8</v>
      </c>
      <c r="D458" t="s">
        <v>1153</v>
      </c>
      <c r="E458" t="s">
        <v>1154</v>
      </c>
      <c r="F458" t="s">
        <v>1143</v>
      </c>
      <c r="G458" t="s">
        <v>1163</v>
      </c>
      <c r="H458" t="s">
        <v>1164</v>
      </c>
      <c r="I458" t="s">
        <v>1165</v>
      </c>
      <c r="J458" t="s">
        <v>1166</v>
      </c>
      <c r="K458">
        <v>3</v>
      </c>
      <c r="L458">
        <v>188</v>
      </c>
      <c r="M458">
        <v>0</v>
      </c>
      <c r="N458">
        <v>188</v>
      </c>
      <c r="O458">
        <v>0.18</v>
      </c>
      <c r="P458">
        <v>564</v>
      </c>
      <c r="Q458">
        <v>101.52</v>
      </c>
      <c r="R458">
        <v>665.52</v>
      </c>
      <c r="S458" t="s">
        <v>1363</v>
      </c>
      <c r="T458" t="s">
        <v>1361</v>
      </c>
      <c r="U458" s="4">
        <v>45620</v>
      </c>
      <c r="V458" s="4">
        <v>45622</v>
      </c>
      <c r="W458" t="b">
        <v>0</v>
      </c>
      <c r="Z458" t="s">
        <v>1398</v>
      </c>
      <c r="AA458" t="s">
        <v>1394</v>
      </c>
      <c r="AB458" t="s">
        <v>1380</v>
      </c>
    </row>
    <row r="459" spans="1:28" x14ac:dyDescent="0.3">
      <c r="A459" t="s">
        <v>693</v>
      </c>
      <c r="B459" s="6">
        <v>45628.470833333333</v>
      </c>
      <c r="C459" t="s">
        <v>88</v>
      </c>
      <c r="D459" t="s">
        <v>1148</v>
      </c>
      <c r="E459" t="s">
        <v>1262</v>
      </c>
      <c r="F459" t="s">
        <v>1143</v>
      </c>
      <c r="G459" t="s">
        <v>1163</v>
      </c>
      <c r="H459" t="s">
        <v>1240</v>
      </c>
      <c r="I459" t="s">
        <v>1247</v>
      </c>
      <c r="J459" t="s">
        <v>1248</v>
      </c>
      <c r="K459">
        <v>2</v>
      </c>
      <c r="L459">
        <v>748</v>
      </c>
      <c r="M459">
        <v>0</v>
      </c>
      <c r="N459">
        <v>748</v>
      </c>
      <c r="O459">
        <v>0.18</v>
      </c>
      <c r="P459">
        <v>1496</v>
      </c>
      <c r="Q459">
        <v>269.27999999999997</v>
      </c>
      <c r="R459">
        <v>1765.28</v>
      </c>
      <c r="S459" t="s">
        <v>1360</v>
      </c>
      <c r="T459" t="s">
        <v>1361</v>
      </c>
      <c r="U459" s="4">
        <v>45630</v>
      </c>
      <c r="V459" s="4">
        <v>45634</v>
      </c>
      <c r="W459" t="b">
        <v>0</v>
      </c>
      <c r="Z459" t="s">
        <v>1396</v>
      </c>
      <c r="AA459" t="s">
        <v>1394</v>
      </c>
      <c r="AB459" t="s">
        <v>1383</v>
      </c>
    </row>
    <row r="460" spans="1:28" x14ac:dyDescent="0.3">
      <c r="A460" t="s">
        <v>696</v>
      </c>
      <c r="B460" s="6">
        <v>45331.624305555553</v>
      </c>
      <c r="C460" t="s">
        <v>111</v>
      </c>
      <c r="D460" t="s">
        <v>1153</v>
      </c>
      <c r="E460" t="s">
        <v>1162</v>
      </c>
      <c r="F460" t="s">
        <v>1143</v>
      </c>
      <c r="G460" t="s">
        <v>1172</v>
      </c>
      <c r="H460" t="s">
        <v>1198</v>
      </c>
      <c r="I460" t="s">
        <v>1303</v>
      </c>
      <c r="J460" t="s">
        <v>1304</v>
      </c>
      <c r="K460">
        <v>3</v>
      </c>
      <c r="L460">
        <v>7365</v>
      </c>
      <c r="M460">
        <v>0.1</v>
      </c>
      <c r="N460">
        <v>6628.5</v>
      </c>
      <c r="O460">
        <v>0.12</v>
      </c>
      <c r="P460">
        <v>19885.5</v>
      </c>
      <c r="Q460">
        <v>2386.2600000000002</v>
      </c>
      <c r="R460">
        <v>22271.759999999998</v>
      </c>
      <c r="S460" t="s">
        <v>1363</v>
      </c>
      <c r="T460" t="s">
        <v>1361</v>
      </c>
      <c r="U460" s="4">
        <v>45331</v>
      </c>
      <c r="V460" s="4">
        <v>45334</v>
      </c>
      <c r="W460" t="b">
        <v>0</v>
      </c>
      <c r="Z460" t="s">
        <v>1396</v>
      </c>
      <c r="AA460" t="s">
        <v>1399</v>
      </c>
      <c r="AB460" t="s">
        <v>1389</v>
      </c>
    </row>
    <row r="461" spans="1:28" x14ac:dyDescent="0.3">
      <c r="A461" t="s">
        <v>697</v>
      </c>
      <c r="B461" s="6">
        <v>45538.576388888891</v>
      </c>
      <c r="C461" t="s">
        <v>88</v>
      </c>
      <c r="D461" t="s">
        <v>1148</v>
      </c>
      <c r="E461" t="s">
        <v>1262</v>
      </c>
      <c r="F461" t="s">
        <v>1143</v>
      </c>
      <c r="G461" t="s">
        <v>1172</v>
      </c>
      <c r="H461" t="s">
        <v>1204</v>
      </c>
      <c r="I461" t="s">
        <v>1297</v>
      </c>
      <c r="J461" t="s">
        <v>1298</v>
      </c>
      <c r="K461">
        <v>3</v>
      </c>
      <c r="L461">
        <v>6223</v>
      </c>
      <c r="M461">
        <v>0.05</v>
      </c>
      <c r="N461">
        <v>5911.8499999999995</v>
      </c>
      <c r="O461">
        <v>0.12</v>
      </c>
      <c r="P461">
        <v>17735.55</v>
      </c>
      <c r="Q461">
        <v>2128.2660000000001</v>
      </c>
      <c r="R461">
        <v>19863.815999999999</v>
      </c>
      <c r="S461" t="s">
        <v>1362</v>
      </c>
      <c r="T461" t="s">
        <v>1361</v>
      </c>
      <c r="U461" s="4">
        <v>45538</v>
      </c>
      <c r="V461" s="4">
        <v>45542</v>
      </c>
      <c r="W461" t="b">
        <v>0</v>
      </c>
      <c r="Z461" t="s">
        <v>1376</v>
      </c>
      <c r="AA461" t="s">
        <v>1387</v>
      </c>
      <c r="AB461" t="s">
        <v>1393</v>
      </c>
    </row>
    <row r="462" spans="1:28" x14ac:dyDescent="0.3">
      <c r="A462" t="s">
        <v>700</v>
      </c>
      <c r="B462" s="6">
        <v>45678.504166666666</v>
      </c>
      <c r="C462" t="s">
        <v>237</v>
      </c>
      <c r="D462" t="s">
        <v>1182</v>
      </c>
      <c r="E462" t="s">
        <v>1183</v>
      </c>
      <c r="F462" t="s">
        <v>1143</v>
      </c>
      <c r="G462" t="s">
        <v>1144</v>
      </c>
      <c r="H462" t="s">
        <v>1214</v>
      </c>
      <c r="I462" t="s">
        <v>1252</v>
      </c>
      <c r="J462" t="s">
        <v>1253</v>
      </c>
      <c r="K462">
        <v>1</v>
      </c>
      <c r="L462">
        <v>13507</v>
      </c>
      <c r="M462">
        <v>0</v>
      </c>
      <c r="N462">
        <v>13507</v>
      </c>
      <c r="O462">
        <v>0.05</v>
      </c>
      <c r="P462">
        <v>13507</v>
      </c>
      <c r="Q462">
        <v>675.35</v>
      </c>
      <c r="R462">
        <v>14182.35</v>
      </c>
      <c r="S462" t="s">
        <v>1363</v>
      </c>
      <c r="T462" t="s">
        <v>1361</v>
      </c>
      <c r="U462" s="4">
        <v>45680</v>
      </c>
      <c r="V462" s="4">
        <v>45684</v>
      </c>
      <c r="W462" t="b">
        <v>0</v>
      </c>
      <c r="Z462" t="s">
        <v>1384</v>
      </c>
      <c r="AA462" t="s">
        <v>1397</v>
      </c>
      <c r="AB462" t="s">
        <v>1378</v>
      </c>
    </row>
    <row r="463" spans="1:28" x14ac:dyDescent="0.3">
      <c r="A463" t="s">
        <v>701</v>
      </c>
      <c r="B463" s="6">
        <v>45437.590277777781</v>
      </c>
      <c r="C463" t="s">
        <v>135</v>
      </c>
      <c r="D463" t="s">
        <v>1182</v>
      </c>
      <c r="E463" t="s">
        <v>1207</v>
      </c>
      <c r="F463" t="s">
        <v>1143</v>
      </c>
      <c r="G463" t="s">
        <v>1177</v>
      </c>
      <c r="H463" t="s">
        <v>1192</v>
      </c>
      <c r="I463" t="s">
        <v>1193</v>
      </c>
      <c r="J463" t="s">
        <v>1194</v>
      </c>
      <c r="K463">
        <v>2</v>
      </c>
      <c r="L463">
        <v>2416</v>
      </c>
      <c r="M463">
        <v>0.15</v>
      </c>
      <c r="N463">
        <v>2053.6</v>
      </c>
      <c r="O463">
        <v>0.05</v>
      </c>
      <c r="P463">
        <v>4107.2</v>
      </c>
      <c r="Q463">
        <v>205.36</v>
      </c>
      <c r="R463">
        <v>4312.5599999999986</v>
      </c>
      <c r="S463" t="s">
        <v>1360</v>
      </c>
      <c r="T463" t="s">
        <v>1361</v>
      </c>
      <c r="U463" s="4">
        <v>45438</v>
      </c>
      <c r="V463" s="4">
        <v>45440</v>
      </c>
      <c r="W463" t="b">
        <v>0</v>
      </c>
      <c r="Z463" t="s">
        <v>1379</v>
      </c>
      <c r="AA463" t="s">
        <v>1400</v>
      </c>
      <c r="AB463" t="s">
        <v>1395</v>
      </c>
    </row>
    <row r="464" spans="1:28" x14ac:dyDescent="0.3">
      <c r="A464" t="s">
        <v>702</v>
      </c>
      <c r="B464" s="6">
        <v>45625.45208333333</v>
      </c>
      <c r="C464" t="s">
        <v>40</v>
      </c>
      <c r="D464" t="s">
        <v>1141</v>
      </c>
      <c r="E464" t="s">
        <v>1142</v>
      </c>
      <c r="F464" t="s">
        <v>1143</v>
      </c>
      <c r="G464" t="s">
        <v>1144</v>
      </c>
      <c r="H464" t="s">
        <v>1214</v>
      </c>
      <c r="I464" t="s">
        <v>1215</v>
      </c>
      <c r="J464" t="s">
        <v>1216</v>
      </c>
      <c r="K464">
        <v>4</v>
      </c>
      <c r="L464">
        <v>10951</v>
      </c>
      <c r="M464">
        <v>0.05</v>
      </c>
      <c r="N464">
        <v>10403.450000000001</v>
      </c>
      <c r="O464">
        <v>0.12</v>
      </c>
      <c r="P464">
        <v>41613.800000000003</v>
      </c>
      <c r="Q464">
        <v>4993.655999999999</v>
      </c>
      <c r="R464">
        <v>46607.455999999991</v>
      </c>
      <c r="S464" t="s">
        <v>1366</v>
      </c>
      <c r="T464" t="s">
        <v>1364</v>
      </c>
      <c r="U464" s="4">
        <v>45627</v>
      </c>
      <c r="W464" t="b">
        <v>1</v>
      </c>
      <c r="X464" s="4">
        <v>45633</v>
      </c>
      <c r="Y464" s="4">
        <v>45633</v>
      </c>
      <c r="Z464" t="s">
        <v>1392</v>
      </c>
      <c r="AA464" t="s">
        <v>1387</v>
      </c>
      <c r="AB464" t="s">
        <v>1380</v>
      </c>
    </row>
    <row r="465" spans="1:28" x14ac:dyDescent="0.3">
      <c r="A465" t="s">
        <v>704</v>
      </c>
      <c r="B465" s="6">
        <v>45435.611805555556</v>
      </c>
      <c r="C465" t="s">
        <v>51</v>
      </c>
      <c r="D465" t="s">
        <v>1141</v>
      </c>
      <c r="E465" t="s">
        <v>1227</v>
      </c>
      <c r="F465" t="s">
        <v>1143</v>
      </c>
      <c r="G465" t="s">
        <v>1163</v>
      </c>
      <c r="H465" t="s">
        <v>1164</v>
      </c>
      <c r="I465" t="s">
        <v>1324</v>
      </c>
      <c r="J465" t="s">
        <v>1325</v>
      </c>
      <c r="K465">
        <v>1</v>
      </c>
      <c r="L465">
        <v>938</v>
      </c>
      <c r="M465">
        <v>0.1</v>
      </c>
      <c r="N465">
        <v>844.2</v>
      </c>
      <c r="O465">
        <v>0.18</v>
      </c>
      <c r="P465">
        <v>844.2</v>
      </c>
      <c r="Q465">
        <v>151.95599999999999</v>
      </c>
      <c r="R465">
        <v>996.15600000000006</v>
      </c>
      <c r="S465" t="s">
        <v>1363</v>
      </c>
      <c r="T465" t="s">
        <v>1361</v>
      </c>
      <c r="U465" s="4">
        <v>45435</v>
      </c>
      <c r="V465" s="4">
        <v>45439</v>
      </c>
      <c r="W465" t="b">
        <v>0</v>
      </c>
      <c r="Z465" t="s">
        <v>1396</v>
      </c>
      <c r="AA465" t="s">
        <v>1387</v>
      </c>
      <c r="AB465" t="s">
        <v>1393</v>
      </c>
    </row>
    <row r="466" spans="1:28" x14ac:dyDescent="0.3">
      <c r="A466" t="s">
        <v>706</v>
      </c>
      <c r="B466" s="6">
        <v>45714.559027777781</v>
      </c>
      <c r="C466" t="s">
        <v>63</v>
      </c>
      <c r="D466" t="s">
        <v>1141</v>
      </c>
      <c r="E466" t="s">
        <v>1239</v>
      </c>
      <c r="F466" t="s">
        <v>1143</v>
      </c>
      <c r="G466" t="s">
        <v>1177</v>
      </c>
      <c r="H466" t="s">
        <v>1178</v>
      </c>
      <c r="I466" t="s">
        <v>1179</v>
      </c>
      <c r="J466" t="s">
        <v>1180</v>
      </c>
      <c r="K466">
        <v>2</v>
      </c>
      <c r="L466">
        <v>2195</v>
      </c>
      <c r="M466">
        <v>0.05</v>
      </c>
      <c r="N466">
        <v>2085.25</v>
      </c>
      <c r="O466">
        <v>0.18</v>
      </c>
      <c r="P466">
        <v>4170.5</v>
      </c>
      <c r="Q466">
        <v>750.68999999999994</v>
      </c>
      <c r="R466">
        <v>4921.1899999999996</v>
      </c>
      <c r="S466" t="s">
        <v>1360</v>
      </c>
      <c r="T466" t="s">
        <v>1361</v>
      </c>
      <c r="U466" s="4">
        <v>45716</v>
      </c>
      <c r="V466" s="4">
        <v>45719</v>
      </c>
      <c r="W466" t="b">
        <v>0</v>
      </c>
      <c r="Z466" t="s">
        <v>1386</v>
      </c>
      <c r="AA466" t="s">
        <v>1400</v>
      </c>
      <c r="AB466" t="s">
        <v>1389</v>
      </c>
    </row>
    <row r="467" spans="1:28" x14ac:dyDescent="0.3">
      <c r="A467" t="s">
        <v>707</v>
      </c>
      <c r="B467" s="6">
        <v>45542.59375</v>
      </c>
      <c r="C467" t="s">
        <v>193</v>
      </c>
      <c r="D467" t="s">
        <v>1148</v>
      </c>
      <c r="E467" t="s">
        <v>1217</v>
      </c>
      <c r="F467" t="s">
        <v>1143</v>
      </c>
      <c r="G467" t="s">
        <v>1163</v>
      </c>
      <c r="H467" t="s">
        <v>1266</v>
      </c>
      <c r="I467" t="s">
        <v>1330</v>
      </c>
      <c r="J467" t="s">
        <v>1331</v>
      </c>
      <c r="K467">
        <v>1</v>
      </c>
      <c r="L467">
        <v>645</v>
      </c>
      <c r="M467">
        <v>0.05</v>
      </c>
      <c r="N467">
        <v>612.75</v>
      </c>
      <c r="O467">
        <v>0.12</v>
      </c>
      <c r="P467">
        <v>612.75</v>
      </c>
      <c r="Q467">
        <v>73.53</v>
      </c>
      <c r="R467">
        <v>686.28</v>
      </c>
      <c r="S467" t="s">
        <v>1362</v>
      </c>
      <c r="T467" t="s">
        <v>1361</v>
      </c>
      <c r="U467" s="4">
        <v>45544</v>
      </c>
      <c r="V467" s="4">
        <v>45549</v>
      </c>
      <c r="W467" t="b">
        <v>0</v>
      </c>
      <c r="Z467" t="s">
        <v>1390</v>
      </c>
      <c r="AA467" t="s">
        <v>1400</v>
      </c>
      <c r="AB467" t="s">
        <v>1393</v>
      </c>
    </row>
    <row r="468" spans="1:28" x14ac:dyDescent="0.3">
      <c r="A468" t="s">
        <v>708</v>
      </c>
      <c r="B468" s="6">
        <v>45309.527777777781</v>
      </c>
      <c r="C468" t="s">
        <v>419</v>
      </c>
      <c r="D468" t="s">
        <v>1153</v>
      </c>
      <c r="E468" t="s">
        <v>1154</v>
      </c>
      <c r="F468" t="s">
        <v>1143</v>
      </c>
      <c r="G468" t="s">
        <v>1177</v>
      </c>
      <c r="H468" t="s">
        <v>1192</v>
      </c>
      <c r="I468" t="s">
        <v>1283</v>
      </c>
      <c r="J468" t="s">
        <v>1284</v>
      </c>
      <c r="K468">
        <v>4</v>
      </c>
      <c r="L468">
        <v>2549</v>
      </c>
      <c r="M468">
        <v>0.15</v>
      </c>
      <c r="N468">
        <v>2166.65</v>
      </c>
      <c r="O468">
        <v>0.12</v>
      </c>
      <c r="P468">
        <v>8666.6</v>
      </c>
      <c r="Q468">
        <v>1039.992</v>
      </c>
      <c r="R468">
        <v>9706.5920000000006</v>
      </c>
      <c r="S468" t="s">
        <v>1365</v>
      </c>
      <c r="T468" t="s">
        <v>1361</v>
      </c>
      <c r="U468" s="4">
        <v>45309</v>
      </c>
      <c r="V468" s="4">
        <v>45313</v>
      </c>
      <c r="W468" t="b">
        <v>0</v>
      </c>
      <c r="Z468" t="s">
        <v>1396</v>
      </c>
      <c r="AA468" t="s">
        <v>1385</v>
      </c>
      <c r="AB468" t="s">
        <v>1395</v>
      </c>
    </row>
    <row r="469" spans="1:28" x14ac:dyDescent="0.3">
      <c r="A469" t="s">
        <v>709</v>
      </c>
      <c r="B469" s="6">
        <v>45414.417361111111</v>
      </c>
      <c r="C469" t="s">
        <v>304</v>
      </c>
      <c r="D469" t="s">
        <v>1157</v>
      </c>
      <c r="E469" t="s">
        <v>1181</v>
      </c>
      <c r="F469" t="s">
        <v>1143</v>
      </c>
      <c r="G469" t="s">
        <v>1177</v>
      </c>
      <c r="H469" t="s">
        <v>1192</v>
      </c>
      <c r="I469" t="s">
        <v>1283</v>
      </c>
      <c r="J469" t="s">
        <v>1284</v>
      </c>
      <c r="K469">
        <v>4</v>
      </c>
      <c r="L469">
        <v>509</v>
      </c>
      <c r="M469">
        <v>0.05</v>
      </c>
      <c r="N469">
        <v>483.55</v>
      </c>
      <c r="O469">
        <v>0.12</v>
      </c>
      <c r="P469">
        <v>1934.2</v>
      </c>
      <c r="Q469">
        <v>232.10400000000001</v>
      </c>
      <c r="R469">
        <v>2166.3040000000001</v>
      </c>
      <c r="S469" t="s">
        <v>1363</v>
      </c>
      <c r="T469" t="s">
        <v>1361</v>
      </c>
      <c r="U469" s="4">
        <v>45416</v>
      </c>
      <c r="V469" s="4">
        <v>45420</v>
      </c>
      <c r="W469" t="b">
        <v>0</v>
      </c>
      <c r="Z469" t="s">
        <v>1386</v>
      </c>
      <c r="AA469" t="s">
        <v>1385</v>
      </c>
      <c r="AB469" t="s">
        <v>1393</v>
      </c>
    </row>
    <row r="470" spans="1:28" x14ac:dyDescent="0.3">
      <c r="A470" t="s">
        <v>713</v>
      </c>
      <c r="B470" s="6">
        <v>45375.51458333333</v>
      </c>
      <c r="C470" t="s">
        <v>55</v>
      </c>
      <c r="D470" t="s">
        <v>1157</v>
      </c>
      <c r="E470" t="s">
        <v>1158</v>
      </c>
      <c r="F470" t="s">
        <v>1143</v>
      </c>
      <c r="G470" t="s">
        <v>1163</v>
      </c>
      <c r="H470" t="s">
        <v>1164</v>
      </c>
      <c r="I470" t="s">
        <v>1165</v>
      </c>
      <c r="J470" t="s">
        <v>1166</v>
      </c>
      <c r="K470">
        <v>4</v>
      </c>
      <c r="L470">
        <v>246</v>
      </c>
      <c r="M470">
        <v>0</v>
      </c>
      <c r="N470">
        <v>246</v>
      </c>
      <c r="O470">
        <v>0.18</v>
      </c>
      <c r="P470">
        <v>984</v>
      </c>
      <c r="Q470">
        <v>177.12</v>
      </c>
      <c r="R470">
        <v>1161.1199999999999</v>
      </c>
      <c r="S470" t="s">
        <v>1363</v>
      </c>
      <c r="T470" t="s">
        <v>1361</v>
      </c>
      <c r="U470" s="4">
        <v>45375</v>
      </c>
      <c r="V470" s="4">
        <v>45377</v>
      </c>
      <c r="W470" t="b">
        <v>0</v>
      </c>
      <c r="Z470" t="s">
        <v>1386</v>
      </c>
      <c r="AA470" t="s">
        <v>1394</v>
      </c>
      <c r="AB470" t="s">
        <v>1383</v>
      </c>
    </row>
    <row r="471" spans="1:28" x14ac:dyDescent="0.3">
      <c r="A471" t="s">
        <v>715</v>
      </c>
      <c r="B471" s="6">
        <v>45572.475694444445</v>
      </c>
      <c r="C471" t="s">
        <v>75</v>
      </c>
      <c r="D471" t="s">
        <v>1182</v>
      </c>
      <c r="E471" t="s">
        <v>1183</v>
      </c>
      <c r="F471" t="s">
        <v>1143</v>
      </c>
      <c r="G471" t="s">
        <v>1177</v>
      </c>
      <c r="H471" t="s">
        <v>1195</v>
      </c>
      <c r="I471" t="s">
        <v>1218</v>
      </c>
      <c r="J471" t="s">
        <v>1219</v>
      </c>
      <c r="K471">
        <v>2</v>
      </c>
      <c r="L471">
        <v>560</v>
      </c>
      <c r="M471">
        <v>0</v>
      </c>
      <c r="N471">
        <v>560</v>
      </c>
      <c r="O471">
        <v>0.12</v>
      </c>
      <c r="P471">
        <v>1120</v>
      </c>
      <c r="Q471">
        <v>134.4</v>
      </c>
      <c r="R471">
        <v>1254.4000000000001</v>
      </c>
      <c r="S471" t="s">
        <v>1362</v>
      </c>
      <c r="T471" t="s">
        <v>1361</v>
      </c>
      <c r="U471" s="4">
        <v>45573</v>
      </c>
      <c r="V471" s="4">
        <v>45578</v>
      </c>
      <c r="W471" t="b">
        <v>0</v>
      </c>
      <c r="Z471" t="s">
        <v>1386</v>
      </c>
      <c r="AA471" t="s">
        <v>1394</v>
      </c>
      <c r="AB471" t="s">
        <v>1378</v>
      </c>
    </row>
    <row r="472" spans="1:28" x14ac:dyDescent="0.3">
      <c r="A472" t="s">
        <v>716</v>
      </c>
      <c r="B472" s="6">
        <v>45442.489583333336</v>
      </c>
      <c r="C472" t="s">
        <v>462</v>
      </c>
      <c r="D472" t="s">
        <v>1148</v>
      </c>
      <c r="E472" t="s">
        <v>1149</v>
      </c>
      <c r="F472" t="s">
        <v>1143</v>
      </c>
      <c r="G472" t="s">
        <v>1172</v>
      </c>
      <c r="H472" t="s">
        <v>1188</v>
      </c>
      <c r="I472" t="s">
        <v>1232</v>
      </c>
      <c r="J472" t="s">
        <v>1233</v>
      </c>
      <c r="K472">
        <v>3</v>
      </c>
      <c r="L472">
        <v>4261</v>
      </c>
      <c r="M472">
        <v>0.2</v>
      </c>
      <c r="N472">
        <v>3408.8</v>
      </c>
      <c r="O472">
        <v>0.18</v>
      </c>
      <c r="P472">
        <v>10226.4</v>
      </c>
      <c r="Q472">
        <v>1840.752</v>
      </c>
      <c r="R472">
        <v>12067.152</v>
      </c>
      <c r="S472" t="s">
        <v>1366</v>
      </c>
      <c r="T472" t="s">
        <v>1361</v>
      </c>
      <c r="U472" s="4">
        <v>45442</v>
      </c>
      <c r="V472" s="4">
        <v>45445</v>
      </c>
      <c r="W472" t="b">
        <v>0</v>
      </c>
      <c r="Z472" t="s">
        <v>1384</v>
      </c>
      <c r="AA472" t="s">
        <v>1394</v>
      </c>
      <c r="AB472" t="s">
        <v>1391</v>
      </c>
    </row>
    <row r="473" spans="1:28" x14ac:dyDescent="0.3">
      <c r="A473" t="s">
        <v>720</v>
      </c>
      <c r="B473" s="6">
        <v>45564.662499999999</v>
      </c>
      <c r="C473" t="s">
        <v>206</v>
      </c>
      <c r="D473" t="s">
        <v>1153</v>
      </c>
      <c r="E473" t="s">
        <v>1191</v>
      </c>
      <c r="F473" t="s">
        <v>1143</v>
      </c>
      <c r="G473" t="s">
        <v>1177</v>
      </c>
      <c r="H473" t="s">
        <v>1195</v>
      </c>
      <c r="I473" t="s">
        <v>1196</v>
      </c>
      <c r="J473" t="s">
        <v>1197</v>
      </c>
      <c r="K473">
        <v>2</v>
      </c>
      <c r="L473">
        <v>622</v>
      </c>
      <c r="M473">
        <v>0</v>
      </c>
      <c r="N473">
        <v>622</v>
      </c>
      <c r="O473">
        <v>0.12</v>
      </c>
      <c r="P473">
        <v>1244</v>
      </c>
      <c r="Q473">
        <v>149.28</v>
      </c>
      <c r="R473">
        <v>1393.28</v>
      </c>
      <c r="S473" t="s">
        <v>1363</v>
      </c>
      <c r="T473" t="s">
        <v>1368</v>
      </c>
      <c r="U473" s="4">
        <v>45564</v>
      </c>
      <c r="W473" t="b">
        <v>0</v>
      </c>
      <c r="Z473" t="s">
        <v>1398</v>
      </c>
      <c r="AA473" t="s">
        <v>1400</v>
      </c>
      <c r="AB473" t="s">
        <v>1395</v>
      </c>
    </row>
    <row r="474" spans="1:28" x14ac:dyDescent="0.3">
      <c r="A474" t="s">
        <v>721</v>
      </c>
      <c r="B474" s="6">
        <v>45370.586805555555</v>
      </c>
      <c r="C474" t="s">
        <v>394</v>
      </c>
      <c r="D474" t="s">
        <v>1148</v>
      </c>
      <c r="E474" t="s">
        <v>1262</v>
      </c>
      <c r="F474" t="s">
        <v>1143</v>
      </c>
      <c r="G474" t="s">
        <v>1167</v>
      </c>
      <c r="H474" t="s">
        <v>1168</v>
      </c>
      <c r="I474" t="s">
        <v>1169</v>
      </c>
      <c r="J474" t="s">
        <v>1170</v>
      </c>
      <c r="K474">
        <v>3</v>
      </c>
      <c r="L474">
        <v>26480</v>
      </c>
      <c r="M474">
        <v>0.15</v>
      </c>
      <c r="N474">
        <v>22508</v>
      </c>
      <c r="O474">
        <v>0.05</v>
      </c>
      <c r="P474">
        <v>67524</v>
      </c>
      <c r="Q474">
        <v>3376.2</v>
      </c>
      <c r="R474">
        <v>70900.2</v>
      </c>
      <c r="S474" t="s">
        <v>1360</v>
      </c>
      <c r="T474" t="s">
        <v>1361</v>
      </c>
      <c r="U474" s="4">
        <v>45370</v>
      </c>
      <c r="V474" s="4">
        <v>45373</v>
      </c>
      <c r="W474" t="b">
        <v>0</v>
      </c>
      <c r="Z474" t="s">
        <v>1398</v>
      </c>
      <c r="AA474" t="s">
        <v>1387</v>
      </c>
      <c r="AB474" t="s">
        <v>1383</v>
      </c>
    </row>
    <row r="475" spans="1:28" x14ac:dyDescent="0.3">
      <c r="A475" t="s">
        <v>725</v>
      </c>
      <c r="B475" s="6">
        <v>45679.5</v>
      </c>
      <c r="C475" t="s">
        <v>191</v>
      </c>
      <c r="D475" t="s">
        <v>1153</v>
      </c>
      <c r="E475" t="s">
        <v>1154</v>
      </c>
      <c r="F475" t="s">
        <v>1143</v>
      </c>
      <c r="G475" t="s">
        <v>1177</v>
      </c>
      <c r="H475" t="s">
        <v>1195</v>
      </c>
      <c r="I475" t="s">
        <v>1196</v>
      </c>
      <c r="J475" t="s">
        <v>1197</v>
      </c>
      <c r="K475">
        <v>1</v>
      </c>
      <c r="L475">
        <v>2612</v>
      </c>
      <c r="M475">
        <v>0</v>
      </c>
      <c r="N475">
        <v>2612</v>
      </c>
      <c r="O475">
        <v>0.12</v>
      </c>
      <c r="P475">
        <v>2612</v>
      </c>
      <c r="Q475">
        <v>313.44</v>
      </c>
      <c r="R475">
        <v>2925.44</v>
      </c>
      <c r="S475" t="s">
        <v>1366</v>
      </c>
      <c r="T475" t="s">
        <v>1361</v>
      </c>
      <c r="U475" s="4">
        <v>45681</v>
      </c>
      <c r="V475" s="4">
        <v>45683</v>
      </c>
      <c r="W475" t="b">
        <v>0</v>
      </c>
      <c r="Z475" t="s">
        <v>1384</v>
      </c>
      <c r="AA475" t="s">
        <v>1400</v>
      </c>
      <c r="AB475" t="s">
        <v>1393</v>
      </c>
    </row>
    <row r="476" spans="1:28" x14ac:dyDescent="0.3">
      <c r="A476" t="s">
        <v>726</v>
      </c>
      <c r="B476" s="6">
        <v>45303.388888888891</v>
      </c>
      <c r="C476" t="s">
        <v>727</v>
      </c>
      <c r="D476" t="s">
        <v>1153</v>
      </c>
      <c r="E476" t="s">
        <v>1154</v>
      </c>
      <c r="F476" t="s">
        <v>1143</v>
      </c>
      <c r="G476" t="s">
        <v>1177</v>
      </c>
      <c r="H476" t="s">
        <v>1178</v>
      </c>
      <c r="I476" t="s">
        <v>1220</v>
      </c>
      <c r="J476" t="s">
        <v>1221</v>
      </c>
      <c r="K476">
        <v>2</v>
      </c>
      <c r="L476">
        <v>506</v>
      </c>
      <c r="M476">
        <v>0.1</v>
      </c>
      <c r="N476">
        <v>455.4</v>
      </c>
      <c r="O476">
        <v>0.12</v>
      </c>
      <c r="P476">
        <v>910.80000000000007</v>
      </c>
      <c r="Q476">
        <v>109.29600000000001</v>
      </c>
      <c r="R476">
        <v>1020.096</v>
      </c>
      <c r="S476" t="s">
        <v>1362</v>
      </c>
      <c r="T476" t="s">
        <v>1361</v>
      </c>
      <c r="U476" s="4">
        <v>45305</v>
      </c>
      <c r="V476" s="4">
        <v>45309</v>
      </c>
      <c r="W476" t="b">
        <v>0</v>
      </c>
      <c r="Z476" t="s">
        <v>1388</v>
      </c>
      <c r="AA476" t="s">
        <v>1399</v>
      </c>
      <c r="AB476" t="s">
        <v>1393</v>
      </c>
    </row>
    <row r="477" spans="1:28" x14ac:dyDescent="0.3">
      <c r="A477" t="s">
        <v>728</v>
      </c>
      <c r="B477" s="6">
        <v>45346.646527777775</v>
      </c>
      <c r="C477" t="s">
        <v>407</v>
      </c>
      <c r="D477" t="s">
        <v>1157</v>
      </c>
      <c r="E477" t="s">
        <v>1158</v>
      </c>
      <c r="F477" t="s">
        <v>1143</v>
      </c>
      <c r="G477" t="s">
        <v>1177</v>
      </c>
      <c r="H477" t="s">
        <v>1236</v>
      </c>
      <c r="I477" t="s">
        <v>1254</v>
      </c>
      <c r="J477" t="s">
        <v>1255</v>
      </c>
      <c r="K477">
        <v>3</v>
      </c>
      <c r="L477">
        <v>1157</v>
      </c>
      <c r="M477">
        <v>0</v>
      </c>
      <c r="N477">
        <v>1157</v>
      </c>
      <c r="O477">
        <v>0.12</v>
      </c>
      <c r="P477">
        <v>3471</v>
      </c>
      <c r="Q477">
        <v>416.52</v>
      </c>
      <c r="R477">
        <v>3887.52</v>
      </c>
      <c r="S477" t="s">
        <v>1366</v>
      </c>
      <c r="T477" t="s">
        <v>1361</v>
      </c>
      <c r="U477" s="4">
        <v>45348</v>
      </c>
      <c r="V477" s="4">
        <v>45352</v>
      </c>
      <c r="W477" t="b">
        <v>0</v>
      </c>
      <c r="Z477" t="s">
        <v>1379</v>
      </c>
      <c r="AA477" t="s">
        <v>1385</v>
      </c>
      <c r="AB477" t="s">
        <v>1395</v>
      </c>
    </row>
    <row r="478" spans="1:28" x14ac:dyDescent="0.3">
      <c r="A478" t="s">
        <v>730</v>
      </c>
      <c r="B478" s="6">
        <v>45714.538194444445</v>
      </c>
      <c r="C478" t="s">
        <v>36</v>
      </c>
      <c r="D478" t="s">
        <v>1182</v>
      </c>
      <c r="E478" t="s">
        <v>1207</v>
      </c>
      <c r="F478" t="s">
        <v>1143</v>
      </c>
      <c r="G478" t="s">
        <v>1167</v>
      </c>
      <c r="H478" t="s">
        <v>1288</v>
      </c>
      <c r="I478" t="s">
        <v>1293</v>
      </c>
      <c r="J478" t="s">
        <v>1294</v>
      </c>
      <c r="K478">
        <v>3</v>
      </c>
      <c r="L478">
        <v>13804</v>
      </c>
      <c r="M478">
        <v>0</v>
      </c>
      <c r="N478">
        <v>13804</v>
      </c>
      <c r="O478">
        <v>0.12</v>
      </c>
      <c r="P478">
        <v>41412</v>
      </c>
      <c r="Q478">
        <v>4969.4399999999996</v>
      </c>
      <c r="R478">
        <v>46381.440000000002</v>
      </c>
      <c r="S478" t="s">
        <v>1363</v>
      </c>
      <c r="T478" t="s">
        <v>1361</v>
      </c>
      <c r="U478" s="4">
        <v>45716</v>
      </c>
      <c r="V478" s="4">
        <v>45718</v>
      </c>
      <c r="W478" t="b">
        <v>0</v>
      </c>
      <c r="Z478" t="s">
        <v>1388</v>
      </c>
      <c r="AA478" t="s">
        <v>1377</v>
      </c>
      <c r="AB478" t="s">
        <v>1389</v>
      </c>
    </row>
    <row r="479" spans="1:28" x14ac:dyDescent="0.3">
      <c r="A479" t="s">
        <v>732</v>
      </c>
      <c r="B479" s="6">
        <v>45589.580555555556</v>
      </c>
      <c r="C479" t="s">
        <v>141</v>
      </c>
      <c r="D479" t="s">
        <v>1141</v>
      </c>
      <c r="E479" t="s">
        <v>1227</v>
      </c>
      <c r="F479" t="s">
        <v>1143</v>
      </c>
      <c r="G479" t="s">
        <v>1167</v>
      </c>
      <c r="H479" t="s">
        <v>1208</v>
      </c>
      <c r="I479" t="s">
        <v>1322</v>
      </c>
      <c r="J479" t="s">
        <v>1323</v>
      </c>
      <c r="K479">
        <v>4</v>
      </c>
      <c r="L479">
        <v>20070</v>
      </c>
      <c r="M479">
        <v>0.05</v>
      </c>
      <c r="N479">
        <v>19066.5</v>
      </c>
      <c r="O479">
        <v>0.12</v>
      </c>
      <c r="P479">
        <v>76266</v>
      </c>
      <c r="Q479">
        <v>9151.92</v>
      </c>
      <c r="R479">
        <v>85417.919999999998</v>
      </c>
      <c r="S479" t="s">
        <v>1362</v>
      </c>
      <c r="T479" t="s">
        <v>1361</v>
      </c>
      <c r="U479" s="4">
        <v>45589</v>
      </c>
      <c r="V479" s="4">
        <v>45591</v>
      </c>
      <c r="W479" t="b">
        <v>0</v>
      </c>
      <c r="Z479" t="s">
        <v>1382</v>
      </c>
      <c r="AA479" t="s">
        <v>1399</v>
      </c>
      <c r="AB479" t="s">
        <v>1378</v>
      </c>
    </row>
    <row r="480" spans="1:28" x14ac:dyDescent="0.3">
      <c r="A480" t="s">
        <v>733</v>
      </c>
      <c r="B480" s="6">
        <v>45625.504166666666</v>
      </c>
      <c r="C480" t="s">
        <v>63</v>
      </c>
      <c r="D480" t="s">
        <v>1141</v>
      </c>
      <c r="E480" t="s">
        <v>1239</v>
      </c>
      <c r="F480" t="s">
        <v>1143</v>
      </c>
      <c r="G480" t="s">
        <v>1167</v>
      </c>
      <c r="H480" t="s">
        <v>1168</v>
      </c>
      <c r="I480" t="s">
        <v>1312</v>
      </c>
      <c r="J480" t="s">
        <v>1313</v>
      </c>
      <c r="K480">
        <v>1</v>
      </c>
      <c r="L480">
        <v>48736</v>
      </c>
      <c r="M480">
        <v>0</v>
      </c>
      <c r="N480">
        <v>48736</v>
      </c>
      <c r="O480">
        <v>0.05</v>
      </c>
      <c r="P480">
        <v>48736</v>
      </c>
      <c r="Q480">
        <v>2436.8000000000002</v>
      </c>
      <c r="R480">
        <v>51172.800000000003</v>
      </c>
      <c r="S480" t="s">
        <v>1362</v>
      </c>
      <c r="T480" t="s">
        <v>1368</v>
      </c>
      <c r="U480" s="4">
        <v>45626</v>
      </c>
      <c r="W480" t="b">
        <v>0</v>
      </c>
      <c r="Z480" t="s">
        <v>1382</v>
      </c>
      <c r="AA480" t="s">
        <v>1394</v>
      </c>
      <c r="AB480" t="s">
        <v>1391</v>
      </c>
    </row>
    <row r="481" spans="1:28" x14ac:dyDescent="0.3">
      <c r="A481" t="s">
        <v>734</v>
      </c>
      <c r="B481" s="6">
        <v>45619.595138888886</v>
      </c>
      <c r="C481" t="s">
        <v>24</v>
      </c>
      <c r="D481" t="s">
        <v>1153</v>
      </c>
      <c r="E481" t="s">
        <v>1154</v>
      </c>
      <c r="F481" t="s">
        <v>1143</v>
      </c>
      <c r="G481" t="s">
        <v>1177</v>
      </c>
      <c r="H481" t="s">
        <v>1192</v>
      </c>
      <c r="I481" t="s">
        <v>1193</v>
      </c>
      <c r="J481" t="s">
        <v>1194</v>
      </c>
      <c r="K481">
        <v>1</v>
      </c>
      <c r="L481">
        <v>2266</v>
      </c>
      <c r="M481">
        <v>0.15</v>
      </c>
      <c r="N481">
        <v>1926.1</v>
      </c>
      <c r="O481">
        <v>0.12</v>
      </c>
      <c r="P481">
        <v>1926.1</v>
      </c>
      <c r="Q481">
        <v>231.13200000000001</v>
      </c>
      <c r="R481">
        <v>2157.232</v>
      </c>
      <c r="S481" t="s">
        <v>1366</v>
      </c>
      <c r="T481" t="s">
        <v>1361</v>
      </c>
      <c r="U481" s="4">
        <v>45620</v>
      </c>
      <c r="V481" s="4">
        <v>45622</v>
      </c>
      <c r="W481" t="b">
        <v>0</v>
      </c>
      <c r="Z481" t="s">
        <v>1390</v>
      </c>
      <c r="AA481" t="s">
        <v>1385</v>
      </c>
      <c r="AB481" t="s">
        <v>1395</v>
      </c>
    </row>
    <row r="482" spans="1:28" x14ac:dyDescent="0.3">
      <c r="A482" t="s">
        <v>735</v>
      </c>
      <c r="B482" s="6">
        <v>45722.589583333334</v>
      </c>
      <c r="C482" t="s">
        <v>69</v>
      </c>
      <c r="D482" t="s">
        <v>1153</v>
      </c>
      <c r="E482" t="s">
        <v>1191</v>
      </c>
      <c r="F482" t="s">
        <v>1143</v>
      </c>
      <c r="G482" t="s">
        <v>1163</v>
      </c>
      <c r="H482" t="s">
        <v>1184</v>
      </c>
      <c r="I482" t="s">
        <v>1185</v>
      </c>
      <c r="J482" t="s">
        <v>1186</v>
      </c>
      <c r="K482">
        <v>3</v>
      </c>
      <c r="L482">
        <v>912</v>
      </c>
      <c r="M482">
        <v>0.05</v>
      </c>
      <c r="N482">
        <v>866.4</v>
      </c>
      <c r="O482">
        <v>0.12</v>
      </c>
      <c r="P482">
        <v>2599.1999999999998</v>
      </c>
      <c r="Q482">
        <v>311.90399999999988</v>
      </c>
      <c r="R482">
        <v>2911.1039999999998</v>
      </c>
      <c r="S482" t="s">
        <v>1363</v>
      </c>
      <c r="T482" t="s">
        <v>1367</v>
      </c>
      <c r="U482" s="4">
        <v>45722</v>
      </c>
      <c r="W482" t="b">
        <v>0</v>
      </c>
      <c r="Z482" t="s">
        <v>1388</v>
      </c>
      <c r="AA482" t="s">
        <v>1400</v>
      </c>
      <c r="AB482" t="s">
        <v>1391</v>
      </c>
    </row>
    <row r="483" spans="1:28" x14ac:dyDescent="0.3">
      <c r="A483" t="s">
        <v>738</v>
      </c>
      <c r="B483" s="6">
        <v>45478.507638888892</v>
      </c>
      <c r="C483" t="s">
        <v>669</v>
      </c>
      <c r="D483" t="s">
        <v>1157</v>
      </c>
      <c r="E483" t="s">
        <v>1181</v>
      </c>
      <c r="F483" t="s">
        <v>1143</v>
      </c>
      <c r="G483" t="s">
        <v>1167</v>
      </c>
      <c r="H483" t="s">
        <v>1263</v>
      </c>
      <c r="I483" t="s">
        <v>1264</v>
      </c>
      <c r="J483" t="s">
        <v>1265</v>
      </c>
      <c r="K483">
        <v>3</v>
      </c>
      <c r="L483">
        <v>10251</v>
      </c>
      <c r="M483">
        <v>0</v>
      </c>
      <c r="N483">
        <v>10251</v>
      </c>
      <c r="O483">
        <v>0.12</v>
      </c>
      <c r="P483">
        <v>30753</v>
      </c>
      <c r="Q483">
        <v>3690.36</v>
      </c>
      <c r="R483">
        <v>34443.360000000001</v>
      </c>
      <c r="S483" t="s">
        <v>1363</v>
      </c>
      <c r="T483" t="s">
        <v>1361</v>
      </c>
      <c r="U483" s="4">
        <v>45479</v>
      </c>
      <c r="V483" s="4">
        <v>45483</v>
      </c>
      <c r="W483" t="b">
        <v>0</v>
      </c>
      <c r="Z483" t="s">
        <v>1396</v>
      </c>
      <c r="AA483" t="s">
        <v>1399</v>
      </c>
      <c r="AB483" t="s">
        <v>1378</v>
      </c>
    </row>
    <row r="484" spans="1:28" x14ac:dyDescent="0.3">
      <c r="A484" t="s">
        <v>739</v>
      </c>
      <c r="B484" s="6">
        <v>45627.727083333331</v>
      </c>
      <c r="C484" t="s">
        <v>610</v>
      </c>
      <c r="D484" t="s">
        <v>1157</v>
      </c>
      <c r="E484" t="s">
        <v>1181</v>
      </c>
      <c r="F484" t="s">
        <v>1143</v>
      </c>
      <c r="G484" t="s">
        <v>1144</v>
      </c>
      <c r="H484" t="s">
        <v>1159</v>
      </c>
      <c r="I484" t="s">
        <v>1334</v>
      </c>
      <c r="J484" t="s">
        <v>1335</v>
      </c>
      <c r="K484">
        <v>4</v>
      </c>
      <c r="L484">
        <v>11023</v>
      </c>
      <c r="M484">
        <v>0.05</v>
      </c>
      <c r="N484">
        <v>10471.85</v>
      </c>
      <c r="O484">
        <v>0.18</v>
      </c>
      <c r="P484">
        <v>41887.4</v>
      </c>
      <c r="Q484">
        <v>7539.732</v>
      </c>
      <c r="R484">
        <v>49427.131999999998</v>
      </c>
      <c r="S484" t="s">
        <v>1363</v>
      </c>
      <c r="T484" t="s">
        <v>1361</v>
      </c>
      <c r="U484" s="4">
        <v>45629</v>
      </c>
      <c r="V484" s="4">
        <v>45631</v>
      </c>
      <c r="W484" t="b">
        <v>0</v>
      </c>
      <c r="Z484" t="s">
        <v>1398</v>
      </c>
      <c r="AA484" t="s">
        <v>1397</v>
      </c>
      <c r="AB484" t="s">
        <v>1391</v>
      </c>
    </row>
    <row r="485" spans="1:28" x14ac:dyDescent="0.3">
      <c r="A485" t="s">
        <v>740</v>
      </c>
      <c r="B485" s="6">
        <v>45747.486805555556</v>
      </c>
      <c r="C485" t="s">
        <v>158</v>
      </c>
      <c r="D485" t="s">
        <v>1182</v>
      </c>
      <c r="E485" t="s">
        <v>1257</v>
      </c>
      <c r="F485" t="s">
        <v>1143</v>
      </c>
      <c r="G485" t="s">
        <v>1144</v>
      </c>
      <c r="H485" t="s">
        <v>1276</v>
      </c>
      <c r="I485" t="s">
        <v>1277</v>
      </c>
      <c r="J485" t="s">
        <v>1278</v>
      </c>
      <c r="K485">
        <v>2</v>
      </c>
      <c r="L485">
        <v>6057</v>
      </c>
      <c r="M485">
        <v>0</v>
      </c>
      <c r="N485">
        <v>6057</v>
      </c>
      <c r="O485">
        <v>0.12</v>
      </c>
      <c r="P485">
        <v>12114</v>
      </c>
      <c r="Q485">
        <v>1453.68</v>
      </c>
      <c r="R485">
        <v>13567.68</v>
      </c>
      <c r="S485" t="s">
        <v>1363</v>
      </c>
      <c r="T485" t="s">
        <v>1361</v>
      </c>
      <c r="U485" s="4">
        <v>45747</v>
      </c>
      <c r="V485" s="4">
        <v>45748</v>
      </c>
      <c r="W485" t="b">
        <v>0</v>
      </c>
      <c r="Z485" t="s">
        <v>1376</v>
      </c>
      <c r="AA485" t="s">
        <v>1400</v>
      </c>
      <c r="AB485" t="s">
        <v>1380</v>
      </c>
    </row>
    <row r="486" spans="1:28" x14ac:dyDescent="0.3">
      <c r="A486" t="s">
        <v>741</v>
      </c>
      <c r="B486" s="6">
        <v>45489.665972222225</v>
      </c>
      <c r="C486" t="s">
        <v>354</v>
      </c>
      <c r="D486" t="s">
        <v>1148</v>
      </c>
      <c r="E486" t="s">
        <v>1217</v>
      </c>
      <c r="F486" t="s">
        <v>1143</v>
      </c>
      <c r="G486" t="s">
        <v>1144</v>
      </c>
      <c r="H486" t="s">
        <v>1276</v>
      </c>
      <c r="I486" t="s">
        <v>1277</v>
      </c>
      <c r="J486" t="s">
        <v>1278</v>
      </c>
      <c r="K486">
        <v>1</v>
      </c>
      <c r="L486">
        <v>14339</v>
      </c>
      <c r="M486">
        <v>0.05</v>
      </c>
      <c r="N486">
        <v>13622.05</v>
      </c>
      <c r="O486">
        <v>0.18</v>
      </c>
      <c r="P486">
        <v>13622.05</v>
      </c>
      <c r="Q486">
        <v>2451.9690000000001</v>
      </c>
      <c r="R486">
        <v>16074.019</v>
      </c>
      <c r="S486" t="s">
        <v>1365</v>
      </c>
      <c r="T486" t="s">
        <v>1361</v>
      </c>
      <c r="U486" s="4">
        <v>45489</v>
      </c>
      <c r="V486" s="4">
        <v>45493</v>
      </c>
      <c r="W486" t="b">
        <v>0</v>
      </c>
      <c r="Z486" t="s">
        <v>1390</v>
      </c>
      <c r="AA486" t="s">
        <v>1385</v>
      </c>
      <c r="AB486" t="s">
        <v>1383</v>
      </c>
    </row>
    <row r="487" spans="1:28" x14ac:dyDescent="0.3">
      <c r="A487" t="s">
        <v>744</v>
      </c>
      <c r="B487" s="6">
        <v>45301.634027777778</v>
      </c>
      <c r="C487" t="s">
        <v>117</v>
      </c>
      <c r="D487" t="s">
        <v>1141</v>
      </c>
      <c r="E487" t="s">
        <v>1285</v>
      </c>
      <c r="F487" t="s">
        <v>1143</v>
      </c>
      <c r="G487" t="s">
        <v>1172</v>
      </c>
      <c r="H487" t="s">
        <v>1198</v>
      </c>
      <c r="I487" t="s">
        <v>1199</v>
      </c>
      <c r="J487" t="s">
        <v>1200</v>
      </c>
      <c r="K487">
        <v>2</v>
      </c>
      <c r="L487">
        <v>2258</v>
      </c>
      <c r="M487">
        <v>0.15</v>
      </c>
      <c r="N487">
        <v>1919.3</v>
      </c>
      <c r="O487">
        <v>0.12</v>
      </c>
      <c r="P487">
        <v>3838.6</v>
      </c>
      <c r="Q487">
        <v>460.63199999999989</v>
      </c>
      <c r="R487">
        <v>4299.232</v>
      </c>
      <c r="S487" t="s">
        <v>1362</v>
      </c>
      <c r="T487" t="s">
        <v>1361</v>
      </c>
      <c r="U487" s="4">
        <v>45302</v>
      </c>
      <c r="V487" s="4">
        <v>45305</v>
      </c>
      <c r="W487" t="b">
        <v>0</v>
      </c>
      <c r="Z487" t="s">
        <v>1384</v>
      </c>
      <c r="AA487" t="s">
        <v>1387</v>
      </c>
      <c r="AB487" t="s">
        <v>1378</v>
      </c>
    </row>
    <row r="488" spans="1:28" x14ac:dyDescent="0.3">
      <c r="A488" t="s">
        <v>745</v>
      </c>
      <c r="B488" s="6">
        <v>45642.495138888888</v>
      </c>
      <c r="C488" t="s">
        <v>269</v>
      </c>
      <c r="D488" t="s">
        <v>1141</v>
      </c>
      <c r="E488" t="s">
        <v>1239</v>
      </c>
      <c r="F488" t="s">
        <v>1143</v>
      </c>
      <c r="G488" t="s">
        <v>1144</v>
      </c>
      <c r="H488" t="s">
        <v>1159</v>
      </c>
      <c r="I488" t="s">
        <v>1272</v>
      </c>
      <c r="J488" t="s">
        <v>1273</v>
      </c>
      <c r="K488">
        <v>2</v>
      </c>
      <c r="L488">
        <v>12744</v>
      </c>
      <c r="M488">
        <v>0.1</v>
      </c>
      <c r="N488">
        <v>11469.6</v>
      </c>
      <c r="O488">
        <v>0.12</v>
      </c>
      <c r="P488">
        <v>22939.200000000001</v>
      </c>
      <c r="Q488">
        <v>2752.7040000000002</v>
      </c>
      <c r="R488">
        <v>25691.903999999999</v>
      </c>
      <c r="S488" t="s">
        <v>1360</v>
      </c>
      <c r="T488" t="s">
        <v>1368</v>
      </c>
      <c r="U488" s="4">
        <v>45643</v>
      </c>
      <c r="W488" t="b">
        <v>0</v>
      </c>
      <c r="Z488" t="s">
        <v>1392</v>
      </c>
      <c r="AA488" t="s">
        <v>1400</v>
      </c>
      <c r="AB488" t="s">
        <v>1378</v>
      </c>
    </row>
    <row r="489" spans="1:28" x14ac:dyDescent="0.3">
      <c r="A489" t="s">
        <v>746</v>
      </c>
      <c r="B489" s="6">
        <v>45343.433333333334</v>
      </c>
      <c r="C489" t="s">
        <v>130</v>
      </c>
      <c r="D489" t="s">
        <v>1153</v>
      </c>
      <c r="E489" t="s">
        <v>1176</v>
      </c>
      <c r="F489" t="s">
        <v>1143</v>
      </c>
      <c r="G489" t="s">
        <v>1172</v>
      </c>
      <c r="H489" t="s">
        <v>1229</v>
      </c>
      <c r="I489" t="s">
        <v>1295</v>
      </c>
      <c r="J489" t="s">
        <v>1296</v>
      </c>
      <c r="K489">
        <v>2</v>
      </c>
      <c r="L489">
        <v>7478</v>
      </c>
      <c r="M489">
        <v>0.15</v>
      </c>
      <c r="N489">
        <v>6356.3</v>
      </c>
      <c r="O489">
        <v>0.18</v>
      </c>
      <c r="P489">
        <v>12712.6</v>
      </c>
      <c r="Q489">
        <v>2288.268</v>
      </c>
      <c r="R489">
        <v>15000.868</v>
      </c>
      <c r="S489" t="s">
        <v>1362</v>
      </c>
      <c r="T489" t="s">
        <v>1361</v>
      </c>
      <c r="U489" s="4">
        <v>45345</v>
      </c>
      <c r="V489" s="4">
        <v>45346</v>
      </c>
      <c r="W489" t="b">
        <v>0</v>
      </c>
      <c r="Z489" t="s">
        <v>1396</v>
      </c>
      <c r="AA489" t="s">
        <v>1387</v>
      </c>
      <c r="AB489" t="s">
        <v>1395</v>
      </c>
    </row>
    <row r="490" spans="1:28" x14ac:dyDescent="0.3">
      <c r="A490" t="s">
        <v>751</v>
      </c>
      <c r="B490" s="6">
        <v>45704.574999999997</v>
      </c>
      <c r="C490" t="s">
        <v>510</v>
      </c>
      <c r="D490" t="s">
        <v>1153</v>
      </c>
      <c r="E490" t="s">
        <v>1191</v>
      </c>
      <c r="F490" t="s">
        <v>1143</v>
      </c>
      <c r="G490" t="s">
        <v>1167</v>
      </c>
      <c r="H490" t="s">
        <v>1263</v>
      </c>
      <c r="I490" t="s">
        <v>1274</v>
      </c>
      <c r="J490" t="s">
        <v>1275</v>
      </c>
      <c r="K490">
        <v>1</v>
      </c>
      <c r="L490">
        <v>24039</v>
      </c>
      <c r="M490">
        <v>0.1</v>
      </c>
      <c r="N490">
        <v>21635.1</v>
      </c>
      <c r="O490">
        <v>0.05</v>
      </c>
      <c r="P490">
        <v>21635.1</v>
      </c>
      <c r="Q490">
        <v>1081.7550000000001</v>
      </c>
      <c r="R490">
        <v>22716.855</v>
      </c>
      <c r="S490" t="s">
        <v>1363</v>
      </c>
      <c r="T490" t="s">
        <v>1361</v>
      </c>
      <c r="U490" s="4">
        <v>45705</v>
      </c>
      <c r="V490" s="4">
        <v>45707</v>
      </c>
      <c r="W490" t="b">
        <v>0</v>
      </c>
      <c r="Z490" t="s">
        <v>1388</v>
      </c>
      <c r="AA490" t="s">
        <v>1397</v>
      </c>
      <c r="AB490" t="s">
        <v>1380</v>
      </c>
    </row>
    <row r="491" spans="1:28" x14ac:dyDescent="0.3">
      <c r="A491" t="s">
        <v>753</v>
      </c>
      <c r="B491" s="6">
        <v>45614.477083333331</v>
      </c>
      <c r="C491" t="s">
        <v>267</v>
      </c>
      <c r="D491" t="s">
        <v>1148</v>
      </c>
      <c r="E491" t="s">
        <v>1217</v>
      </c>
      <c r="F491" t="s">
        <v>1143</v>
      </c>
      <c r="G491" t="s">
        <v>1167</v>
      </c>
      <c r="H491" t="s">
        <v>1263</v>
      </c>
      <c r="I491" t="s">
        <v>1346</v>
      </c>
      <c r="J491" t="s">
        <v>1347</v>
      </c>
      <c r="K491">
        <v>5</v>
      </c>
      <c r="L491">
        <v>19282</v>
      </c>
      <c r="M491">
        <v>0.05</v>
      </c>
      <c r="N491">
        <v>18317.900000000001</v>
      </c>
      <c r="O491">
        <v>0.05</v>
      </c>
      <c r="P491">
        <v>91589.499999999985</v>
      </c>
      <c r="Q491">
        <v>4579.4749999999995</v>
      </c>
      <c r="R491">
        <v>96168.974999999991</v>
      </c>
      <c r="S491" t="s">
        <v>1363</v>
      </c>
      <c r="T491" t="s">
        <v>1361</v>
      </c>
      <c r="U491" s="4">
        <v>45614</v>
      </c>
      <c r="V491" s="4">
        <v>45617</v>
      </c>
      <c r="W491" t="b">
        <v>0</v>
      </c>
      <c r="Z491" t="s">
        <v>1390</v>
      </c>
      <c r="AA491" t="s">
        <v>1397</v>
      </c>
      <c r="AB491" t="s">
        <v>1395</v>
      </c>
    </row>
    <row r="492" spans="1:28" x14ac:dyDescent="0.3">
      <c r="A492" t="s">
        <v>754</v>
      </c>
      <c r="B492" s="6">
        <v>45753.538194444445</v>
      </c>
      <c r="C492" t="s">
        <v>63</v>
      </c>
      <c r="D492" t="s">
        <v>1141</v>
      </c>
      <c r="E492" t="s">
        <v>1239</v>
      </c>
      <c r="F492" t="s">
        <v>1143</v>
      </c>
      <c r="G492" t="s">
        <v>1177</v>
      </c>
      <c r="H492" t="s">
        <v>1195</v>
      </c>
      <c r="I492" t="s">
        <v>1202</v>
      </c>
      <c r="J492" t="s">
        <v>1203</v>
      </c>
      <c r="K492">
        <v>3</v>
      </c>
      <c r="L492">
        <v>1428</v>
      </c>
      <c r="M492">
        <v>0.15</v>
      </c>
      <c r="N492">
        <v>1213.8</v>
      </c>
      <c r="O492">
        <v>0.12</v>
      </c>
      <c r="P492">
        <v>3641.4</v>
      </c>
      <c r="Q492">
        <v>436.96800000000002</v>
      </c>
      <c r="R492">
        <v>4078.367999999999</v>
      </c>
      <c r="S492" t="s">
        <v>1363</v>
      </c>
      <c r="T492" t="s">
        <v>1361</v>
      </c>
      <c r="U492" s="4">
        <v>45755</v>
      </c>
      <c r="V492" s="4">
        <v>45757</v>
      </c>
      <c r="W492" t="b">
        <v>0</v>
      </c>
      <c r="Z492" t="s">
        <v>1386</v>
      </c>
      <c r="AA492" t="s">
        <v>1387</v>
      </c>
      <c r="AB492" t="s">
        <v>1391</v>
      </c>
    </row>
    <row r="493" spans="1:28" x14ac:dyDescent="0.3">
      <c r="A493" t="s">
        <v>756</v>
      </c>
      <c r="B493" s="6">
        <v>45730.618055555555</v>
      </c>
      <c r="C493" t="s">
        <v>171</v>
      </c>
      <c r="D493" t="s">
        <v>1182</v>
      </c>
      <c r="E493" t="s">
        <v>1207</v>
      </c>
      <c r="F493" t="s">
        <v>1143</v>
      </c>
      <c r="G493" t="s">
        <v>1172</v>
      </c>
      <c r="H493" t="s">
        <v>1229</v>
      </c>
      <c r="I493" t="s">
        <v>1230</v>
      </c>
      <c r="J493" t="s">
        <v>1231</v>
      </c>
      <c r="K493">
        <v>1</v>
      </c>
      <c r="L493">
        <v>6126</v>
      </c>
      <c r="M493">
        <v>0</v>
      </c>
      <c r="N493">
        <v>6126</v>
      </c>
      <c r="O493">
        <v>0.12</v>
      </c>
      <c r="P493">
        <v>6126</v>
      </c>
      <c r="Q493">
        <v>735.12</v>
      </c>
      <c r="R493">
        <v>6861.12</v>
      </c>
      <c r="S493" t="s">
        <v>1360</v>
      </c>
      <c r="T493" t="s">
        <v>1361</v>
      </c>
      <c r="U493" s="4">
        <v>45730</v>
      </c>
      <c r="V493" s="4">
        <v>45734</v>
      </c>
      <c r="W493" t="b">
        <v>0</v>
      </c>
      <c r="Z493" t="s">
        <v>1382</v>
      </c>
      <c r="AA493" t="s">
        <v>1397</v>
      </c>
      <c r="AB493" t="s">
        <v>1393</v>
      </c>
    </row>
    <row r="494" spans="1:28" x14ac:dyDescent="0.3">
      <c r="A494" t="s">
        <v>757</v>
      </c>
      <c r="B494" s="6">
        <v>45344.504861111112</v>
      </c>
      <c r="C494" t="s">
        <v>683</v>
      </c>
      <c r="D494" t="s">
        <v>1182</v>
      </c>
      <c r="E494" t="s">
        <v>1257</v>
      </c>
      <c r="F494" t="s">
        <v>1143</v>
      </c>
      <c r="G494" t="s">
        <v>1163</v>
      </c>
      <c r="H494" t="s">
        <v>1240</v>
      </c>
      <c r="I494" t="s">
        <v>1241</v>
      </c>
      <c r="J494" t="s">
        <v>1242</v>
      </c>
      <c r="K494">
        <v>5</v>
      </c>
      <c r="L494">
        <v>1105</v>
      </c>
      <c r="M494">
        <v>0.05</v>
      </c>
      <c r="N494">
        <v>1049.75</v>
      </c>
      <c r="O494">
        <v>0.12</v>
      </c>
      <c r="P494">
        <v>5248.75</v>
      </c>
      <c r="Q494">
        <v>629.85</v>
      </c>
      <c r="R494">
        <v>5878.6</v>
      </c>
      <c r="S494" t="s">
        <v>1360</v>
      </c>
      <c r="T494" t="s">
        <v>1368</v>
      </c>
      <c r="U494" s="4">
        <v>45344</v>
      </c>
      <c r="W494" t="b">
        <v>0</v>
      </c>
      <c r="Z494" t="s">
        <v>1392</v>
      </c>
      <c r="AA494" t="s">
        <v>1394</v>
      </c>
      <c r="AB494" t="s">
        <v>1383</v>
      </c>
    </row>
    <row r="495" spans="1:28" x14ac:dyDescent="0.3">
      <c r="A495" t="s">
        <v>761</v>
      </c>
      <c r="B495" s="6">
        <v>45379.507638888892</v>
      </c>
      <c r="C495" t="s">
        <v>93</v>
      </c>
      <c r="D495" t="s">
        <v>1157</v>
      </c>
      <c r="E495" t="s">
        <v>1201</v>
      </c>
      <c r="F495" t="s">
        <v>1143</v>
      </c>
      <c r="G495" t="s">
        <v>1167</v>
      </c>
      <c r="H495" t="s">
        <v>1288</v>
      </c>
      <c r="I495" t="s">
        <v>1293</v>
      </c>
      <c r="J495" t="s">
        <v>1294</v>
      </c>
      <c r="K495">
        <v>1</v>
      </c>
      <c r="L495">
        <v>50115</v>
      </c>
      <c r="M495">
        <v>0</v>
      </c>
      <c r="N495">
        <v>50115</v>
      </c>
      <c r="O495">
        <v>0.12</v>
      </c>
      <c r="P495">
        <v>50115</v>
      </c>
      <c r="Q495">
        <v>6013.8</v>
      </c>
      <c r="R495">
        <v>56128.800000000003</v>
      </c>
      <c r="S495" t="s">
        <v>1365</v>
      </c>
      <c r="T495" t="s">
        <v>1361</v>
      </c>
      <c r="U495" s="4">
        <v>45380</v>
      </c>
      <c r="V495" s="4">
        <v>45385</v>
      </c>
      <c r="W495" t="b">
        <v>0</v>
      </c>
      <c r="Z495" t="s">
        <v>1386</v>
      </c>
      <c r="AA495" t="s">
        <v>1394</v>
      </c>
      <c r="AB495" t="s">
        <v>1395</v>
      </c>
    </row>
    <row r="496" spans="1:28" x14ac:dyDescent="0.3">
      <c r="A496" t="s">
        <v>765</v>
      </c>
      <c r="B496" s="6">
        <v>45506.452777777777</v>
      </c>
      <c r="C496" t="s">
        <v>283</v>
      </c>
      <c r="D496" t="s">
        <v>1148</v>
      </c>
      <c r="E496" t="s">
        <v>1262</v>
      </c>
      <c r="F496" t="s">
        <v>1143</v>
      </c>
      <c r="G496" t="s">
        <v>1172</v>
      </c>
      <c r="H496" t="s">
        <v>1229</v>
      </c>
      <c r="I496" t="s">
        <v>1340</v>
      </c>
      <c r="J496" t="s">
        <v>1341</v>
      </c>
      <c r="K496">
        <v>3</v>
      </c>
      <c r="L496">
        <v>9783</v>
      </c>
      <c r="M496">
        <v>0.1</v>
      </c>
      <c r="N496">
        <v>8804.7000000000007</v>
      </c>
      <c r="O496">
        <v>0.05</v>
      </c>
      <c r="P496">
        <v>26414.1</v>
      </c>
      <c r="Q496">
        <v>1320.7049999999999</v>
      </c>
      <c r="R496">
        <v>27734.805</v>
      </c>
      <c r="S496" t="s">
        <v>1362</v>
      </c>
      <c r="T496" t="s">
        <v>1361</v>
      </c>
      <c r="U496" s="4">
        <v>45508</v>
      </c>
      <c r="V496" s="4">
        <v>45509</v>
      </c>
      <c r="W496" t="b">
        <v>0</v>
      </c>
      <c r="Z496" t="s">
        <v>1386</v>
      </c>
      <c r="AA496" t="s">
        <v>1387</v>
      </c>
      <c r="AB496" t="s">
        <v>1380</v>
      </c>
    </row>
    <row r="497" spans="1:28" x14ac:dyDescent="0.3">
      <c r="A497" t="s">
        <v>766</v>
      </c>
      <c r="B497" s="6">
        <v>45508.729861111111</v>
      </c>
      <c r="C497" t="s">
        <v>378</v>
      </c>
      <c r="D497" t="s">
        <v>1157</v>
      </c>
      <c r="E497" t="s">
        <v>1158</v>
      </c>
      <c r="F497" t="s">
        <v>1143</v>
      </c>
      <c r="G497" t="s">
        <v>1167</v>
      </c>
      <c r="H497" t="s">
        <v>1168</v>
      </c>
      <c r="I497" t="s">
        <v>1312</v>
      </c>
      <c r="J497" t="s">
        <v>1313</v>
      </c>
      <c r="K497">
        <v>2</v>
      </c>
      <c r="L497">
        <v>13544</v>
      </c>
      <c r="M497">
        <v>0.1</v>
      </c>
      <c r="N497">
        <v>12189.6</v>
      </c>
      <c r="O497">
        <v>0.18</v>
      </c>
      <c r="P497">
        <v>24379.200000000001</v>
      </c>
      <c r="Q497">
        <v>4388.2560000000003</v>
      </c>
      <c r="R497">
        <v>28767.455999999998</v>
      </c>
      <c r="S497" t="s">
        <v>1366</v>
      </c>
      <c r="T497" t="s">
        <v>1361</v>
      </c>
      <c r="U497" s="4">
        <v>45510</v>
      </c>
      <c r="V497" s="4">
        <v>45512</v>
      </c>
      <c r="W497" t="b">
        <v>0</v>
      </c>
      <c r="Z497" t="s">
        <v>1390</v>
      </c>
      <c r="AA497" t="s">
        <v>1385</v>
      </c>
      <c r="AB497" t="s">
        <v>1395</v>
      </c>
    </row>
    <row r="498" spans="1:28" x14ac:dyDescent="0.3">
      <c r="A498" t="s">
        <v>769</v>
      </c>
      <c r="B498" s="6">
        <v>45523.584027777775</v>
      </c>
      <c r="C498" t="s">
        <v>148</v>
      </c>
      <c r="D498" t="s">
        <v>1153</v>
      </c>
      <c r="E498" t="s">
        <v>1162</v>
      </c>
      <c r="F498" t="s">
        <v>1143</v>
      </c>
      <c r="G498" t="s">
        <v>1167</v>
      </c>
      <c r="H498" t="s">
        <v>1208</v>
      </c>
      <c r="I498" t="s">
        <v>1291</v>
      </c>
      <c r="J498" t="s">
        <v>1292</v>
      </c>
      <c r="K498">
        <v>1</v>
      </c>
      <c r="L498">
        <v>27611</v>
      </c>
      <c r="M498">
        <v>0.05</v>
      </c>
      <c r="N498">
        <v>26230.45</v>
      </c>
      <c r="O498">
        <v>0.05</v>
      </c>
      <c r="P498">
        <v>26230.45</v>
      </c>
      <c r="Q498">
        <v>1311.5225</v>
      </c>
      <c r="R498">
        <v>27541.9725</v>
      </c>
      <c r="S498" t="s">
        <v>1360</v>
      </c>
      <c r="T498" t="s">
        <v>1361</v>
      </c>
      <c r="U498" s="4">
        <v>45523</v>
      </c>
      <c r="V498" s="4">
        <v>45527</v>
      </c>
      <c r="W498" t="b">
        <v>0</v>
      </c>
      <c r="Z498" t="s">
        <v>1392</v>
      </c>
      <c r="AA498" t="s">
        <v>1399</v>
      </c>
      <c r="AB498" t="s">
        <v>1393</v>
      </c>
    </row>
    <row r="499" spans="1:28" x14ac:dyDescent="0.3">
      <c r="A499" t="s">
        <v>770</v>
      </c>
      <c r="B499" s="6">
        <v>45515.48541666667</v>
      </c>
      <c r="C499" t="s">
        <v>30</v>
      </c>
      <c r="D499" t="s">
        <v>1153</v>
      </c>
      <c r="E499" t="s">
        <v>1162</v>
      </c>
      <c r="F499" t="s">
        <v>1143</v>
      </c>
      <c r="G499" t="s">
        <v>1177</v>
      </c>
      <c r="H499" t="s">
        <v>1309</v>
      </c>
      <c r="I499" t="s">
        <v>1332</v>
      </c>
      <c r="J499" t="s">
        <v>1333</v>
      </c>
      <c r="K499">
        <v>3</v>
      </c>
      <c r="L499">
        <v>2873</v>
      </c>
      <c r="M499">
        <v>0</v>
      </c>
      <c r="N499">
        <v>2873</v>
      </c>
      <c r="O499">
        <v>0.05</v>
      </c>
      <c r="P499">
        <v>8619</v>
      </c>
      <c r="Q499">
        <v>430.95</v>
      </c>
      <c r="R499">
        <v>9049.9500000000007</v>
      </c>
      <c r="S499" t="s">
        <v>1366</v>
      </c>
      <c r="T499" t="s">
        <v>1364</v>
      </c>
      <c r="U499" s="4">
        <v>45516</v>
      </c>
      <c r="W499" t="b">
        <v>1</v>
      </c>
      <c r="X499" s="4">
        <v>45524</v>
      </c>
      <c r="Y499" s="4">
        <v>45524</v>
      </c>
      <c r="Z499" t="s">
        <v>1379</v>
      </c>
      <c r="AA499" t="s">
        <v>1385</v>
      </c>
      <c r="AB499" t="s">
        <v>1383</v>
      </c>
    </row>
    <row r="500" spans="1:28" x14ac:dyDescent="0.3">
      <c r="A500" t="s">
        <v>771</v>
      </c>
      <c r="B500" s="6">
        <v>45508.460416666669</v>
      </c>
      <c r="C500" t="s">
        <v>6</v>
      </c>
      <c r="D500" t="s">
        <v>1148</v>
      </c>
      <c r="E500" t="s">
        <v>1149</v>
      </c>
      <c r="F500" t="s">
        <v>1143</v>
      </c>
      <c r="G500" t="s">
        <v>1177</v>
      </c>
      <c r="H500" t="s">
        <v>1178</v>
      </c>
      <c r="I500" t="s">
        <v>1179</v>
      </c>
      <c r="J500" t="s">
        <v>1180</v>
      </c>
      <c r="K500">
        <v>4</v>
      </c>
      <c r="L500">
        <v>2964</v>
      </c>
      <c r="M500">
        <v>0.15</v>
      </c>
      <c r="N500">
        <v>2519.4</v>
      </c>
      <c r="O500">
        <v>0.18</v>
      </c>
      <c r="P500">
        <v>10077.6</v>
      </c>
      <c r="Q500">
        <v>1813.9680000000001</v>
      </c>
      <c r="R500">
        <v>11891.567999999999</v>
      </c>
      <c r="S500" t="s">
        <v>1360</v>
      </c>
      <c r="T500" t="s">
        <v>1361</v>
      </c>
      <c r="U500" s="4">
        <v>45508</v>
      </c>
      <c r="V500" s="4">
        <v>45511</v>
      </c>
      <c r="W500" t="b">
        <v>0</v>
      </c>
      <c r="Z500" t="s">
        <v>1390</v>
      </c>
      <c r="AA500" t="s">
        <v>1397</v>
      </c>
      <c r="AB500" t="s">
        <v>1391</v>
      </c>
    </row>
    <row r="501" spans="1:28" x14ac:dyDescent="0.3">
      <c r="A501" t="s">
        <v>772</v>
      </c>
      <c r="B501" s="6">
        <v>45588.552777777775</v>
      </c>
      <c r="C501" t="s">
        <v>111</v>
      </c>
      <c r="D501" t="s">
        <v>1153</v>
      </c>
      <c r="E501" t="s">
        <v>1162</v>
      </c>
      <c r="F501" t="s">
        <v>1143</v>
      </c>
      <c r="G501" t="s">
        <v>1177</v>
      </c>
      <c r="H501" t="s">
        <v>1195</v>
      </c>
      <c r="I501" t="s">
        <v>1202</v>
      </c>
      <c r="J501" t="s">
        <v>1203</v>
      </c>
      <c r="K501">
        <v>1</v>
      </c>
      <c r="L501">
        <v>2190</v>
      </c>
      <c r="M501">
        <v>0</v>
      </c>
      <c r="N501">
        <v>2190</v>
      </c>
      <c r="O501">
        <v>0.12</v>
      </c>
      <c r="P501">
        <v>2190</v>
      </c>
      <c r="Q501">
        <v>262.8</v>
      </c>
      <c r="R501">
        <v>2452.8000000000002</v>
      </c>
      <c r="S501" t="s">
        <v>1363</v>
      </c>
      <c r="T501" t="s">
        <v>1367</v>
      </c>
      <c r="U501" s="4">
        <v>45588</v>
      </c>
      <c r="W501" t="b">
        <v>0</v>
      </c>
      <c r="Z501" t="s">
        <v>1390</v>
      </c>
      <c r="AA501" t="s">
        <v>1397</v>
      </c>
      <c r="AB501" t="s">
        <v>1389</v>
      </c>
    </row>
    <row r="502" spans="1:28" x14ac:dyDescent="0.3">
      <c r="A502" t="s">
        <v>774</v>
      </c>
      <c r="B502" s="6">
        <v>45298.481249999997</v>
      </c>
      <c r="C502" t="s">
        <v>179</v>
      </c>
      <c r="D502" t="s">
        <v>1141</v>
      </c>
      <c r="E502" t="s">
        <v>1239</v>
      </c>
      <c r="F502" t="s">
        <v>1143</v>
      </c>
      <c r="G502" t="s">
        <v>1177</v>
      </c>
      <c r="H502" t="s">
        <v>1192</v>
      </c>
      <c r="I502" t="s">
        <v>1344</v>
      </c>
      <c r="J502" t="s">
        <v>1345</v>
      </c>
      <c r="K502">
        <v>3</v>
      </c>
      <c r="L502">
        <v>463</v>
      </c>
      <c r="M502">
        <v>0.1</v>
      </c>
      <c r="N502">
        <v>416.7</v>
      </c>
      <c r="O502">
        <v>0.12</v>
      </c>
      <c r="P502">
        <v>1250.0999999999999</v>
      </c>
      <c r="Q502">
        <v>150.012</v>
      </c>
      <c r="R502">
        <v>1400.1120000000001</v>
      </c>
      <c r="S502" t="s">
        <v>1363</v>
      </c>
      <c r="T502" t="s">
        <v>1361</v>
      </c>
      <c r="U502" s="4">
        <v>45298</v>
      </c>
      <c r="V502" s="4">
        <v>45303</v>
      </c>
      <c r="W502" t="b">
        <v>0</v>
      </c>
      <c r="Z502" t="s">
        <v>1388</v>
      </c>
      <c r="AA502" t="s">
        <v>1387</v>
      </c>
      <c r="AB502" t="s">
        <v>1378</v>
      </c>
    </row>
    <row r="503" spans="1:28" x14ac:dyDescent="0.3">
      <c r="A503" t="s">
        <v>775</v>
      </c>
      <c r="B503" s="6">
        <v>45670.43472222222</v>
      </c>
      <c r="C503" t="s">
        <v>510</v>
      </c>
      <c r="D503" t="s">
        <v>1153</v>
      </c>
      <c r="E503" t="s">
        <v>1191</v>
      </c>
      <c r="F503" t="s">
        <v>1143</v>
      </c>
      <c r="G503" t="s">
        <v>1172</v>
      </c>
      <c r="H503" t="s">
        <v>1204</v>
      </c>
      <c r="I503" t="s">
        <v>1297</v>
      </c>
      <c r="J503" t="s">
        <v>1298</v>
      </c>
      <c r="K503">
        <v>1</v>
      </c>
      <c r="L503">
        <v>5453</v>
      </c>
      <c r="M503">
        <v>0</v>
      </c>
      <c r="N503">
        <v>5453</v>
      </c>
      <c r="O503">
        <v>0.12</v>
      </c>
      <c r="P503">
        <v>5453</v>
      </c>
      <c r="Q503">
        <v>654.36</v>
      </c>
      <c r="R503">
        <v>6107.36</v>
      </c>
      <c r="S503" t="s">
        <v>1363</v>
      </c>
      <c r="T503" t="s">
        <v>1361</v>
      </c>
      <c r="U503" s="4">
        <v>45671</v>
      </c>
      <c r="V503" s="4">
        <v>45676</v>
      </c>
      <c r="W503" t="b">
        <v>0</v>
      </c>
      <c r="Z503" t="s">
        <v>1382</v>
      </c>
      <c r="AA503" t="s">
        <v>1387</v>
      </c>
      <c r="AB503" t="s">
        <v>1378</v>
      </c>
    </row>
    <row r="504" spans="1:28" x14ac:dyDescent="0.3">
      <c r="A504" t="s">
        <v>776</v>
      </c>
      <c r="B504" s="6">
        <v>45300.525000000001</v>
      </c>
      <c r="C504" t="s">
        <v>208</v>
      </c>
      <c r="D504" t="s">
        <v>1157</v>
      </c>
      <c r="E504" t="s">
        <v>1201</v>
      </c>
      <c r="F504" t="s">
        <v>1143</v>
      </c>
      <c r="G504" t="s">
        <v>1167</v>
      </c>
      <c r="H504" t="s">
        <v>1168</v>
      </c>
      <c r="I504" t="s">
        <v>1169</v>
      </c>
      <c r="J504" t="s">
        <v>1170</v>
      </c>
      <c r="K504">
        <v>3</v>
      </c>
      <c r="L504">
        <v>25341</v>
      </c>
      <c r="M504">
        <v>0</v>
      </c>
      <c r="N504">
        <v>25341</v>
      </c>
      <c r="O504">
        <v>0.12</v>
      </c>
      <c r="P504">
        <v>76023</v>
      </c>
      <c r="Q504">
        <v>9122.76</v>
      </c>
      <c r="R504">
        <v>85145.76</v>
      </c>
      <c r="S504" t="s">
        <v>1360</v>
      </c>
      <c r="T504" t="s">
        <v>1361</v>
      </c>
      <c r="U504" s="4">
        <v>45301</v>
      </c>
      <c r="V504" s="4">
        <v>45305</v>
      </c>
      <c r="W504" t="b">
        <v>0</v>
      </c>
      <c r="Z504" t="s">
        <v>1386</v>
      </c>
      <c r="AA504" t="s">
        <v>1387</v>
      </c>
      <c r="AB504" t="s">
        <v>1395</v>
      </c>
    </row>
    <row r="505" spans="1:28" x14ac:dyDescent="0.3">
      <c r="A505" t="s">
        <v>779</v>
      </c>
      <c r="B505" s="6">
        <v>45519.486805555556</v>
      </c>
      <c r="C505" t="s">
        <v>457</v>
      </c>
      <c r="D505" t="s">
        <v>1157</v>
      </c>
      <c r="E505" t="s">
        <v>1158</v>
      </c>
      <c r="F505" t="s">
        <v>1143</v>
      </c>
      <c r="G505" t="s">
        <v>1167</v>
      </c>
      <c r="H505" t="s">
        <v>1208</v>
      </c>
      <c r="I505" t="s">
        <v>1209</v>
      </c>
      <c r="J505" t="s">
        <v>1210</v>
      </c>
      <c r="K505">
        <v>3</v>
      </c>
      <c r="L505">
        <v>36685</v>
      </c>
      <c r="M505">
        <v>0.15</v>
      </c>
      <c r="N505">
        <v>31182.25</v>
      </c>
      <c r="O505">
        <v>0.12</v>
      </c>
      <c r="P505">
        <v>93546.75</v>
      </c>
      <c r="Q505">
        <v>11225.61</v>
      </c>
      <c r="R505">
        <v>104772.36</v>
      </c>
      <c r="S505" t="s">
        <v>1365</v>
      </c>
      <c r="T505" t="s">
        <v>1361</v>
      </c>
      <c r="U505" s="4">
        <v>45521</v>
      </c>
      <c r="V505" s="4">
        <v>45524</v>
      </c>
      <c r="W505" t="b">
        <v>0</v>
      </c>
      <c r="Z505" t="s">
        <v>1392</v>
      </c>
      <c r="AA505" t="s">
        <v>1394</v>
      </c>
      <c r="AB505" t="s">
        <v>1395</v>
      </c>
    </row>
    <row r="506" spans="1:28" x14ac:dyDescent="0.3">
      <c r="A506" t="s">
        <v>780</v>
      </c>
      <c r="B506" s="6">
        <v>45508.479166666664</v>
      </c>
      <c r="C506" t="s">
        <v>781</v>
      </c>
      <c r="D506" t="s">
        <v>1153</v>
      </c>
      <c r="E506" t="s">
        <v>1191</v>
      </c>
      <c r="F506" t="s">
        <v>1143</v>
      </c>
      <c r="G506" t="s">
        <v>1144</v>
      </c>
      <c r="H506" t="s">
        <v>1276</v>
      </c>
      <c r="I506" t="s">
        <v>1277</v>
      </c>
      <c r="J506" t="s">
        <v>1278</v>
      </c>
      <c r="K506">
        <v>3</v>
      </c>
      <c r="L506">
        <v>3152</v>
      </c>
      <c r="M506">
        <v>0.15</v>
      </c>
      <c r="N506">
        <v>2679.2</v>
      </c>
      <c r="O506">
        <v>0.12</v>
      </c>
      <c r="P506">
        <v>8037.5999999999995</v>
      </c>
      <c r="Q506">
        <v>964.51199999999994</v>
      </c>
      <c r="R506">
        <v>9002.1119999999992</v>
      </c>
      <c r="S506" t="s">
        <v>1362</v>
      </c>
      <c r="T506" t="s">
        <v>1361</v>
      </c>
      <c r="U506" s="4">
        <v>45509</v>
      </c>
      <c r="V506" s="4">
        <v>45513</v>
      </c>
      <c r="W506" t="b">
        <v>0</v>
      </c>
      <c r="Z506" t="s">
        <v>1392</v>
      </c>
      <c r="AA506" t="s">
        <v>1399</v>
      </c>
      <c r="AB506" t="s">
        <v>1395</v>
      </c>
    </row>
    <row r="507" spans="1:28" x14ac:dyDescent="0.3">
      <c r="A507" t="s">
        <v>782</v>
      </c>
      <c r="B507" s="6">
        <v>45655.547222222223</v>
      </c>
      <c r="C507" t="s">
        <v>6</v>
      </c>
      <c r="D507" t="s">
        <v>1148</v>
      </c>
      <c r="E507" t="s">
        <v>1149</v>
      </c>
      <c r="F507" t="s">
        <v>1143</v>
      </c>
      <c r="G507" t="s">
        <v>1163</v>
      </c>
      <c r="H507" t="s">
        <v>1184</v>
      </c>
      <c r="I507" t="s">
        <v>1185</v>
      </c>
      <c r="J507" t="s">
        <v>1186</v>
      </c>
      <c r="K507">
        <v>3</v>
      </c>
      <c r="L507">
        <v>631</v>
      </c>
      <c r="M507">
        <v>0.05</v>
      </c>
      <c r="N507">
        <v>599.44999999999993</v>
      </c>
      <c r="O507">
        <v>0.12</v>
      </c>
      <c r="P507">
        <v>1798.35</v>
      </c>
      <c r="Q507">
        <v>215.80199999999999</v>
      </c>
      <c r="R507">
        <v>2014.152</v>
      </c>
      <c r="S507" t="s">
        <v>1362</v>
      </c>
      <c r="T507" t="s">
        <v>1361</v>
      </c>
      <c r="U507" s="4">
        <v>45657</v>
      </c>
      <c r="V507" s="4">
        <v>45658</v>
      </c>
      <c r="W507" t="b">
        <v>0</v>
      </c>
      <c r="Z507" t="s">
        <v>1382</v>
      </c>
      <c r="AA507" t="s">
        <v>1394</v>
      </c>
      <c r="AB507" t="s">
        <v>1383</v>
      </c>
    </row>
    <row r="508" spans="1:28" x14ac:dyDescent="0.3">
      <c r="A508" t="s">
        <v>786</v>
      </c>
      <c r="B508" s="6">
        <v>45575.472916666666</v>
      </c>
      <c r="C508" t="s">
        <v>627</v>
      </c>
      <c r="D508" t="s">
        <v>1182</v>
      </c>
      <c r="E508" t="s">
        <v>1256</v>
      </c>
      <c r="F508" t="s">
        <v>1143</v>
      </c>
      <c r="G508" t="s">
        <v>1144</v>
      </c>
      <c r="H508" t="s">
        <v>1145</v>
      </c>
      <c r="I508" t="s">
        <v>1146</v>
      </c>
      <c r="J508" t="s">
        <v>1147</v>
      </c>
      <c r="K508">
        <v>3</v>
      </c>
      <c r="L508">
        <v>11334</v>
      </c>
      <c r="M508">
        <v>0</v>
      </c>
      <c r="N508">
        <v>11334</v>
      </c>
      <c r="O508">
        <v>0.12</v>
      </c>
      <c r="P508">
        <v>34002</v>
      </c>
      <c r="Q508">
        <v>4080.24</v>
      </c>
      <c r="R508">
        <v>38082.239999999998</v>
      </c>
      <c r="S508" t="s">
        <v>1366</v>
      </c>
      <c r="T508" t="s">
        <v>1361</v>
      </c>
      <c r="U508" s="4">
        <v>45575</v>
      </c>
      <c r="V508" s="4">
        <v>45577</v>
      </c>
      <c r="W508" t="b">
        <v>0</v>
      </c>
      <c r="Z508" t="s">
        <v>1376</v>
      </c>
      <c r="AA508" t="s">
        <v>1399</v>
      </c>
      <c r="AB508" t="s">
        <v>1395</v>
      </c>
    </row>
    <row r="509" spans="1:28" x14ac:dyDescent="0.3">
      <c r="A509" t="s">
        <v>787</v>
      </c>
      <c r="B509" s="6">
        <v>45456.538888888892</v>
      </c>
      <c r="C509" t="s">
        <v>57</v>
      </c>
      <c r="D509" t="s">
        <v>1153</v>
      </c>
      <c r="E509" t="s">
        <v>1176</v>
      </c>
      <c r="F509" t="s">
        <v>1143</v>
      </c>
      <c r="G509" t="s">
        <v>1163</v>
      </c>
      <c r="H509" t="s">
        <v>1164</v>
      </c>
      <c r="I509" t="s">
        <v>1165</v>
      </c>
      <c r="J509" t="s">
        <v>1166</v>
      </c>
      <c r="K509">
        <v>3</v>
      </c>
      <c r="L509">
        <v>967</v>
      </c>
      <c r="M509">
        <v>0</v>
      </c>
      <c r="N509">
        <v>967</v>
      </c>
      <c r="O509">
        <v>0.18</v>
      </c>
      <c r="P509">
        <v>2901</v>
      </c>
      <c r="Q509">
        <v>522.17999999999995</v>
      </c>
      <c r="R509">
        <v>3423.18</v>
      </c>
      <c r="S509" t="s">
        <v>1362</v>
      </c>
      <c r="T509" t="s">
        <v>1368</v>
      </c>
      <c r="U509" s="4">
        <v>45457</v>
      </c>
      <c r="W509" t="b">
        <v>0</v>
      </c>
      <c r="Z509" t="s">
        <v>1396</v>
      </c>
      <c r="AA509" t="s">
        <v>1387</v>
      </c>
      <c r="AB509" t="s">
        <v>1380</v>
      </c>
    </row>
    <row r="510" spans="1:28" x14ac:dyDescent="0.3">
      <c r="A510" t="s">
        <v>788</v>
      </c>
      <c r="B510" s="6">
        <v>45376.577777777777</v>
      </c>
      <c r="C510" t="s">
        <v>67</v>
      </c>
      <c r="D510" t="s">
        <v>1148</v>
      </c>
      <c r="E510" t="s">
        <v>1149</v>
      </c>
      <c r="F510" t="s">
        <v>1143</v>
      </c>
      <c r="G510" t="s">
        <v>1163</v>
      </c>
      <c r="H510" t="s">
        <v>1184</v>
      </c>
      <c r="I510" t="s">
        <v>1185</v>
      </c>
      <c r="J510" t="s">
        <v>1186</v>
      </c>
      <c r="K510">
        <v>1</v>
      </c>
      <c r="L510">
        <v>669</v>
      </c>
      <c r="M510">
        <v>0.2</v>
      </c>
      <c r="N510">
        <v>535.20000000000005</v>
      </c>
      <c r="O510">
        <v>0.12</v>
      </c>
      <c r="P510">
        <v>535.20000000000005</v>
      </c>
      <c r="Q510">
        <v>64.224000000000004</v>
      </c>
      <c r="R510">
        <v>599.42400000000009</v>
      </c>
      <c r="S510" t="s">
        <v>1363</v>
      </c>
      <c r="T510" t="s">
        <v>1361</v>
      </c>
      <c r="U510" s="4">
        <v>45378</v>
      </c>
      <c r="V510" s="4">
        <v>45383</v>
      </c>
      <c r="W510" t="b">
        <v>0</v>
      </c>
      <c r="Z510" t="s">
        <v>1390</v>
      </c>
      <c r="AA510" t="s">
        <v>1394</v>
      </c>
      <c r="AB510" t="s">
        <v>1383</v>
      </c>
    </row>
    <row r="511" spans="1:28" x14ac:dyDescent="0.3">
      <c r="A511" t="s">
        <v>791</v>
      </c>
      <c r="B511" s="6">
        <v>45501.379166666666</v>
      </c>
      <c r="C511" t="s">
        <v>158</v>
      </c>
      <c r="D511" t="s">
        <v>1182</v>
      </c>
      <c r="E511" t="s">
        <v>1257</v>
      </c>
      <c r="F511" t="s">
        <v>1143</v>
      </c>
      <c r="G511" t="s">
        <v>1177</v>
      </c>
      <c r="H511" t="s">
        <v>1178</v>
      </c>
      <c r="I511" t="s">
        <v>1179</v>
      </c>
      <c r="J511" t="s">
        <v>1180</v>
      </c>
      <c r="K511">
        <v>4</v>
      </c>
      <c r="L511">
        <v>1714</v>
      </c>
      <c r="M511">
        <v>0.2</v>
      </c>
      <c r="N511">
        <v>1371.2</v>
      </c>
      <c r="O511">
        <v>0.12</v>
      </c>
      <c r="P511">
        <v>5484.8</v>
      </c>
      <c r="Q511">
        <v>658.17600000000004</v>
      </c>
      <c r="R511">
        <v>6142.9760000000006</v>
      </c>
      <c r="S511" t="s">
        <v>1362</v>
      </c>
      <c r="T511" t="s">
        <v>1361</v>
      </c>
      <c r="U511" s="4">
        <v>45502</v>
      </c>
      <c r="V511" s="4">
        <v>45506</v>
      </c>
      <c r="W511" t="b">
        <v>0</v>
      </c>
      <c r="Z511" t="s">
        <v>1396</v>
      </c>
      <c r="AA511" t="s">
        <v>1394</v>
      </c>
      <c r="AB511" t="s">
        <v>1380</v>
      </c>
    </row>
    <row r="512" spans="1:28" x14ac:dyDescent="0.3">
      <c r="A512" t="s">
        <v>794</v>
      </c>
      <c r="B512" s="6">
        <v>45694.60833333333</v>
      </c>
      <c r="C512" t="s">
        <v>88</v>
      </c>
      <c r="D512" t="s">
        <v>1148</v>
      </c>
      <c r="E512" t="s">
        <v>1262</v>
      </c>
      <c r="F512" t="s">
        <v>1143</v>
      </c>
      <c r="G512" t="s">
        <v>1177</v>
      </c>
      <c r="H512" t="s">
        <v>1195</v>
      </c>
      <c r="I512" t="s">
        <v>1218</v>
      </c>
      <c r="J512" t="s">
        <v>1219</v>
      </c>
      <c r="K512">
        <v>2</v>
      </c>
      <c r="L512">
        <v>2100</v>
      </c>
      <c r="M512">
        <v>0.1</v>
      </c>
      <c r="N512">
        <v>1890</v>
      </c>
      <c r="O512">
        <v>0.18</v>
      </c>
      <c r="P512">
        <v>3780</v>
      </c>
      <c r="Q512">
        <v>680.4</v>
      </c>
      <c r="R512">
        <v>4460.3999999999996</v>
      </c>
      <c r="S512" t="s">
        <v>1360</v>
      </c>
      <c r="T512" t="s">
        <v>1368</v>
      </c>
      <c r="U512" s="4">
        <v>45695</v>
      </c>
      <c r="W512" t="b">
        <v>0</v>
      </c>
      <c r="Z512" t="s">
        <v>1390</v>
      </c>
      <c r="AA512" t="s">
        <v>1397</v>
      </c>
      <c r="AB512" t="s">
        <v>1383</v>
      </c>
    </row>
    <row r="513" spans="1:28" x14ac:dyDescent="0.3">
      <c r="A513" t="s">
        <v>796</v>
      </c>
      <c r="B513" s="6">
        <v>45582.642361111109</v>
      </c>
      <c r="C513" t="s">
        <v>366</v>
      </c>
      <c r="D513" t="s">
        <v>1157</v>
      </c>
      <c r="E513" t="s">
        <v>1249</v>
      </c>
      <c r="F513" t="s">
        <v>1143</v>
      </c>
      <c r="G513" t="s">
        <v>1163</v>
      </c>
      <c r="H513" t="s">
        <v>1240</v>
      </c>
      <c r="I513" t="s">
        <v>1241</v>
      </c>
      <c r="J513" t="s">
        <v>1242</v>
      </c>
      <c r="K513">
        <v>2</v>
      </c>
      <c r="L513">
        <v>500</v>
      </c>
      <c r="M513">
        <v>0</v>
      </c>
      <c r="N513">
        <v>500</v>
      </c>
      <c r="O513">
        <v>0.18</v>
      </c>
      <c r="P513">
        <v>1000</v>
      </c>
      <c r="Q513">
        <v>180</v>
      </c>
      <c r="R513">
        <v>1180</v>
      </c>
      <c r="S513" t="s">
        <v>1363</v>
      </c>
      <c r="T513" t="s">
        <v>1361</v>
      </c>
      <c r="U513" s="4">
        <v>45583</v>
      </c>
      <c r="V513" s="4">
        <v>45587</v>
      </c>
      <c r="W513" t="b">
        <v>0</v>
      </c>
      <c r="Z513" t="s">
        <v>1396</v>
      </c>
      <c r="AA513" t="s">
        <v>1397</v>
      </c>
      <c r="AB513" t="s">
        <v>1380</v>
      </c>
    </row>
    <row r="514" spans="1:28" x14ac:dyDescent="0.3">
      <c r="A514" t="s">
        <v>805</v>
      </c>
      <c r="B514" s="6">
        <v>45679.541666666664</v>
      </c>
      <c r="C514" t="s">
        <v>354</v>
      </c>
      <c r="D514" t="s">
        <v>1148</v>
      </c>
      <c r="E514" t="s">
        <v>1217</v>
      </c>
      <c r="F514" t="s">
        <v>1143</v>
      </c>
      <c r="G514" t="s">
        <v>1177</v>
      </c>
      <c r="H514" t="s">
        <v>1195</v>
      </c>
      <c r="I514" t="s">
        <v>1196</v>
      </c>
      <c r="J514" t="s">
        <v>1197</v>
      </c>
      <c r="K514">
        <v>2</v>
      </c>
      <c r="L514">
        <v>1185</v>
      </c>
      <c r="M514">
        <v>0.2</v>
      </c>
      <c r="N514">
        <v>948</v>
      </c>
      <c r="O514">
        <v>0.05</v>
      </c>
      <c r="P514">
        <v>1896</v>
      </c>
      <c r="Q514">
        <v>94.800000000000011</v>
      </c>
      <c r="R514">
        <v>1990.8</v>
      </c>
      <c r="S514" t="s">
        <v>1360</v>
      </c>
      <c r="T514" t="s">
        <v>1361</v>
      </c>
      <c r="U514" s="4">
        <v>45681</v>
      </c>
      <c r="V514" s="4">
        <v>45682</v>
      </c>
      <c r="W514" t="b">
        <v>0</v>
      </c>
      <c r="Z514" t="s">
        <v>1386</v>
      </c>
      <c r="AA514" t="s">
        <v>1385</v>
      </c>
      <c r="AB514" t="s">
        <v>1393</v>
      </c>
    </row>
    <row r="515" spans="1:28" x14ac:dyDescent="0.3">
      <c r="A515" t="s">
        <v>806</v>
      </c>
      <c r="B515" s="6">
        <v>45720.709722222222</v>
      </c>
      <c r="C515" t="s">
        <v>610</v>
      </c>
      <c r="D515" t="s">
        <v>1157</v>
      </c>
      <c r="E515" t="s">
        <v>1181</v>
      </c>
      <c r="F515" t="s">
        <v>1143</v>
      </c>
      <c r="G515" t="s">
        <v>1167</v>
      </c>
      <c r="H515" t="s">
        <v>1263</v>
      </c>
      <c r="I515" t="s">
        <v>1274</v>
      </c>
      <c r="J515" t="s">
        <v>1275</v>
      </c>
      <c r="K515">
        <v>1</v>
      </c>
      <c r="L515">
        <v>10632</v>
      </c>
      <c r="M515">
        <v>0</v>
      </c>
      <c r="N515">
        <v>10632</v>
      </c>
      <c r="O515">
        <v>0.12</v>
      </c>
      <c r="P515">
        <v>10632</v>
      </c>
      <c r="Q515">
        <v>1275.8399999999999</v>
      </c>
      <c r="R515">
        <v>11907.84</v>
      </c>
      <c r="S515" t="s">
        <v>1363</v>
      </c>
      <c r="T515" t="s">
        <v>1369</v>
      </c>
      <c r="W515" t="b">
        <v>0</v>
      </c>
      <c r="Z515" t="s">
        <v>1390</v>
      </c>
      <c r="AA515" t="s">
        <v>1400</v>
      </c>
      <c r="AB515" t="s">
        <v>1383</v>
      </c>
    </row>
    <row r="516" spans="1:28" x14ac:dyDescent="0.3">
      <c r="A516" t="s">
        <v>808</v>
      </c>
      <c r="B516" s="6">
        <v>45629.615972222222</v>
      </c>
      <c r="C516" t="s">
        <v>669</v>
      </c>
      <c r="D516" t="s">
        <v>1157</v>
      </c>
      <c r="E516" t="s">
        <v>1181</v>
      </c>
      <c r="F516" t="s">
        <v>1143</v>
      </c>
      <c r="G516" t="s">
        <v>1177</v>
      </c>
      <c r="H516" t="s">
        <v>1195</v>
      </c>
      <c r="I516" t="s">
        <v>1196</v>
      </c>
      <c r="J516" t="s">
        <v>1197</v>
      </c>
      <c r="K516">
        <v>3</v>
      </c>
      <c r="L516">
        <v>1882</v>
      </c>
      <c r="M516">
        <v>0.05</v>
      </c>
      <c r="N516">
        <v>1787.9</v>
      </c>
      <c r="O516">
        <v>0.18</v>
      </c>
      <c r="P516">
        <v>5363.7</v>
      </c>
      <c r="Q516">
        <v>965.46599999999989</v>
      </c>
      <c r="R516">
        <v>6329.1659999999993</v>
      </c>
      <c r="S516" t="s">
        <v>1362</v>
      </c>
      <c r="T516" t="s">
        <v>1361</v>
      </c>
      <c r="U516" s="4">
        <v>45629</v>
      </c>
      <c r="V516" s="4">
        <v>45632</v>
      </c>
      <c r="W516" t="b">
        <v>0</v>
      </c>
      <c r="Z516" t="s">
        <v>1376</v>
      </c>
      <c r="AA516" t="s">
        <v>1397</v>
      </c>
      <c r="AB516" t="s">
        <v>1383</v>
      </c>
    </row>
    <row r="517" spans="1:28" x14ac:dyDescent="0.3">
      <c r="A517" t="s">
        <v>809</v>
      </c>
      <c r="B517" s="6">
        <v>45681.515277777777</v>
      </c>
      <c r="C517" t="s">
        <v>264</v>
      </c>
      <c r="D517" t="s">
        <v>1153</v>
      </c>
      <c r="E517" t="s">
        <v>1162</v>
      </c>
      <c r="F517" t="s">
        <v>1143</v>
      </c>
      <c r="G517" t="s">
        <v>1177</v>
      </c>
      <c r="H517" t="s">
        <v>1178</v>
      </c>
      <c r="I517" t="s">
        <v>1179</v>
      </c>
      <c r="J517" t="s">
        <v>1180</v>
      </c>
      <c r="K517">
        <v>2</v>
      </c>
      <c r="L517">
        <v>2937</v>
      </c>
      <c r="M517">
        <v>0.2</v>
      </c>
      <c r="N517">
        <v>2349.6</v>
      </c>
      <c r="O517">
        <v>0.12</v>
      </c>
      <c r="P517">
        <v>4699.2</v>
      </c>
      <c r="Q517">
        <v>563.904</v>
      </c>
      <c r="R517">
        <v>5263.1039999999994</v>
      </c>
      <c r="S517" t="s">
        <v>1365</v>
      </c>
      <c r="T517" t="s">
        <v>1361</v>
      </c>
      <c r="U517" s="4">
        <v>45681</v>
      </c>
      <c r="V517" s="4">
        <v>45686</v>
      </c>
      <c r="W517" t="b">
        <v>0</v>
      </c>
      <c r="Z517" t="s">
        <v>1382</v>
      </c>
      <c r="AA517" t="s">
        <v>1387</v>
      </c>
      <c r="AB517" t="s">
        <v>1378</v>
      </c>
    </row>
    <row r="518" spans="1:28" x14ac:dyDescent="0.3">
      <c r="A518" t="s">
        <v>810</v>
      </c>
      <c r="B518" s="6">
        <v>45647.53125</v>
      </c>
      <c r="C518" t="s">
        <v>22</v>
      </c>
      <c r="D518" t="s">
        <v>1182</v>
      </c>
      <c r="E518" t="s">
        <v>1183</v>
      </c>
      <c r="F518" t="s">
        <v>1143</v>
      </c>
      <c r="G518" t="s">
        <v>1163</v>
      </c>
      <c r="H518" t="s">
        <v>1240</v>
      </c>
      <c r="I518" t="s">
        <v>1241</v>
      </c>
      <c r="J518" t="s">
        <v>1242</v>
      </c>
      <c r="K518">
        <v>2</v>
      </c>
      <c r="L518">
        <v>86</v>
      </c>
      <c r="M518">
        <v>0.05</v>
      </c>
      <c r="N518">
        <v>81.7</v>
      </c>
      <c r="O518">
        <v>0.05</v>
      </c>
      <c r="P518">
        <v>163.4</v>
      </c>
      <c r="Q518">
        <v>8.17</v>
      </c>
      <c r="R518">
        <v>171.57</v>
      </c>
      <c r="S518" t="s">
        <v>1365</v>
      </c>
      <c r="T518" t="s">
        <v>1361</v>
      </c>
      <c r="U518" s="4">
        <v>45649</v>
      </c>
      <c r="V518" s="4">
        <v>45653</v>
      </c>
      <c r="W518" t="b">
        <v>0</v>
      </c>
      <c r="Z518" t="s">
        <v>1382</v>
      </c>
      <c r="AA518" t="s">
        <v>1385</v>
      </c>
      <c r="AB518" t="s">
        <v>1389</v>
      </c>
    </row>
    <row r="519" spans="1:28" x14ac:dyDescent="0.3">
      <c r="A519" t="s">
        <v>813</v>
      </c>
      <c r="B519" s="6">
        <v>45654.51458333333</v>
      </c>
      <c r="C519" t="s">
        <v>47</v>
      </c>
      <c r="D519" t="s">
        <v>1182</v>
      </c>
      <c r="E519" t="s">
        <v>1183</v>
      </c>
      <c r="F519" t="s">
        <v>1143</v>
      </c>
      <c r="G519" t="s">
        <v>1144</v>
      </c>
      <c r="H519" t="s">
        <v>1269</v>
      </c>
      <c r="I519" t="s">
        <v>1270</v>
      </c>
      <c r="J519" t="s">
        <v>1271</v>
      </c>
      <c r="K519">
        <v>1</v>
      </c>
      <c r="L519">
        <v>1459</v>
      </c>
      <c r="M519">
        <v>0.1</v>
      </c>
      <c r="N519">
        <v>1313.1</v>
      </c>
      <c r="O519">
        <v>0.12</v>
      </c>
      <c r="P519">
        <v>1313.1</v>
      </c>
      <c r="Q519">
        <v>157.572</v>
      </c>
      <c r="R519">
        <v>1470.672</v>
      </c>
      <c r="S519" t="s">
        <v>1363</v>
      </c>
      <c r="T519" t="s">
        <v>1368</v>
      </c>
      <c r="U519" s="4">
        <v>45655</v>
      </c>
      <c r="W519" t="b">
        <v>0</v>
      </c>
      <c r="Z519" t="s">
        <v>1392</v>
      </c>
      <c r="AA519" t="s">
        <v>1394</v>
      </c>
      <c r="AB519" t="s">
        <v>1395</v>
      </c>
    </row>
    <row r="520" spans="1:28" x14ac:dyDescent="0.3">
      <c r="A520" t="s">
        <v>815</v>
      </c>
      <c r="B520" s="6">
        <v>45453.652083333334</v>
      </c>
      <c r="C520" t="s">
        <v>712</v>
      </c>
      <c r="D520" t="s">
        <v>1157</v>
      </c>
      <c r="E520" t="s">
        <v>1249</v>
      </c>
      <c r="F520" t="s">
        <v>1143</v>
      </c>
      <c r="G520" t="s">
        <v>1163</v>
      </c>
      <c r="H520" t="s">
        <v>1224</v>
      </c>
      <c r="I520" t="s">
        <v>1316</v>
      </c>
      <c r="J520" t="s">
        <v>1317</v>
      </c>
      <c r="K520">
        <v>1</v>
      </c>
      <c r="L520">
        <v>681</v>
      </c>
      <c r="M520">
        <v>0.1</v>
      </c>
      <c r="N520">
        <v>612.9</v>
      </c>
      <c r="O520">
        <v>0.12</v>
      </c>
      <c r="P520">
        <v>612.9</v>
      </c>
      <c r="Q520">
        <v>73.547999999999988</v>
      </c>
      <c r="R520">
        <v>686.44799999999998</v>
      </c>
      <c r="S520" t="s">
        <v>1362</v>
      </c>
      <c r="T520" t="s">
        <v>1361</v>
      </c>
      <c r="U520" s="4">
        <v>45453</v>
      </c>
      <c r="V520" s="4">
        <v>45458</v>
      </c>
      <c r="W520" t="b">
        <v>0</v>
      </c>
      <c r="Z520" t="s">
        <v>1396</v>
      </c>
      <c r="AA520" t="s">
        <v>1400</v>
      </c>
      <c r="AB520" t="s">
        <v>1383</v>
      </c>
    </row>
    <row r="521" spans="1:28" x14ac:dyDescent="0.3">
      <c r="A521" t="s">
        <v>822</v>
      </c>
      <c r="B521" s="6">
        <v>45646.375</v>
      </c>
      <c r="C521" t="s">
        <v>524</v>
      </c>
      <c r="D521" t="s">
        <v>1148</v>
      </c>
      <c r="E521" t="s">
        <v>1149</v>
      </c>
      <c r="F521" t="s">
        <v>1143</v>
      </c>
      <c r="G521" t="s">
        <v>1177</v>
      </c>
      <c r="H521" t="s">
        <v>1178</v>
      </c>
      <c r="I521" t="s">
        <v>1220</v>
      </c>
      <c r="J521" t="s">
        <v>1221</v>
      </c>
      <c r="K521">
        <v>2</v>
      </c>
      <c r="L521">
        <v>697</v>
      </c>
      <c r="M521">
        <v>0</v>
      </c>
      <c r="N521">
        <v>697</v>
      </c>
      <c r="O521">
        <v>0.12</v>
      </c>
      <c r="P521">
        <v>1394</v>
      </c>
      <c r="Q521">
        <v>167.28</v>
      </c>
      <c r="R521">
        <v>1561.28</v>
      </c>
      <c r="S521" t="s">
        <v>1360</v>
      </c>
      <c r="T521" t="s">
        <v>1361</v>
      </c>
      <c r="U521" s="4">
        <v>45646</v>
      </c>
      <c r="V521" s="4">
        <v>45647</v>
      </c>
      <c r="W521" t="b">
        <v>0</v>
      </c>
      <c r="Z521" t="s">
        <v>1392</v>
      </c>
      <c r="AA521" t="s">
        <v>1400</v>
      </c>
      <c r="AB521" t="s">
        <v>1380</v>
      </c>
    </row>
    <row r="522" spans="1:28" x14ac:dyDescent="0.3">
      <c r="A522" t="s">
        <v>826</v>
      </c>
      <c r="B522" s="6">
        <v>45483.603472222225</v>
      </c>
      <c r="C522" t="s">
        <v>768</v>
      </c>
      <c r="D522" t="s">
        <v>1182</v>
      </c>
      <c r="E522" t="s">
        <v>1256</v>
      </c>
      <c r="F522" t="s">
        <v>1143</v>
      </c>
      <c r="G522" t="s">
        <v>1144</v>
      </c>
      <c r="H522" t="s">
        <v>1214</v>
      </c>
      <c r="I522" t="s">
        <v>1320</v>
      </c>
      <c r="J522" t="s">
        <v>1321</v>
      </c>
      <c r="K522">
        <v>1</v>
      </c>
      <c r="L522">
        <v>3677</v>
      </c>
      <c r="M522">
        <v>0.05</v>
      </c>
      <c r="N522">
        <v>3493.15</v>
      </c>
      <c r="O522">
        <v>0.12</v>
      </c>
      <c r="P522">
        <v>3493.15</v>
      </c>
      <c r="Q522">
        <v>419.17799999999988</v>
      </c>
      <c r="R522">
        <v>3912.328</v>
      </c>
      <c r="S522" t="s">
        <v>1366</v>
      </c>
      <c r="T522" t="s">
        <v>1361</v>
      </c>
      <c r="U522" s="4">
        <v>45483</v>
      </c>
      <c r="V522" s="4">
        <v>45487</v>
      </c>
      <c r="W522" t="b">
        <v>0</v>
      </c>
      <c r="Z522" t="s">
        <v>1398</v>
      </c>
      <c r="AA522" t="s">
        <v>1385</v>
      </c>
      <c r="AB522" t="s">
        <v>1393</v>
      </c>
    </row>
    <row r="523" spans="1:28" x14ac:dyDescent="0.3">
      <c r="A523" t="s">
        <v>827</v>
      </c>
      <c r="B523" s="6">
        <v>45604.618750000001</v>
      </c>
      <c r="C523" t="s">
        <v>117</v>
      </c>
      <c r="D523" t="s">
        <v>1141</v>
      </c>
      <c r="E523" t="s">
        <v>1285</v>
      </c>
      <c r="F523" t="s">
        <v>1143</v>
      </c>
      <c r="G523" t="s">
        <v>1167</v>
      </c>
      <c r="H523" t="s">
        <v>1211</v>
      </c>
      <c r="I523" t="s">
        <v>1299</v>
      </c>
      <c r="J523" t="s">
        <v>1300</v>
      </c>
      <c r="K523">
        <v>2</v>
      </c>
      <c r="L523">
        <v>20094</v>
      </c>
      <c r="M523">
        <v>0.1</v>
      </c>
      <c r="N523">
        <v>18084.599999999999</v>
      </c>
      <c r="O523">
        <v>0.05</v>
      </c>
      <c r="P523">
        <v>36169.199999999997</v>
      </c>
      <c r="Q523">
        <v>1808.46</v>
      </c>
      <c r="R523">
        <v>37977.660000000003</v>
      </c>
      <c r="S523" t="s">
        <v>1366</v>
      </c>
      <c r="T523" t="s">
        <v>1361</v>
      </c>
      <c r="U523" s="4">
        <v>45605</v>
      </c>
      <c r="V523" s="4">
        <v>45610</v>
      </c>
      <c r="W523" t="b">
        <v>0</v>
      </c>
      <c r="Z523" t="s">
        <v>1396</v>
      </c>
      <c r="AA523" t="s">
        <v>1400</v>
      </c>
      <c r="AB523" t="s">
        <v>1393</v>
      </c>
    </row>
    <row r="524" spans="1:28" x14ac:dyDescent="0.3">
      <c r="A524" t="s">
        <v>828</v>
      </c>
      <c r="B524" s="6">
        <v>45537.497916666667</v>
      </c>
      <c r="C524" t="s">
        <v>200</v>
      </c>
      <c r="D524" t="s">
        <v>1182</v>
      </c>
      <c r="E524" t="s">
        <v>1183</v>
      </c>
      <c r="F524" t="s">
        <v>1143</v>
      </c>
      <c r="G524" t="s">
        <v>1167</v>
      </c>
      <c r="H524" t="s">
        <v>1263</v>
      </c>
      <c r="I524" t="s">
        <v>1264</v>
      </c>
      <c r="J524" t="s">
        <v>1265</v>
      </c>
      <c r="K524">
        <v>1</v>
      </c>
      <c r="L524">
        <v>34608</v>
      </c>
      <c r="M524">
        <v>0.1</v>
      </c>
      <c r="N524">
        <v>31147.200000000001</v>
      </c>
      <c r="O524">
        <v>0.12</v>
      </c>
      <c r="P524">
        <v>31147.200000000001</v>
      </c>
      <c r="Q524">
        <v>3737.6640000000002</v>
      </c>
      <c r="R524">
        <v>34884.864000000001</v>
      </c>
      <c r="S524" t="s">
        <v>1365</v>
      </c>
      <c r="T524" t="s">
        <v>1368</v>
      </c>
      <c r="U524" s="4">
        <v>45539</v>
      </c>
      <c r="W524" t="b">
        <v>0</v>
      </c>
      <c r="Z524" t="s">
        <v>1384</v>
      </c>
      <c r="AA524" t="s">
        <v>1387</v>
      </c>
      <c r="AB524" t="s">
        <v>1378</v>
      </c>
    </row>
    <row r="525" spans="1:28" x14ac:dyDescent="0.3">
      <c r="A525" t="s">
        <v>829</v>
      </c>
      <c r="B525" s="6">
        <v>45644.495138888888</v>
      </c>
      <c r="C525" t="s">
        <v>669</v>
      </c>
      <c r="D525" t="s">
        <v>1157</v>
      </c>
      <c r="E525" t="s">
        <v>1181</v>
      </c>
      <c r="F525" t="s">
        <v>1143</v>
      </c>
      <c r="G525" t="s">
        <v>1167</v>
      </c>
      <c r="H525" t="s">
        <v>1168</v>
      </c>
      <c r="I525" t="s">
        <v>1312</v>
      </c>
      <c r="J525" t="s">
        <v>1313</v>
      </c>
      <c r="K525">
        <v>1</v>
      </c>
      <c r="L525">
        <v>46086</v>
      </c>
      <c r="M525">
        <v>0</v>
      </c>
      <c r="N525">
        <v>46086</v>
      </c>
      <c r="O525">
        <v>0.12</v>
      </c>
      <c r="P525">
        <v>46086</v>
      </c>
      <c r="Q525">
        <v>5530.32</v>
      </c>
      <c r="R525">
        <v>51616.32</v>
      </c>
      <c r="S525" t="s">
        <v>1360</v>
      </c>
      <c r="T525" t="s">
        <v>1361</v>
      </c>
      <c r="U525" s="4">
        <v>45644</v>
      </c>
      <c r="V525" s="4">
        <v>45647</v>
      </c>
      <c r="W525" t="b">
        <v>0</v>
      </c>
      <c r="Z525" t="s">
        <v>1384</v>
      </c>
      <c r="AA525" t="s">
        <v>1377</v>
      </c>
      <c r="AB525" t="s">
        <v>1383</v>
      </c>
    </row>
    <row r="526" spans="1:28" x14ac:dyDescent="0.3">
      <c r="A526" t="s">
        <v>830</v>
      </c>
      <c r="B526" s="6">
        <v>45575.643055555556</v>
      </c>
      <c r="C526" t="s">
        <v>36</v>
      </c>
      <c r="D526" t="s">
        <v>1182</v>
      </c>
      <c r="E526" t="s">
        <v>1207</v>
      </c>
      <c r="F526" t="s">
        <v>1143</v>
      </c>
      <c r="G526" t="s">
        <v>1144</v>
      </c>
      <c r="H526" t="s">
        <v>1269</v>
      </c>
      <c r="I526" t="s">
        <v>1270</v>
      </c>
      <c r="J526" t="s">
        <v>1271</v>
      </c>
      <c r="K526">
        <v>1</v>
      </c>
      <c r="L526">
        <v>1778</v>
      </c>
      <c r="M526">
        <v>0.05</v>
      </c>
      <c r="N526">
        <v>1689.1</v>
      </c>
      <c r="O526">
        <v>0.18</v>
      </c>
      <c r="P526">
        <v>1689.1</v>
      </c>
      <c r="Q526">
        <v>304.03800000000001</v>
      </c>
      <c r="R526">
        <v>1993.1379999999999</v>
      </c>
      <c r="S526" t="s">
        <v>1363</v>
      </c>
      <c r="T526" t="s">
        <v>1361</v>
      </c>
      <c r="U526" s="4">
        <v>45576</v>
      </c>
      <c r="V526" s="4">
        <v>45578</v>
      </c>
      <c r="W526" t="b">
        <v>0</v>
      </c>
      <c r="Z526" t="s">
        <v>1396</v>
      </c>
      <c r="AA526" t="s">
        <v>1394</v>
      </c>
      <c r="AB526" t="s">
        <v>1393</v>
      </c>
    </row>
    <row r="527" spans="1:28" x14ac:dyDescent="0.3">
      <c r="A527" t="s">
        <v>831</v>
      </c>
      <c r="B527" s="6">
        <v>45559.534722222219</v>
      </c>
      <c r="C527" t="s">
        <v>296</v>
      </c>
      <c r="D527" t="s">
        <v>1157</v>
      </c>
      <c r="E527" t="s">
        <v>1181</v>
      </c>
      <c r="F527" t="s">
        <v>1143</v>
      </c>
      <c r="G527" t="s">
        <v>1172</v>
      </c>
      <c r="H527" t="s">
        <v>1173</v>
      </c>
      <c r="I527" t="s">
        <v>1222</v>
      </c>
      <c r="J527" t="s">
        <v>1223</v>
      </c>
      <c r="K527">
        <v>2</v>
      </c>
      <c r="L527">
        <v>6976</v>
      </c>
      <c r="M527">
        <v>0</v>
      </c>
      <c r="N527">
        <v>6976</v>
      </c>
      <c r="O527">
        <v>0.12</v>
      </c>
      <c r="P527">
        <v>13952</v>
      </c>
      <c r="Q527">
        <v>1674.24</v>
      </c>
      <c r="R527">
        <v>15626.24</v>
      </c>
      <c r="S527" t="s">
        <v>1362</v>
      </c>
      <c r="T527" t="s">
        <v>1361</v>
      </c>
      <c r="U527" s="4">
        <v>45559</v>
      </c>
      <c r="V527" s="4">
        <v>45560</v>
      </c>
      <c r="W527" t="b">
        <v>0</v>
      </c>
      <c r="Z527" t="s">
        <v>1396</v>
      </c>
      <c r="AA527" t="s">
        <v>1394</v>
      </c>
      <c r="AB527" t="s">
        <v>1389</v>
      </c>
    </row>
    <row r="528" spans="1:28" x14ac:dyDescent="0.3">
      <c r="A528" t="s">
        <v>832</v>
      </c>
      <c r="B528" s="6">
        <v>45417.761111111111</v>
      </c>
      <c r="C528" t="s">
        <v>320</v>
      </c>
      <c r="D528" t="s">
        <v>1153</v>
      </c>
      <c r="E528" t="s">
        <v>1162</v>
      </c>
      <c r="F528" t="s">
        <v>1143</v>
      </c>
      <c r="G528" t="s">
        <v>1144</v>
      </c>
      <c r="H528" t="s">
        <v>1145</v>
      </c>
      <c r="I528" t="s">
        <v>1146</v>
      </c>
      <c r="J528" t="s">
        <v>1147</v>
      </c>
      <c r="K528">
        <v>3</v>
      </c>
      <c r="L528">
        <v>3588</v>
      </c>
      <c r="M528">
        <v>0.05</v>
      </c>
      <c r="N528">
        <v>3408.6</v>
      </c>
      <c r="O528">
        <v>0.18</v>
      </c>
      <c r="P528">
        <v>10225.799999999999</v>
      </c>
      <c r="Q528">
        <v>1840.644</v>
      </c>
      <c r="R528">
        <v>12066.444</v>
      </c>
      <c r="S528" t="s">
        <v>1363</v>
      </c>
      <c r="T528" t="s">
        <v>1361</v>
      </c>
      <c r="U528" s="4">
        <v>45419</v>
      </c>
      <c r="V528" s="4">
        <v>45424</v>
      </c>
      <c r="W528" t="b">
        <v>0</v>
      </c>
      <c r="Z528" t="s">
        <v>1386</v>
      </c>
      <c r="AA528" t="s">
        <v>1399</v>
      </c>
      <c r="AB528" t="s">
        <v>1380</v>
      </c>
    </row>
    <row r="529" spans="1:28" x14ac:dyDescent="0.3">
      <c r="A529" t="s">
        <v>833</v>
      </c>
      <c r="B529" s="6">
        <v>45751.550694444442</v>
      </c>
      <c r="C529" t="s">
        <v>462</v>
      </c>
      <c r="D529" t="s">
        <v>1148</v>
      </c>
      <c r="E529" t="s">
        <v>1149</v>
      </c>
      <c r="F529" t="s">
        <v>1143</v>
      </c>
      <c r="G529" t="s">
        <v>1144</v>
      </c>
      <c r="H529" t="s">
        <v>1214</v>
      </c>
      <c r="I529" t="s">
        <v>1215</v>
      </c>
      <c r="J529" t="s">
        <v>1216</v>
      </c>
      <c r="K529">
        <v>1</v>
      </c>
      <c r="L529">
        <v>8683</v>
      </c>
      <c r="M529">
        <v>0.05</v>
      </c>
      <c r="N529">
        <v>8248.85</v>
      </c>
      <c r="O529">
        <v>0.18</v>
      </c>
      <c r="P529">
        <v>8248.85</v>
      </c>
      <c r="Q529">
        <v>1484.7929999999999</v>
      </c>
      <c r="R529">
        <v>9733.643</v>
      </c>
      <c r="S529" t="s">
        <v>1366</v>
      </c>
      <c r="T529" t="s">
        <v>1367</v>
      </c>
      <c r="U529" s="4">
        <v>45753</v>
      </c>
      <c r="W529" t="b">
        <v>0</v>
      </c>
      <c r="Z529" t="s">
        <v>1388</v>
      </c>
      <c r="AA529" t="s">
        <v>1387</v>
      </c>
      <c r="AB529" t="s">
        <v>1393</v>
      </c>
    </row>
    <row r="530" spans="1:28" x14ac:dyDescent="0.3">
      <c r="A530" t="s">
        <v>840</v>
      </c>
      <c r="B530" s="6">
        <v>45623.51458333333</v>
      </c>
      <c r="C530" t="s">
        <v>510</v>
      </c>
      <c r="D530" t="s">
        <v>1153</v>
      </c>
      <c r="E530" t="s">
        <v>1191</v>
      </c>
      <c r="F530" t="s">
        <v>1143</v>
      </c>
      <c r="G530" t="s">
        <v>1167</v>
      </c>
      <c r="H530" t="s">
        <v>1168</v>
      </c>
      <c r="I530" t="s">
        <v>1314</v>
      </c>
      <c r="J530" t="s">
        <v>1315</v>
      </c>
      <c r="K530">
        <v>2</v>
      </c>
      <c r="L530">
        <v>57810</v>
      </c>
      <c r="M530">
        <v>0.05</v>
      </c>
      <c r="N530">
        <v>54919.5</v>
      </c>
      <c r="O530">
        <v>0.12</v>
      </c>
      <c r="P530">
        <v>109839</v>
      </c>
      <c r="Q530">
        <v>13180.68</v>
      </c>
      <c r="R530">
        <v>123019.68</v>
      </c>
      <c r="S530" t="s">
        <v>1366</v>
      </c>
      <c r="T530" t="s">
        <v>1368</v>
      </c>
      <c r="U530" s="4">
        <v>45623</v>
      </c>
      <c r="W530" t="b">
        <v>0</v>
      </c>
      <c r="Z530" t="s">
        <v>1390</v>
      </c>
      <c r="AA530" t="s">
        <v>1394</v>
      </c>
      <c r="AB530" t="s">
        <v>1389</v>
      </c>
    </row>
    <row r="531" spans="1:28" x14ac:dyDescent="0.3">
      <c r="A531" t="s">
        <v>844</v>
      </c>
      <c r="B531" s="6">
        <v>45770.430555555555</v>
      </c>
      <c r="C531" t="s">
        <v>183</v>
      </c>
      <c r="D531" t="s">
        <v>1182</v>
      </c>
      <c r="E531" t="s">
        <v>1256</v>
      </c>
      <c r="F531" t="s">
        <v>1143</v>
      </c>
      <c r="G531" t="s">
        <v>1172</v>
      </c>
      <c r="H531" t="s">
        <v>1173</v>
      </c>
      <c r="I531" t="s">
        <v>1342</v>
      </c>
      <c r="J531" t="s">
        <v>1343</v>
      </c>
      <c r="K531">
        <v>1</v>
      </c>
      <c r="L531">
        <v>9975</v>
      </c>
      <c r="M531">
        <v>0.2</v>
      </c>
      <c r="N531">
        <v>7980</v>
      </c>
      <c r="O531">
        <v>0.18</v>
      </c>
      <c r="P531">
        <v>7980</v>
      </c>
      <c r="Q531">
        <v>1436.4</v>
      </c>
      <c r="R531">
        <v>9416.4</v>
      </c>
      <c r="S531" t="s">
        <v>1363</v>
      </c>
      <c r="T531" t="s">
        <v>1367</v>
      </c>
      <c r="U531" s="4">
        <v>45770</v>
      </c>
      <c r="W531" t="b">
        <v>0</v>
      </c>
      <c r="Z531" t="s">
        <v>1386</v>
      </c>
      <c r="AA531" t="s">
        <v>1387</v>
      </c>
      <c r="AB531" t="s">
        <v>1389</v>
      </c>
    </row>
    <row r="532" spans="1:28" x14ac:dyDescent="0.3">
      <c r="A532" t="s">
        <v>845</v>
      </c>
      <c r="B532" s="6">
        <v>45525.529166666667</v>
      </c>
      <c r="C532" t="s">
        <v>781</v>
      </c>
      <c r="D532" t="s">
        <v>1153</v>
      </c>
      <c r="E532" t="s">
        <v>1191</v>
      </c>
      <c r="F532" t="s">
        <v>1143</v>
      </c>
      <c r="G532" t="s">
        <v>1163</v>
      </c>
      <c r="H532" t="s">
        <v>1240</v>
      </c>
      <c r="I532" t="s">
        <v>1247</v>
      </c>
      <c r="J532" t="s">
        <v>1248</v>
      </c>
      <c r="K532">
        <v>3</v>
      </c>
      <c r="L532">
        <v>1027</v>
      </c>
      <c r="M532">
        <v>0</v>
      </c>
      <c r="N532">
        <v>1027</v>
      </c>
      <c r="O532">
        <v>0.12</v>
      </c>
      <c r="P532">
        <v>3081</v>
      </c>
      <c r="Q532">
        <v>369.72</v>
      </c>
      <c r="R532">
        <v>3450.72</v>
      </c>
      <c r="S532" t="s">
        <v>1363</v>
      </c>
      <c r="T532" t="s">
        <v>1361</v>
      </c>
      <c r="U532" s="4">
        <v>45526</v>
      </c>
      <c r="V532" s="4">
        <v>45527</v>
      </c>
      <c r="W532" t="b">
        <v>0</v>
      </c>
      <c r="Z532" t="s">
        <v>1398</v>
      </c>
      <c r="AA532" t="s">
        <v>1400</v>
      </c>
      <c r="AB532" t="s">
        <v>1378</v>
      </c>
    </row>
    <row r="533" spans="1:28" x14ac:dyDescent="0.3">
      <c r="A533" t="s">
        <v>846</v>
      </c>
      <c r="B533" s="6">
        <v>45293.506249999999</v>
      </c>
      <c r="C533" t="s">
        <v>223</v>
      </c>
      <c r="D533" t="s">
        <v>1148</v>
      </c>
      <c r="E533" t="s">
        <v>1149</v>
      </c>
      <c r="F533" t="s">
        <v>1143</v>
      </c>
      <c r="G533" t="s">
        <v>1144</v>
      </c>
      <c r="H533" t="s">
        <v>1214</v>
      </c>
      <c r="I533" t="s">
        <v>1215</v>
      </c>
      <c r="J533" t="s">
        <v>1216</v>
      </c>
      <c r="K533">
        <v>1</v>
      </c>
      <c r="L533">
        <v>12221</v>
      </c>
      <c r="M533">
        <v>0.05</v>
      </c>
      <c r="N533">
        <v>11609.95</v>
      </c>
      <c r="O533">
        <v>0.12</v>
      </c>
      <c r="P533">
        <v>11609.95</v>
      </c>
      <c r="Q533">
        <v>1393.194</v>
      </c>
      <c r="R533">
        <v>13003.144</v>
      </c>
      <c r="S533" t="s">
        <v>1365</v>
      </c>
      <c r="T533" t="s">
        <v>1364</v>
      </c>
      <c r="U533" s="4">
        <v>45295</v>
      </c>
      <c r="W533" t="b">
        <v>1</v>
      </c>
      <c r="X533" s="4">
        <v>45306</v>
      </c>
      <c r="Y533" s="4">
        <v>45306</v>
      </c>
      <c r="Z533" t="s">
        <v>1392</v>
      </c>
      <c r="AA533" t="s">
        <v>1387</v>
      </c>
      <c r="AB533" t="s">
        <v>1391</v>
      </c>
    </row>
    <row r="534" spans="1:28" x14ac:dyDescent="0.3">
      <c r="A534" t="s">
        <v>850</v>
      </c>
      <c r="B534" s="6">
        <v>45589.439583333333</v>
      </c>
      <c r="C534" t="s">
        <v>283</v>
      </c>
      <c r="D534" t="s">
        <v>1148</v>
      </c>
      <c r="E534" t="s">
        <v>1262</v>
      </c>
      <c r="F534" t="s">
        <v>1143</v>
      </c>
      <c r="G534" t="s">
        <v>1172</v>
      </c>
      <c r="H534" t="s">
        <v>1229</v>
      </c>
      <c r="I534" t="s">
        <v>1230</v>
      </c>
      <c r="J534" t="s">
        <v>1231</v>
      </c>
      <c r="K534">
        <v>5</v>
      </c>
      <c r="L534">
        <v>4516</v>
      </c>
      <c r="M534">
        <v>0</v>
      </c>
      <c r="N534">
        <v>4516</v>
      </c>
      <c r="O534">
        <v>0.12</v>
      </c>
      <c r="P534">
        <v>22580</v>
      </c>
      <c r="Q534">
        <v>2709.6</v>
      </c>
      <c r="R534">
        <v>25289.599999999999</v>
      </c>
      <c r="S534" t="s">
        <v>1365</v>
      </c>
      <c r="T534" t="s">
        <v>1361</v>
      </c>
      <c r="U534" s="4">
        <v>45591</v>
      </c>
      <c r="V534" s="4">
        <v>45592</v>
      </c>
      <c r="W534" t="b">
        <v>0</v>
      </c>
      <c r="Z534" t="s">
        <v>1396</v>
      </c>
      <c r="AA534" t="s">
        <v>1385</v>
      </c>
      <c r="AB534" t="s">
        <v>1380</v>
      </c>
    </row>
    <row r="535" spans="1:28" x14ac:dyDescent="0.3">
      <c r="A535" t="s">
        <v>851</v>
      </c>
      <c r="B535" s="6">
        <v>45485.461111111108</v>
      </c>
      <c r="C535" t="s">
        <v>444</v>
      </c>
      <c r="D535" t="s">
        <v>1157</v>
      </c>
      <c r="E535" t="s">
        <v>1158</v>
      </c>
      <c r="F535" t="s">
        <v>1143</v>
      </c>
      <c r="G535" t="s">
        <v>1163</v>
      </c>
      <c r="H535" t="s">
        <v>1184</v>
      </c>
      <c r="I535" t="s">
        <v>1185</v>
      </c>
      <c r="J535" t="s">
        <v>1186</v>
      </c>
      <c r="K535">
        <v>2</v>
      </c>
      <c r="L535">
        <v>665</v>
      </c>
      <c r="M535">
        <v>0.15</v>
      </c>
      <c r="N535">
        <v>565.25</v>
      </c>
      <c r="O535">
        <v>0.12</v>
      </c>
      <c r="P535">
        <v>1130.5</v>
      </c>
      <c r="Q535">
        <v>135.66</v>
      </c>
      <c r="R535">
        <v>1266.1600000000001</v>
      </c>
      <c r="S535" t="s">
        <v>1365</v>
      </c>
      <c r="T535" t="s">
        <v>1361</v>
      </c>
      <c r="U535" s="4">
        <v>45485</v>
      </c>
      <c r="V535" s="4">
        <v>45489</v>
      </c>
      <c r="W535" t="b">
        <v>0</v>
      </c>
      <c r="Z535" t="s">
        <v>1396</v>
      </c>
      <c r="AA535" t="s">
        <v>1400</v>
      </c>
      <c r="AB535" t="s">
        <v>1380</v>
      </c>
    </row>
    <row r="536" spans="1:28" x14ac:dyDescent="0.3">
      <c r="A536" t="s">
        <v>852</v>
      </c>
      <c r="B536" s="6">
        <v>45529.547222222223</v>
      </c>
      <c r="C536" t="s">
        <v>378</v>
      </c>
      <c r="D536" t="s">
        <v>1157</v>
      </c>
      <c r="E536" t="s">
        <v>1158</v>
      </c>
      <c r="F536" t="s">
        <v>1143</v>
      </c>
      <c r="G536" t="s">
        <v>1177</v>
      </c>
      <c r="H536" t="s">
        <v>1178</v>
      </c>
      <c r="I536" t="s">
        <v>1179</v>
      </c>
      <c r="J536" t="s">
        <v>1180</v>
      </c>
      <c r="K536">
        <v>1</v>
      </c>
      <c r="L536">
        <v>629</v>
      </c>
      <c r="M536">
        <v>0.2</v>
      </c>
      <c r="N536">
        <v>503.2</v>
      </c>
      <c r="O536">
        <v>0.05</v>
      </c>
      <c r="P536">
        <v>503.2</v>
      </c>
      <c r="Q536">
        <v>25.16</v>
      </c>
      <c r="R536">
        <v>528.36</v>
      </c>
      <c r="S536" t="s">
        <v>1363</v>
      </c>
      <c r="T536" t="s">
        <v>1361</v>
      </c>
      <c r="U536" s="4">
        <v>45529</v>
      </c>
      <c r="V536" s="4">
        <v>45530</v>
      </c>
      <c r="W536" t="b">
        <v>0</v>
      </c>
      <c r="Z536" t="s">
        <v>1376</v>
      </c>
      <c r="AA536" t="s">
        <v>1397</v>
      </c>
      <c r="AB536" t="s">
        <v>1389</v>
      </c>
    </row>
    <row r="537" spans="1:28" x14ac:dyDescent="0.3">
      <c r="A537" t="s">
        <v>855</v>
      </c>
      <c r="B537" s="6">
        <v>45451.661111111112</v>
      </c>
      <c r="C537" t="s">
        <v>169</v>
      </c>
      <c r="D537" t="s">
        <v>1148</v>
      </c>
      <c r="E537" t="s">
        <v>1149</v>
      </c>
      <c r="F537" t="s">
        <v>1143</v>
      </c>
      <c r="G537" t="s">
        <v>1167</v>
      </c>
      <c r="H537" t="s">
        <v>1208</v>
      </c>
      <c r="I537" t="s">
        <v>1209</v>
      </c>
      <c r="J537" t="s">
        <v>1210</v>
      </c>
      <c r="K537">
        <v>1</v>
      </c>
      <c r="L537">
        <v>33849</v>
      </c>
      <c r="M537">
        <v>0.05</v>
      </c>
      <c r="N537">
        <v>32156.55</v>
      </c>
      <c r="O537">
        <v>0.05</v>
      </c>
      <c r="P537">
        <v>32156.55</v>
      </c>
      <c r="Q537">
        <v>1607.8275000000001</v>
      </c>
      <c r="R537">
        <v>33764.377500000002</v>
      </c>
      <c r="S537" t="s">
        <v>1363</v>
      </c>
      <c r="T537" t="s">
        <v>1361</v>
      </c>
      <c r="U537" s="4">
        <v>45452</v>
      </c>
      <c r="V537" s="4">
        <v>45456</v>
      </c>
      <c r="W537" t="b">
        <v>0</v>
      </c>
      <c r="Z537" t="s">
        <v>1376</v>
      </c>
      <c r="AA537" t="s">
        <v>1385</v>
      </c>
      <c r="AB537" t="s">
        <v>1393</v>
      </c>
    </row>
    <row r="538" spans="1:28" x14ac:dyDescent="0.3">
      <c r="A538" t="s">
        <v>856</v>
      </c>
      <c r="B538" s="6">
        <v>45602.539583333331</v>
      </c>
      <c r="C538" t="s">
        <v>81</v>
      </c>
      <c r="D538" t="s">
        <v>1148</v>
      </c>
      <c r="E538" t="s">
        <v>1149</v>
      </c>
      <c r="F538" t="s">
        <v>1143</v>
      </c>
      <c r="G538" t="s">
        <v>1144</v>
      </c>
      <c r="H538" t="s">
        <v>1145</v>
      </c>
      <c r="I538" t="s">
        <v>1155</v>
      </c>
      <c r="J538" t="s">
        <v>1156</v>
      </c>
      <c r="K538">
        <v>2</v>
      </c>
      <c r="L538">
        <v>13718</v>
      </c>
      <c r="M538">
        <v>0</v>
      </c>
      <c r="N538">
        <v>13718</v>
      </c>
      <c r="O538">
        <v>0.12</v>
      </c>
      <c r="P538">
        <v>27436</v>
      </c>
      <c r="Q538">
        <v>3292.32</v>
      </c>
      <c r="R538">
        <v>30728.32</v>
      </c>
      <c r="S538" t="s">
        <v>1363</v>
      </c>
      <c r="T538" t="s">
        <v>1361</v>
      </c>
      <c r="U538" s="4">
        <v>45604</v>
      </c>
      <c r="V538" s="4">
        <v>45608</v>
      </c>
      <c r="W538" t="b">
        <v>0</v>
      </c>
      <c r="Z538" t="s">
        <v>1388</v>
      </c>
      <c r="AA538" t="s">
        <v>1399</v>
      </c>
      <c r="AB538" t="s">
        <v>1378</v>
      </c>
    </row>
    <row r="539" spans="1:28" x14ac:dyDescent="0.3">
      <c r="A539" t="s">
        <v>860</v>
      </c>
      <c r="B539" s="6">
        <v>45761.570833333331</v>
      </c>
      <c r="C539" t="s">
        <v>290</v>
      </c>
      <c r="D539" t="s">
        <v>1141</v>
      </c>
      <c r="E539" t="s">
        <v>1227</v>
      </c>
      <c r="F539" t="s">
        <v>1143</v>
      </c>
      <c r="G539" t="s">
        <v>1167</v>
      </c>
      <c r="H539" t="s">
        <v>1288</v>
      </c>
      <c r="I539" t="s">
        <v>1336</v>
      </c>
      <c r="J539" t="s">
        <v>1337</v>
      </c>
      <c r="K539">
        <v>3</v>
      </c>
      <c r="L539">
        <v>17655</v>
      </c>
      <c r="M539">
        <v>0</v>
      </c>
      <c r="N539">
        <v>17655</v>
      </c>
      <c r="O539">
        <v>0.05</v>
      </c>
      <c r="P539">
        <v>52965</v>
      </c>
      <c r="Q539">
        <v>2648.25</v>
      </c>
      <c r="R539">
        <v>55613.25</v>
      </c>
      <c r="S539" t="s">
        <v>1360</v>
      </c>
      <c r="T539" t="s">
        <v>1361</v>
      </c>
      <c r="U539" s="4">
        <v>45761</v>
      </c>
      <c r="V539" s="4">
        <v>45762</v>
      </c>
      <c r="W539" t="b">
        <v>0</v>
      </c>
      <c r="Z539" t="s">
        <v>1379</v>
      </c>
      <c r="AA539" t="s">
        <v>1400</v>
      </c>
      <c r="AB539" t="s">
        <v>1391</v>
      </c>
    </row>
    <row r="540" spans="1:28" x14ac:dyDescent="0.3">
      <c r="A540" t="s">
        <v>861</v>
      </c>
      <c r="B540" s="6">
        <v>45486.566666666666</v>
      </c>
      <c r="C540" t="s">
        <v>155</v>
      </c>
      <c r="D540" t="s">
        <v>1157</v>
      </c>
      <c r="E540" t="s">
        <v>1158</v>
      </c>
      <c r="F540" t="s">
        <v>1143</v>
      </c>
      <c r="G540" t="s">
        <v>1144</v>
      </c>
      <c r="H540" t="s">
        <v>1159</v>
      </c>
      <c r="I540" t="s">
        <v>1160</v>
      </c>
      <c r="J540" t="s">
        <v>1161</v>
      </c>
      <c r="K540">
        <v>1</v>
      </c>
      <c r="L540">
        <v>1496</v>
      </c>
      <c r="M540">
        <v>0.15</v>
      </c>
      <c r="N540">
        <v>1271.5999999999999</v>
      </c>
      <c r="O540">
        <v>0.12</v>
      </c>
      <c r="P540">
        <v>1271.5999999999999</v>
      </c>
      <c r="Q540">
        <v>152.59200000000001</v>
      </c>
      <c r="R540">
        <v>1424.192</v>
      </c>
      <c r="S540" t="s">
        <v>1363</v>
      </c>
      <c r="T540" t="s">
        <v>1367</v>
      </c>
      <c r="U540" s="4">
        <v>45486</v>
      </c>
      <c r="W540" t="b">
        <v>0</v>
      </c>
      <c r="Z540" t="s">
        <v>1379</v>
      </c>
      <c r="AA540" t="s">
        <v>1397</v>
      </c>
      <c r="AB540" t="s">
        <v>1389</v>
      </c>
    </row>
    <row r="541" spans="1:28" x14ac:dyDescent="0.3">
      <c r="A541" t="s">
        <v>862</v>
      </c>
      <c r="B541" s="6">
        <v>45625.452777777777</v>
      </c>
      <c r="C541" t="s">
        <v>57</v>
      </c>
      <c r="D541" t="s">
        <v>1153</v>
      </c>
      <c r="E541" t="s">
        <v>1176</v>
      </c>
      <c r="F541" t="s">
        <v>1143</v>
      </c>
      <c r="G541" t="s">
        <v>1172</v>
      </c>
      <c r="H541" t="s">
        <v>1229</v>
      </c>
      <c r="I541" t="s">
        <v>1230</v>
      </c>
      <c r="J541" t="s">
        <v>1231</v>
      </c>
      <c r="K541">
        <v>2</v>
      </c>
      <c r="L541">
        <v>3353</v>
      </c>
      <c r="M541">
        <v>0</v>
      </c>
      <c r="N541">
        <v>3353</v>
      </c>
      <c r="O541">
        <v>0.12</v>
      </c>
      <c r="P541">
        <v>6706</v>
      </c>
      <c r="Q541">
        <v>804.71999999999991</v>
      </c>
      <c r="R541">
        <v>7510.72</v>
      </c>
      <c r="S541" t="s">
        <v>1360</v>
      </c>
      <c r="T541" t="s">
        <v>1361</v>
      </c>
      <c r="U541" s="4">
        <v>45626</v>
      </c>
      <c r="V541" s="4">
        <v>45630</v>
      </c>
      <c r="W541" t="b">
        <v>0</v>
      </c>
      <c r="Z541" t="s">
        <v>1396</v>
      </c>
      <c r="AA541" t="s">
        <v>1385</v>
      </c>
      <c r="AB541" t="s">
        <v>1383</v>
      </c>
    </row>
    <row r="542" spans="1:28" x14ac:dyDescent="0.3">
      <c r="A542" t="s">
        <v>864</v>
      </c>
      <c r="B542" s="6">
        <v>45293.602777777778</v>
      </c>
      <c r="C542" t="s">
        <v>382</v>
      </c>
      <c r="D542" t="s">
        <v>1157</v>
      </c>
      <c r="E542" t="s">
        <v>1158</v>
      </c>
      <c r="F542" t="s">
        <v>1143</v>
      </c>
      <c r="G542" t="s">
        <v>1144</v>
      </c>
      <c r="H542" t="s">
        <v>1276</v>
      </c>
      <c r="I542" t="s">
        <v>1307</v>
      </c>
      <c r="J542" t="s">
        <v>1308</v>
      </c>
      <c r="K542">
        <v>4</v>
      </c>
      <c r="L542">
        <v>4956</v>
      </c>
      <c r="M542">
        <v>0.1</v>
      </c>
      <c r="N542">
        <v>4460.4000000000005</v>
      </c>
      <c r="O542">
        <v>0.12</v>
      </c>
      <c r="P542">
        <v>17841.599999999999</v>
      </c>
      <c r="Q542">
        <v>2140.9920000000002</v>
      </c>
      <c r="R542">
        <v>19982.592000000001</v>
      </c>
      <c r="S542" t="s">
        <v>1362</v>
      </c>
      <c r="T542" t="s">
        <v>1361</v>
      </c>
      <c r="U542" s="4">
        <v>45295</v>
      </c>
      <c r="V542" s="4">
        <v>45296</v>
      </c>
      <c r="W542" t="b">
        <v>0</v>
      </c>
      <c r="Z542" t="s">
        <v>1396</v>
      </c>
      <c r="AA542" t="s">
        <v>1399</v>
      </c>
      <c r="AB542" t="s">
        <v>1378</v>
      </c>
    </row>
    <row r="543" spans="1:28" x14ac:dyDescent="0.3">
      <c r="A543" t="s">
        <v>865</v>
      </c>
      <c r="B543" s="6">
        <v>45344.636805555558</v>
      </c>
      <c r="C543" t="s">
        <v>6</v>
      </c>
      <c r="D543" t="s">
        <v>1148</v>
      </c>
      <c r="E543" t="s">
        <v>1149</v>
      </c>
      <c r="F543" t="s">
        <v>1143</v>
      </c>
      <c r="G543" t="s">
        <v>1163</v>
      </c>
      <c r="H543" t="s">
        <v>1224</v>
      </c>
      <c r="I543" t="s">
        <v>1243</v>
      </c>
      <c r="J543" t="s">
        <v>1244</v>
      </c>
      <c r="K543">
        <v>3</v>
      </c>
      <c r="L543">
        <v>997</v>
      </c>
      <c r="M543">
        <v>0.15</v>
      </c>
      <c r="N543">
        <v>847.44999999999993</v>
      </c>
      <c r="O543">
        <v>0.12</v>
      </c>
      <c r="P543">
        <v>2542.35</v>
      </c>
      <c r="Q543">
        <v>305.08199999999999</v>
      </c>
      <c r="R543">
        <v>2847.4319999999998</v>
      </c>
      <c r="S543" t="s">
        <v>1365</v>
      </c>
      <c r="T543" t="s">
        <v>1361</v>
      </c>
      <c r="U543" s="4">
        <v>45345</v>
      </c>
      <c r="V543" s="4">
        <v>45346</v>
      </c>
      <c r="W543" t="b">
        <v>0</v>
      </c>
      <c r="Z543" t="s">
        <v>1386</v>
      </c>
      <c r="AA543" t="s">
        <v>1394</v>
      </c>
      <c r="AB543" t="s">
        <v>1391</v>
      </c>
    </row>
    <row r="544" spans="1:28" x14ac:dyDescent="0.3">
      <c r="A544" t="s">
        <v>867</v>
      </c>
      <c r="B544" s="6">
        <v>45386.523611111108</v>
      </c>
      <c r="C544" t="s">
        <v>146</v>
      </c>
      <c r="D544" t="s">
        <v>1148</v>
      </c>
      <c r="E544" t="s">
        <v>1149</v>
      </c>
      <c r="F544" t="s">
        <v>1143</v>
      </c>
      <c r="G544" t="s">
        <v>1144</v>
      </c>
      <c r="H544" t="s">
        <v>1159</v>
      </c>
      <c r="I544" t="s">
        <v>1272</v>
      </c>
      <c r="J544" t="s">
        <v>1273</v>
      </c>
      <c r="K544">
        <v>1</v>
      </c>
      <c r="L544">
        <v>6730</v>
      </c>
      <c r="M544">
        <v>0</v>
      </c>
      <c r="N544">
        <v>6730</v>
      </c>
      <c r="O544">
        <v>0.12</v>
      </c>
      <c r="P544">
        <v>6730</v>
      </c>
      <c r="Q544">
        <v>807.6</v>
      </c>
      <c r="R544">
        <v>7537.6</v>
      </c>
      <c r="S544" t="s">
        <v>1365</v>
      </c>
      <c r="T544" t="s">
        <v>1367</v>
      </c>
      <c r="U544" s="4">
        <v>45387</v>
      </c>
      <c r="W544" t="b">
        <v>0</v>
      </c>
      <c r="Z544" t="s">
        <v>1388</v>
      </c>
      <c r="AA544" t="s">
        <v>1397</v>
      </c>
      <c r="AB544" t="s">
        <v>1391</v>
      </c>
    </row>
    <row r="545" spans="1:28" x14ac:dyDescent="0.3">
      <c r="A545" t="s">
        <v>868</v>
      </c>
      <c r="B545" s="6">
        <v>45630.519444444442</v>
      </c>
      <c r="C545" t="s">
        <v>869</v>
      </c>
      <c r="D545" t="s">
        <v>1157</v>
      </c>
      <c r="E545" t="s">
        <v>1158</v>
      </c>
      <c r="F545" t="s">
        <v>1143</v>
      </c>
      <c r="G545" t="s">
        <v>1144</v>
      </c>
      <c r="H545" t="s">
        <v>1269</v>
      </c>
      <c r="I545" t="s">
        <v>1270</v>
      </c>
      <c r="J545" t="s">
        <v>1271</v>
      </c>
      <c r="K545">
        <v>3</v>
      </c>
      <c r="L545">
        <v>3958</v>
      </c>
      <c r="M545">
        <v>0.1</v>
      </c>
      <c r="N545">
        <v>3562.2</v>
      </c>
      <c r="O545">
        <v>0.18</v>
      </c>
      <c r="P545">
        <v>10686.6</v>
      </c>
      <c r="Q545">
        <v>1923.588</v>
      </c>
      <c r="R545">
        <v>12610.188</v>
      </c>
      <c r="S545" t="s">
        <v>1365</v>
      </c>
      <c r="T545" t="s">
        <v>1361</v>
      </c>
      <c r="U545" s="4">
        <v>45631</v>
      </c>
      <c r="V545" s="4">
        <v>45633</v>
      </c>
      <c r="W545" t="b">
        <v>0</v>
      </c>
      <c r="Z545" t="s">
        <v>1376</v>
      </c>
      <c r="AA545" t="s">
        <v>1377</v>
      </c>
      <c r="AB545" t="s">
        <v>1391</v>
      </c>
    </row>
    <row r="546" spans="1:28" x14ac:dyDescent="0.3">
      <c r="A546" t="s">
        <v>871</v>
      </c>
      <c r="B546" s="6">
        <v>45448.584722222222</v>
      </c>
      <c r="C546" t="s">
        <v>137</v>
      </c>
      <c r="D546" t="s">
        <v>1182</v>
      </c>
      <c r="E546" t="s">
        <v>1183</v>
      </c>
      <c r="F546" t="s">
        <v>1143</v>
      </c>
      <c r="G546" t="s">
        <v>1177</v>
      </c>
      <c r="H546" t="s">
        <v>1236</v>
      </c>
      <c r="I546" t="s">
        <v>1237</v>
      </c>
      <c r="J546" t="s">
        <v>1238</v>
      </c>
      <c r="K546">
        <v>2</v>
      </c>
      <c r="L546">
        <v>2456</v>
      </c>
      <c r="M546">
        <v>0</v>
      </c>
      <c r="N546">
        <v>2456</v>
      </c>
      <c r="O546">
        <v>0.05</v>
      </c>
      <c r="P546">
        <v>4912</v>
      </c>
      <c r="Q546">
        <v>245.6</v>
      </c>
      <c r="R546">
        <v>5157.6000000000004</v>
      </c>
      <c r="S546" t="s">
        <v>1363</v>
      </c>
      <c r="T546" t="s">
        <v>1361</v>
      </c>
      <c r="U546" s="4">
        <v>45448</v>
      </c>
      <c r="V546" s="4">
        <v>45452</v>
      </c>
      <c r="W546" t="b">
        <v>0</v>
      </c>
      <c r="Z546" t="s">
        <v>1396</v>
      </c>
      <c r="AA546" t="s">
        <v>1377</v>
      </c>
      <c r="AB546" t="s">
        <v>1380</v>
      </c>
    </row>
    <row r="547" spans="1:28" x14ac:dyDescent="0.3">
      <c r="A547" t="s">
        <v>872</v>
      </c>
      <c r="B547" s="6">
        <v>45296.595833333333</v>
      </c>
      <c r="C547" t="s">
        <v>330</v>
      </c>
      <c r="D547" t="s">
        <v>1153</v>
      </c>
      <c r="E547" t="s">
        <v>1162</v>
      </c>
      <c r="F547" t="s">
        <v>1143</v>
      </c>
      <c r="G547" t="s">
        <v>1167</v>
      </c>
      <c r="H547" t="s">
        <v>1288</v>
      </c>
      <c r="I547" t="s">
        <v>1336</v>
      </c>
      <c r="J547" t="s">
        <v>1337</v>
      </c>
      <c r="K547">
        <v>4</v>
      </c>
      <c r="L547">
        <v>37105</v>
      </c>
      <c r="M547">
        <v>0.1</v>
      </c>
      <c r="N547">
        <v>33394.5</v>
      </c>
      <c r="O547">
        <v>0.18</v>
      </c>
      <c r="P547">
        <v>133578</v>
      </c>
      <c r="Q547">
        <v>24044.04</v>
      </c>
      <c r="R547">
        <v>157622.04</v>
      </c>
      <c r="S547" t="s">
        <v>1366</v>
      </c>
      <c r="T547" t="s">
        <v>1361</v>
      </c>
      <c r="U547" s="4">
        <v>45298</v>
      </c>
      <c r="V547" s="4">
        <v>45301</v>
      </c>
      <c r="W547" t="b">
        <v>0</v>
      </c>
      <c r="Z547" t="s">
        <v>1398</v>
      </c>
      <c r="AA547" t="s">
        <v>1399</v>
      </c>
      <c r="AB547" t="s">
        <v>1383</v>
      </c>
    </row>
    <row r="548" spans="1:28" x14ac:dyDescent="0.3">
      <c r="A548" t="s">
        <v>874</v>
      </c>
      <c r="B548" s="6">
        <v>45515.515972222223</v>
      </c>
      <c r="C548" t="s">
        <v>610</v>
      </c>
      <c r="D548" t="s">
        <v>1157</v>
      </c>
      <c r="E548" t="s">
        <v>1181</v>
      </c>
      <c r="F548" t="s">
        <v>1143</v>
      </c>
      <c r="G548" t="s">
        <v>1177</v>
      </c>
      <c r="H548" t="s">
        <v>1236</v>
      </c>
      <c r="I548" t="s">
        <v>1237</v>
      </c>
      <c r="J548" t="s">
        <v>1238</v>
      </c>
      <c r="K548">
        <v>3</v>
      </c>
      <c r="L548">
        <v>2964</v>
      </c>
      <c r="M548">
        <v>0</v>
      </c>
      <c r="N548">
        <v>2964</v>
      </c>
      <c r="O548">
        <v>0.18</v>
      </c>
      <c r="P548">
        <v>8892</v>
      </c>
      <c r="Q548">
        <v>1600.56</v>
      </c>
      <c r="R548">
        <v>10492.56</v>
      </c>
      <c r="S548" t="s">
        <v>1360</v>
      </c>
      <c r="T548" t="s">
        <v>1361</v>
      </c>
      <c r="U548" s="4">
        <v>45515</v>
      </c>
      <c r="V548" s="4">
        <v>45518</v>
      </c>
      <c r="W548" t="b">
        <v>0</v>
      </c>
      <c r="Z548" t="s">
        <v>1382</v>
      </c>
      <c r="AA548" t="s">
        <v>1399</v>
      </c>
      <c r="AB548" t="s">
        <v>1393</v>
      </c>
    </row>
    <row r="549" spans="1:28" x14ac:dyDescent="0.3">
      <c r="A549" t="s">
        <v>877</v>
      </c>
      <c r="B549" s="6">
        <v>45465.559027777781</v>
      </c>
      <c r="C549" t="s">
        <v>267</v>
      </c>
      <c r="D549" t="s">
        <v>1148</v>
      </c>
      <c r="E549" t="s">
        <v>1217</v>
      </c>
      <c r="F549" t="s">
        <v>1143</v>
      </c>
      <c r="G549" t="s">
        <v>1163</v>
      </c>
      <c r="H549" t="s">
        <v>1184</v>
      </c>
      <c r="I549" t="s">
        <v>1185</v>
      </c>
      <c r="J549" t="s">
        <v>1186</v>
      </c>
      <c r="K549">
        <v>3</v>
      </c>
      <c r="L549">
        <v>108</v>
      </c>
      <c r="M549">
        <v>0</v>
      </c>
      <c r="N549">
        <v>108</v>
      </c>
      <c r="O549">
        <v>0.18</v>
      </c>
      <c r="P549">
        <v>324</v>
      </c>
      <c r="Q549">
        <v>58.32</v>
      </c>
      <c r="R549">
        <v>382.32</v>
      </c>
      <c r="S549" t="s">
        <v>1366</v>
      </c>
      <c r="T549" t="s">
        <v>1367</v>
      </c>
      <c r="U549" s="4">
        <v>45466</v>
      </c>
      <c r="W549" t="b">
        <v>0</v>
      </c>
      <c r="Z549" t="s">
        <v>1376</v>
      </c>
      <c r="AA549" t="s">
        <v>1400</v>
      </c>
      <c r="AB549" t="s">
        <v>1378</v>
      </c>
    </row>
    <row r="550" spans="1:28" x14ac:dyDescent="0.3">
      <c r="A550" t="s">
        <v>878</v>
      </c>
      <c r="B550" s="6">
        <v>45622.497916666667</v>
      </c>
      <c r="C550" t="s">
        <v>545</v>
      </c>
      <c r="D550" t="s">
        <v>1148</v>
      </c>
      <c r="E550" t="s">
        <v>1171</v>
      </c>
      <c r="F550" t="s">
        <v>1143</v>
      </c>
      <c r="G550" t="s">
        <v>1177</v>
      </c>
      <c r="H550" t="s">
        <v>1195</v>
      </c>
      <c r="I550" t="s">
        <v>1218</v>
      </c>
      <c r="J550" t="s">
        <v>1219</v>
      </c>
      <c r="K550">
        <v>4</v>
      </c>
      <c r="L550">
        <v>2847</v>
      </c>
      <c r="M550">
        <v>0</v>
      </c>
      <c r="N550">
        <v>2847</v>
      </c>
      <c r="O550">
        <v>0.12</v>
      </c>
      <c r="P550">
        <v>11388</v>
      </c>
      <c r="Q550">
        <v>1366.56</v>
      </c>
      <c r="R550">
        <v>12754.56</v>
      </c>
      <c r="S550" t="s">
        <v>1363</v>
      </c>
      <c r="T550" t="s">
        <v>1361</v>
      </c>
      <c r="U550" s="4">
        <v>45623</v>
      </c>
      <c r="V550" s="4">
        <v>45628</v>
      </c>
      <c r="W550" t="b">
        <v>0</v>
      </c>
      <c r="Z550" t="s">
        <v>1398</v>
      </c>
      <c r="AA550" t="s">
        <v>1394</v>
      </c>
      <c r="AB550" t="s">
        <v>1395</v>
      </c>
    </row>
    <row r="551" spans="1:28" x14ac:dyDescent="0.3">
      <c r="A551" t="s">
        <v>879</v>
      </c>
      <c r="B551" s="6">
        <v>45586.417361111111</v>
      </c>
      <c r="C551" t="s">
        <v>368</v>
      </c>
      <c r="D551" t="s">
        <v>1153</v>
      </c>
      <c r="E551" t="s">
        <v>1191</v>
      </c>
      <c r="F551" t="s">
        <v>1143</v>
      </c>
      <c r="G551" t="s">
        <v>1144</v>
      </c>
      <c r="H551" t="s">
        <v>1145</v>
      </c>
      <c r="I551" t="s">
        <v>1151</v>
      </c>
      <c r="J551" t="s">
        <v>1152</v>
      </c>
      <c r="K551">
        <v>1</v>
      </c>
      <c r="L551">
        <v>5554</v>
      </c>
      <c r="M551">
        <v>0</v>
      </c>
      <c r="N551">
        <v>5554</v>
      </c>
      <c r="O551">
        <v>0.12</v>
      </c>
      <c r="P551">
        <v>5554</v>
      </c>
      <c r="Q551">
        <v>666.48</v>
      </c>
      <c r="R551">
        <v>6220.48</v>
      </c>
      <c r="S551" t="s">
        <v>1363</v>
      </c>
      <c r="T551" t="s">
        <v>1361</v>
      </c>
      <c r="U551" s="4">
        <v>45588</v>
      </c>
      <c r="V551" s="4">
        <v>45592</v>
      </c>
      <c r="W551" t="b">
        <v>0</v>
      </c>
      <c r="Z551" t="s">
        <v>1392</v>
      </c>
      <c r="AA551" t="s">
        <v>1397</v>
      </c>
      <c r="AB551" t="s">
        <v>1389</v>
      </c>
    </row>
    <row r="552" spans="1:28" x14ac:dyDescent="0.3">
      <c r="A552" t="s">
        <v>881</v>
      </c>
      <c r="B552" s="6">
        <v>45585.579861111109</v>
      </c>
      <c r="C552" t="s">
        <v>421</v>
      </c>
      <c r="D552" t="s">
        <v>1182</v>
      </c>
      <c r="E552" t="s">
        <v>1207</v>
      </c>
      <c r="F552" t="s">
        <v>1143</v>
      </c>
      <c r="G552" t="s">
        <v>1144</v>
      </c>
      <c r="H552" t="s">
        <v>1276</v>
      </c>
      <c r="I552" t="s">
        <v>1277</v>
      </c>
      <c r="J552" t="s">
        <v>1278</v>
      </c>
      <c r="K552">
        <v>2</v>
      </c>
      <c r="L552">
        <v>10867</v>
      </c>
      <c r="M552">
        <v>0</v>
      </c>
      <c r="N552">
        <v>10867</v>
      </c>
      <c r="O552">
        <v>0.18</v>
      </c>
      <c r="P552">
        <v>21734</v>
      </c>
      <c r="Q552">
        <v>3912.12</v>
      </c>
      <c r="R552">
        <v>25646.12</v>
      </c>
      <c r="S552" t="s">
        <v>1360</v>
      </c>
      <c r="T552" t="s">
        <v>1361</v>
      </c>
      <c r="U552" s="4">
        <v>45586</v>
      </c>
      <c r="V552" s="4">
        <v>45588</v>
      </c>
      <c r="W552" t="b">
        <v>0</v>
      </c>
      <c r="Z552" t="s">
        <v>1396</v>
      </c>
      <c r="AA552" t="s">
        <v>1377</v>
      </c>
      <c r="AB552" t="s">
        <v>1378</v>
      </c>
    </row>
    <row r="553" spans="1:28" x14ac:dyDescent="0.3">
      <c r="A553" t="s">
        <v>883</v>
      </c>
      <c r="B553" s="6">
        <v>45643.448611111111</v>
      </c>
      <c r="C553" t="s">
        <v>407</v>
      </c>
      <c r="D553" t="s">
        <v>1157</v>
      </c>
      <c r="E553" t="s">
        <v>1158</v>
      </c>
      <c r="F553" t="s">
        <v>1143</v>
      </c>
      <c r="G553" t="s">
        <v>1172</v>
      </c>
      <c r="H553" t="s">
        <v>1204</v>
      </c>
      <c r="I553" t="s">
        <v>1297</v>
      </c>
      <c r="J553" t="s">
        <v>1298</v>
      </c>
      <c r="K553">
        <v>1</v>
      </c>
      <c r="L553">
        <v>5830</v>
      </c>
      <c r="M553">
        <v>0</v>
      </c>
      <c r="N553">
        <v>5830</v>
      </c>
      <c r="O553">
        <v>0.18</v>
      </c>
      <c r="P553">
        <v>5830</v>
      </c>
      <c r="Q553">
        <v>1049.4000000000001</v>
      </c>
      <c r="R553">
        <v>6879.4</v>
      </c>
      <c r="S553" t="s">
        <v>1362</v>
      </c>
      <c r="T553" t="s">
        <v>1368</v>
      </c>
      <c r="U553" s="4">
        <v>45644</v>
      </c>
      <c r="W553" t="b">
        <v>0</v>
      </c>
      <c r="Z553" t="s">
        <v>1386</v>
      </c>
      <c r="AA553" t="s">
        <v>1385</v>
      </c>
      <c r="AB553" t="s">
        <v>1395</v>
      </c>
    </row>
    <row r="554" spans="1:28" x14ac:dyDescent="0.3">
      <c r="A554" t="s">
        <v>885</v>
      </c>
      <c r="B554" s="6">
        <v>45771.6</v>
      </c>
      <c r="C554" t="s">
        <v>148</v>
      </c>
      <c r="D554" t="s">
        <v>1153</v>
      </c>
      <c r="E554" t="s">
        <v>1162</v>
      </c>
      <c r="F554" t="s">
        <v>1143</v>
      </c>
      <c r="G554" t="s">
        <v>1144</v>
      </c>
      <c r="H554" t="s">
        <v>1159</v>
      </c>
      <c r="I554" t="s">
        <v>1160</v>
      </c>
      <c r="J554" t="s">
        <v>1161</v>
      </c>
      <c r="K554">
        <v>2</v>
      </c>
      <c r="L554">
        <v>11618</v>
      </c>
      <c r="M554">
        <v>0</v>
      </c>
      <c r="N554">
        <v>11618</v>
      </c>
      <c r="O554">
        <v>0.12</v>
      </c>
      <c r="P554">
        <v>23236</v>
      </c>
      <c r="Q554">
        <v>2788.32</v>
      </c>
      <c r="R554">
        <v>26024.32</v>
      </c>
      <c r="S554" t="s">
        <v>1363</v>
      </c>
      <c r="T554" t="s">
        <v>1369</v>
      </c>
      <c r="W554" t="b">
        <v>0</v>
      </c>
      <c r="Z554" t="s">
        <v>1386</v>
      </c>
      <c r="AA554" t="s">
        <v>1394</v>
      </c>
      <c r="AB554" t="s">
        <v>1393</v>
      </c>
    </row>
    <row r="555" spans="1:28" x14ac:dyDescent="0.3">
      <c r="A555" t="s">
        <v>887</v>
      </c>
      <c r="B555" s="6">
        <v>45493.615972222222</v>
      </c>
      <c r="C555" t="s">
        <v>10</v>
      </c>
      <c r="D555" t="s">
        <v>1157</v>
      </c>
      <c r="E555" t="s">
        <v>1158</v>
      </c>
      <c r="F555" t="s">
        <v>1143</v>
      </c>
      <c r="G555" t="s">
        <v>1172</v>
      </c>
      <c r="H555" t="s">
        <v>1198</v>
      </c>
      <c r="I555" t="s">
        <v>1250</v>
      </c>
      <c r="J555" t="s">
        <v>1251</v>
      </c>
      <c r="K555">
        <v>2</v>
      </c>
      <c r="L555">
        <v>7638</v>
      </c>
      <c r="M555">
        <v>0.1</v>
      </c>
      <c r="N555">
        <v>6874.2</v>
      </c>
      <c r="O555">
        <v>0.18</v>
      </c>
      <c r="P555">
        <v>13748.4</v>
      </c>
      <c r="Q555">
        <v>2474.712</v>
      </c>
      <c r="R555">
        <v>16223.111999999999</v>
      </c>
      <c r="S555" t="s">
        <v>1363</v>
      </c>
      <c r="T555" t="s">
        <v>1361</v>
      </c>
      <c r="U555" s="4">
        <v>45494</v>
      </c>
      <c r="V555" s="4">
        <v>45499</v>
      </c>
      <c r="W555" t="b">
        <v>0</v>
      </c>
      <c r="Z555" t="s">
        <v>1398</v>
      </c>
      <c r="AA555" t="s">
        <v>1394</v>
      </c>
      <c r="AB555" t="s">
        <v>1380</v>
      </c>
    </row>
    <row r="556" spans="1:28" x14ac:dyDescent="0.3">
      <c r="A556" t="s">
        <v>888</v>
      </c>
      <c r="B556" s="6">
        <v>45562.622916666667</v>
      </c>
      <c r="C556" t="s">
        <v>38</v>
      </c>
      <c r="D556" t="s">
        <v>1148</v>
      </c>
      <c r="E556" t="s">
        <v>1149</v>
      </c>
      <c r="F556" t="s">
        <v>1143</v>
      </c>
      <c r="G556" t="s">
        <v>1177</v>
      </c>
      <c r="H556" t="s">
        <v>1309</v>
      </c>
      <c r="I556" t="s">
        <v>1310</v>
      </c>
      <c r="J556" t="s">
        <v>1311</v>
      </c>
      <c r="K556">
        <v>2</v>
      </c>
      <c r="L556">
        <v>2267</v>
      </c>
      <c r="M556">
        <v>0</v>
      </c>
      <c r="N556">
        <v>2267</v>
      </c>
      <c r="O556">
        <v>0.12</v>
      </c>
      <c r="P556">
        <v>4534</v>
      </c>
      <c r="Q556">
        <v>544.07999999999993</v>
      </c>
      <c r="R556">
        <v>5078.08</v>
      </c>
      <c r="S556" t="s">
        <v>1360</v>
      </c>
      <c r="T556" t="s">
        <v>1364</v>
      </c>
      <c r="U556" s="4">
        <v>45564</v>
      </c>
      <c r="W556" t="b">
        <v>1</v>
      </c>
      <c r="X556" s="4">
        <v>45573</v>
      </c>
      <c r="Y556" s="4">
        <v>45573</v>
      </c>
      <c r="Z556" t="s">
        <v>1390</v>
      </c>
      <c r="AA556" t="s">
        <v>1394</v>
      </c>
      <c r="AB556" t="s">
        <v>1391</v>
      </c>
    </row>
    <row r="557" spans="1:28" x14ac:dyDescent="0.3">
      <c r="A557" t="s">
        <v>889</v>
      </c>
      <c r="B557" s="6">
        <v>45685.675000000003</v>
      </c>
      <c r="C557" t="s">
        <v>858</v>
      </c>
      <c r="D557" t="s">
        <v>1141</v>
      </c>
      <c r="E557" t="s">
        <v>1239</v>
      </c>
      <c r="F557" t="s">
        <v>1143</v>
      </c>
      <c r="G557" t="s">
        <v>1177</v>
      </c>
      <c r="H557" t="s">
        <v>1192</v>
      </c>
      <c r="I557" t="s">
        <v>1193</v>
      </c>
      <c r="J557" t="s">
        <v>1194</v>
      </c>
      <c r="K557">
        <v>1</v>
      </c>
      <c r="L557">
        <v>698</v>
      </c>
      <c r="M557">
        <v>0.1</v>
      </c>
      <c r="N557">
        <v>628.20000000000005</v>
      </c>
      <c r="O557">
        <v>0.12</v>
      </c>
      <c r="P557">
        <v>628.20000000000005</v>
      </c>
      <c r="Q557">
        <v>75.384</v>
      </c>
      <c r="R557">
        <v>703.58400000000006</v>
      </c>
      <c r="S557" t="s">
        <v>1363</v>
      </c>
      <c r="T557" t="s">
        <v>1361</v>
      </c>
      <c r="U557" s="4">
        <v>45687</v>
      </c>
      <c r="V557" s="4">
        <v>45692</v>
      </c>
      <c r="W557" t="b">
        <v>0</v>
      </c>
      <c r="Z557" t="s">
        <v>1390</v>
      </c>
      <c r="AA557" t="s">
        <v>1387</v>
      </c>
      <c r="AB557" t="s">
        <v>1383</v>
      </c>
    </row>
    <row r="558" spans="1:28" x14ac:dyDescent="0.3">
      <c r="A558" t="s">
        <v>890</v>
      </c>
      <c r="B558" s="6">
        <v>45565.408333333333</v>
      </c>
      <c r="C558" t="s">
        <v>251</v>
      </c>
      <c r="D558" t="s">
        <v>1148</v>
      </c>
      <c r="E558" t="s">
        <v>1171</v>
      </c>
      <c r="F558" t="s">
        <v>1143</v>
      </c>
      <c r="G558" t="s">
        <v>1144</v>
      </c>
      <c r="H558" t="s">
        <v>1159</v>
      </c>
      <c r="I558" t="s">
        <v>1272</v>
      </c>
      <c r="J558" t="s">
        <v>1273</v>
      </c>
      <c r="K558">
        <v>1</v>
      </c>
      <c r="L558">
        <v>5393</v>
      </c>
      <c r="M558">
        <v>0.1</v>
      </c>
      <c r="N558">
        <v>4853.7</v>
      </c>
      <c r="O558">
        <v>0.12</v>
      </c>
      <c r="P558">
        <v>4853.7</v>
      </c>
      <c r="Q558">
        <v>582.44399999999996</v>
      </c>
      <c r="R558">
        <v>5436.1440000000002</v>
      </c>
      <c r="S558" t="s">
        <v>1363</v>
      </c>
      <c r="T558" t="s">
        <v>1361</v>
      </c>
      <c r="U558" s="4">
        <v>45565</v>
      </c>
      <c r="V558" s="4">
        <v>45566</v>
      </c>
      <c r="W558" t="b">
        <v>0</v>
      </c>
      <c r="Z558" t="s">
        <v>1384</v>
      </c>
      <c r="AA558" t="s">
        <v>1399</v>
      </c>
      <c r="AB558" t="s">
        <v>1391</v>
      </c>
    </row>
    <row r="559" spans="1:28" x14ac:dyDescent="0.3">
      <c r="A559" t="s">
        <v>891</v>
      </c>
      <c r="B559" s="6">
        <v>45542.490972222222</v>
      </c>
      <c r="C559" t="s">
        <v>195</v>
      </c>
      <c r="D559" t="s">
        <v>1148</v>
      </c>
      <c r="E559" t="s">
        <v>1149</v>
      </c>
      <c r="F559" t="s">
        <v>1143</v>
      </c>
      <c r="G559" t="s">
        <v>1144</v>
      </c>
      <c r="H559" t="s">
        <v>1276</v>
      </c>
      <c r="I559" t="s">
        <v>1286</v>
      </c>
      <c r="J559" t="s">
        <v>1287</v>
      </c>
      <c r="K559">
        <v>2</v>
      </c>
      <c r="L559">
        <v>8956</v>
      </c>
      <c r="M559">
        <v>0.05</v>
      </c>
      <c r="N559">
        <v>8508.1999999999989</v>
      </c>
      <c r="O559">
        <v>0.12</v>
      </c>
      <c r="P559">
        <v>17016.400000000001</v>
      </c>
      <c r="Q559">
        <v>2041.9680000000001</v>
      </c>
      <c r="R559">
        <v>19058.367999999999</v>
      </c>
      <c r="S559" t="s">
        <v>1360</v>
      </c>
      <c r="T559" t="s">
        <v>1369</v>
      </c>
      <c r="W559" t="b">
        <v>0</v>
      </c>
      <c r="Z559" t="s">
        <v>1390</v>
      </c>
      <c r="AA559" t="s">
        <v>1399</v>
      </c>
      <c r="AB559" t="s">
        <v>1389</v>
      </c>
    </row>
    <row r="560" spans="1:28" x14ac:dyDescent="0.3">
      <c r="A560" t="s">
        <v>893</v>
      </c>
      <c r="B560" s="6">
        <v>45499.549305555556</v>
      </c>
      <c r="C560" t="s">
        <v>57</v>
      </c>
      <c r="D560" t="s">
        <v>1153</v>
      </c>
      <c r="E560" t="s">
        <v>1176</v>
      </c>
      <c r="F560" t="s">
        <v>1143</v>
      </c>
      <c r="G560" t="s">
        <v>1172</v>
      </c>
      <c r="H560" t="s">
        <v>1188</v>
      </c>
      <c r="I560" t="s">
        <v>1258</v>
      </c>
      <c r="J560" t="s">
        <v>1259</v>
      </c>
      <c r="K560">
        <v>1</v>
      </c>
      <c r="L560">
        <v>9181</v>
      </c>
      <c r="M560">
        <v>0</v>
      </c>
      <c r="N560">
        <v>9181</v>
      </c>
      <c r="O560">
        <v>0.18</v>
      </c>
      <c r="P560">
        <v>9181</v>
      </c>
      <c r="Q560">
        <v>1652.58</v>
      </c>
      <c r="R560">
        <v>10833.58</v>
      </c>
      <c r="S560" t="s">
        <v>1360</v>
      </c>
      <c r="T560" t="s">
        <v>1361</v>
      </c>
      <c r="U560" s="4">
        <v>45501</v>
      </c>
      <c r="V560" s="4">
        <v>45503</v>
      </c>
      <c r="W560" t="b">
        <v>0</v>
      </c>
      <c r="Z560" t="s">
        <v>1379</v>
      </c>
      <c r="AA560" t="s">
        <v>1377</v>
      </c>
      <c r="AB560" t="s">
        <v>1389</v>
      </c>
    </row>
    <row r="561" spans="1:28" x14ac:dyDescent="0.3">
      <c r="A561" t="s">
        <v>895</v>
      </c>
      <c r="B561" s="6">
        <v>45331.488888888889</v>
      </c>
      <c r="C561" t="s">
        <v>93</v>
      </c>
      <c r="D561" t="s">
        <v>1157</v>
      </c>
      <c r="E561" t="s">
        <v>1201</v>
      </c>
      <c r="F561" t="s">
        <v>1143</v>
      </c>
      <c r="G561" t="s">
        <v>1172</v>
      </c>
      <c r="H561" t="s">
        <v>1229</v>
      </c>
      <c r="I561" t="s">
        <v>1295</v>
      </c>
      <c r="J561" t="s">
        <v>1296</v>
      </c>
      <c r="K561">
        <v>1</v>
      </c>
      <c r="L561">
        <v>6887</v>
      </c>
      <c r="M561">
        <v>0</v>
      </c>
      <c r="N561">
        <v>6887</v>
      </c>
      <c r="O561">
        <v>0.12</v>
      </c>
      <c r="P561">
        <v>6887</v>
      </c>
      <c r="Q561">
        <v>826.43999999999994</v>
      </c>
      <c r="R561">
        <v>7713.44</v>
      </c>
      <c r="S561" t="s">
        <v>1363</v>
      </c>
      <c r="T561" t="s">
        <v>1361</v>
      </c>
      <c r="U561" s="4">
        <v>45333</v>
      </c>
      <c r="V561" s="4">
        <v>45338</v>
      </c>
      <c r="W561" t="b">
        <v>0</v>
      </c>
      <c r="Z561" t="s">
        <v>1398</v>
      </c>
      <c r="AA561" t="s">
        <v>1387</v>
      </c>
      <c r="AB561" t="s">
        <v>1393</v>
      </c>
    </row>
    <row r="562" spans="1:28" x14ac:dyDescent="0.3">
      <c r="A562" t="s">
        <v>896</v>
      </c>
      <c r="B562" s="6">
        <v>45586.456944444442</v>
      </c>
      <c r="C562" t="s">
        <v>243</v>
      </c>
      <c r="D562" t="s">
        <v>1153</v>
      </c>
      <c r="E562" t="s">
        <v>1176</v>
      </c>
      <c r="F562" t="s">
        <v>1143</v>
      </c>
      <c r="G562" t="s">
        <v>1172</v>
      </c>
      <c r="H562" t="s">
        <v>1229</v>
      </c>
      <c r="I562" t="s">
        <v>1340</v>
      </c>
      <c r="J562" t="s">
        <v>1341</v>
      </c>
      <c r="K562">
        <v>2</v>
      </c>
      <c r="L562">
        <v>5996</v>
      </c>
      <c r="M562">
        <v>0.05</v>
      </c>
      <c r="N562">
        <v>5696.2</v>
      </c>
      <c r="O562">
        <v>0.12</v>
      </c>
      <c r="P562">
        <v>11392.4</v>
      </c>
      <c r="Q562">
        <v>1367.088</v>
      </c>
      <c r="R562">
        <v>12759.487999999999</v>
      </c>
      <c r="S562" t="s">
        <v>1360</v>
      </c>
      <c r="T562" t="s">
        <v>1361</v>
      </c>
      <c r="U562" s="4">
        <v>45588</v>
      </c>
      <c r="V562" s="4">
        <v>45592</v>
      </c>
      <c r="W562" t="b">
        <v>0</v>
      </c>
      <c r="Z562" t="s">
        <v>1384</v>
      </c>
      <c r="AA562" t="s">
        <v>1385</v>
      </c>
      <c r="AB562" t="s">
        <v>1393</v>
      </c>
    </row>
    <row r="563" spans="1:28" x14ac:dyDescent="0.3">
      <c r="A563" t="s">
        <v>898</v>
      </c>
      <c r="B563" s="6">
        <v>45417.684027777781</v>
      </c>
      <c r="C563" t="s">
        <v>267</v>
      </c>
      <c r="D563" t="s">
        <v>1148</v>
      </c>
      <c r="E563" t="s">
        <v>1217</v>
      </c>
      <c r="F563" t="s">
        <v>1143</v>
      </c>
      <c r="G563" t="s">
        <v>1167</v>
      </c>
      <c r="H563" t="s">
        <v>1211</v>
      </c>
      <c r="I563" t="s">
        <v>1279</v>
      </c>
      <c r="J563" t="s">
        <v>1280</v>
      </c>
      <c r="K563">
        <v>2</v>
      </c>
      <c r="L563">
        <v>35660</v>
      </c>
      <c r="M563">
        <v>0</v>
      </c>
      <c r="N563">
        <v>35660</v>
      </c>
      <c r="O563">
        <v>0.12</v>
      </c>
      <c r="P563">
        <v>71320</v>
      </c>
      <c r="Q563">
        <v>8558.4</v>
      </c>
      <c r="R563">
        <v>79878.399999999994</v>
      </c>
      <c r="S563" t="s">
        <v>1362</v>
      </c>
      <c r="T563" t="s">
        <v>1361</v>
      </c>
      <c r="U563" s="4">
        <v>45418</v>
      </c>
      <c r="V563" s="4">
        <v>45422</v>
      </c>
      <c r="W563" t="b">
        <v>0</v>
      </c>
      <c r="Z563" t="s">
        <v>1379</v>
      </c>
      <c r="AA563" t="s">
        <v>1377</v>
      </c>
      <c r="AB563" t="s">
        <v>1380</v>
      </c>
    </row>
    <row r="564" spans="1:28" x14ac:dyDescent="0.3">
      <c r="A564" t="s">
        <v>899</v>
      </c>
      <c r="B564" s="6">
        <v>45739.512499999997</v>
      </c>
      <c r="C564" t="s">
        <v>392</v>
      </c>
      <c r="D564" t="s">
        <v>1153</v>
      </c>
      <c r="E564" t="s">
        <v>1191</v>
      </c>
      <c r="F564" t="s">
        <v>1143</v>
      </c>
      <c r="G564" t="s">
        <v>1172</v>
      </c>
      <c r="H564" t="s">
        <v>1229</v>
      </c>
      <c r="I564" t="s">
        <v>1295</v>
      </c>
      <c r="J564" t="s">
        <v>1296</v>
      </c>
      <c r="K564">
        <v>2</v>
      </c>
      <c r="L564">
        <v>7108</v>
      </c>
      <c r="M564">
        <v>0.1</v>
      </c>
      <c r="N564">
        <v>6397.2</v>
      </c>
      <c r="O564">
        <v>0.12</v>
      </c>
      <c r="P564">
        <v>12794.4</v>
      </c>
      <c r="Q564">
        <v>1535.328</v>
      </c>
      <c r="R564">
        <v>14329.727999999999</v>
      </c>
      <c r="S564" t="s">
        <v>1366</v>
      </c>
      <c r="T564" t="s">
        <v>1361</v>
      </c>
      <c r="U564" s="4">
        <v>45741</v>
      </c>
      <c r="V564" s="4">
        <v>45743</v>
      </c>
      <c r="W564" t="b">
        <v>0</v>
      </c>
      <c r="Z564" t="s">
        <v>1379</v>
      </c>
      <c r="AA564" t="s">
        <v>1385</v>
      </c>
      <c r="AB564" t="s">
        <v>1378</v>
      </c>
    </row>
    <row r="565" spans="1:28" x14ac:dyDescent="0.3">
      <c r="A565" t="s">
        <v>900</v>
      </c>
      <c r="B565" s="6">
        <v>45627.546527777777</v>
      </c>
      <c r="C565" t="s">
        <v>259</v>
      </c>
      <c r="D565" t="s">
        <v>1141</v>
      </c>
      <c r="E565" t="s">
        <v>1227</v>
      </c>
      <c r="F565" t="s">
        <v>1143</v>
      </c>
      <c r="G565" t="s">
        <v>1144</v>
      </c>
      <c r="H565" t="s">
        <v>1269</v>
      </c>
      <c r="I565" t="s">
        <v>1326</v>
      </c>
      <c r="J565" t="s">
        <v>1327</v>
      </c>
      <c r="K565">
        <v>1</v>
      </c>
      <c r="L565">
        <v>4631</v>
      </c>
      <c r="M565">
        <v>0</v>
      </c>
      <c r="N565">
        <v>4631</v>
      </c>
      <c r="O565">
        <v>0.05</v>
      </c>
      <c r="P565">
        <v>4631</v>
      </c>
      <c r="Q565">
        <v>231.55</v>
      </c>
      <c r="R565">
        <v>4862.55</v>
      </c>
      <c r="S565" t="s">
        <v>1366</v>
      </c>
      <c r="T565" t="s">
        <v>1361</v>
      </c>
      <c r="U565" s="4">
        <v>45627</v>
      </c>
      <c r="V565" s="4">
        <v>45628</v>
      </c>
      <c r="W565" t="b">
        <v>0</v>
      </c>
      <c r="Z565" t="s">
        <v>1398</v>
      </c>
      <c r="AA565" t="s">
        <v>1377</v>
      </c>
      <c r="AB565" t="s">
        <v>1378</v>
      </c>
    </row>
    <row r="566" spans="1:28" x14ac:dyDescent="0.3">
      <c r="A566" t="s">
        <v>904</v>
      </c>
      <c r="B566" s="6">
        <v>45454.479166666664</v>
      </c>
      <c r="C566" t="s">
        <v>26</v>
      </c>
      <c r="D566" t="s">
        <v>1153</v>
      </c>
      <c r="E566" t="s">
        <v>1191</v>
      </c>
      <c r="F566" t="s">
        <v>1143</v>
      </c>
      <c r="G566" t="s">
        <v>1172</v>
      </c>
      <c r="H566" t="s">
        <v>1173</v>
      </c>
      <c r="I566" t="s">
        <v>1222</v>
      </c>
      <c r="J566" t="s">
        <v>1223</v>
      </c>
      <c r="K566">
        <v>2</v>
      </c>
      <c r="L566">
        <v>3930</v>
      </c>
      <c r="M566">
        <v>0.05</v>
      </c>
      <c r="N566">
        <v>3733.5</v>
      </c>
      <c r="O566">
        <v>0.18</v>
      </c>
      <c r="P566">
        <v>7467</v>
      </c>
      <c r="Q566">
        <v>1344.06</v>
      </c>
      <c r="R566">
        <v>8811.06</v>
      </c>
      <c r="S566" t="s">
        <v>1363</v>
      </c>
      <c r="T566" t="s">
        <v>1361</v>
      </c>
      <c r="U566" s="4">
        <v>45455</v>
      </c>
      <c r="V566" s="4">
        <v>45459</v>
      </c>
      <c r="W566" t="b">
        <v>0</v>
      </c>
      <c r="Z566" t="s">
        <v>1398</v>
      </c>
      <c r="AA566" t="s">
        <v>1399</v>
      </c>
      <c r="AB566" t="s">
        <v>1391</v>
      </c>
    </row>
    <row r="567" spans="1:28" x14ac:dyDescent="0.3">
      <c r="A567" t="s">
        <v>905</v>
      </c>
      <c r="B567" s="6">
        <v>45586.504861111112</v>
      </c>
      <c r="C567" t="s">
        <v>107</v>
      </c>
      <c r="D567" t="s">
        <v>1153</v>
      </c>
      <c r="E567" t="s">
        <v>1176</v>
      </c>
      <c r="F567" t="s">
        <v>1143</v>
      </c>
      <c r="G567" t="s">
        <v>1172</v>
      </c>
      <c r="H567" t="s">
        <v>1173</v>
      </c>
      <c r="I567" t="s">
        <v>1174</v>
      </c>
      <c r="J567" t="s">
        <v>1175</v>
      </c>
      <c r="K567">
        <v>2</v>
      </c>
      <c r="L567">
        <v>6017</v>
      </c>
      <c r="M567">
        <v>0.15</v>
      </c>
      <c r="N567">
        <v>5114.45</v>
      </c>
      <c r="O567">
        <v>0.12</v>
      </c>
      <c r="P567">
        <v>10228.9</v>
      </c>
      <c r="Q567">
        <v>1227.4680000000001</v>
      </c>
      <c r="R567">
        <v>11456.368</v>
      </c>
      <c r="S567" t="s">
        <v>1360</v>
      </c>
      <c r="T567" t="s">
        <v>1367</v>
      </c>
      <c r="U567" s="4">
        <v>45588</v>
      </c>
      <c r="W567" t="b">
        <v>0</v>
      </c>
      <c r="Z567" t="s">
        <v>1388</v>
      </c>
      <c r="AA567" t="s">
        <v>1387</v>
      </c>
      <c r="AB567" t="s">
        <v>1389</v>
      </c>
    </row>
    <row r="568" spans="1:28" x14ac:dyDescent="0.3">
      <c r="A568" t="s">
        <v>909</v>
      </c>
      <c r="B568" s="6">
        <v>45666.444444444445</v>
      </c>
      <c r="C568" t="s">
        <v>124</v>
      </c>
      <c r="D568" t="s">
        <v>1153</v>
      </c>
      <c r="E568" t="s">
        <v>1191</v>
      </c>
      <c r="F568" t="s">
        <v>1143</v>
      </c>
      <c r="G568" t="s">
        <v>1163</v>
      </c>
      <c r="H568" t="s">
        <v>1240</v>
      </c>
      <c r="I568" t="s">
        <v>1241</v>
      </c>
      <c r="J568" t="s">
        <v>1242</v>
      </c>
      <c r="K568">
        <v>2</v>
      </c>
      <c r="L568">
        <v>1022</v>
      </c>
      <c r="M568">
        <v>0</v>
      </c>
      <c r="N568">
        <v>1022</v>
      </c>
      <c r="O568">
        <v>0.12</v>
      </c>
      <c r="P568">
        <v>2044</v>
      </c>
      <c r="Q568">
        <v>245.28</v>
      </c>
      <c r="R568">
        <v>2289.2800000000002</v>
      </c>
      <c r="S568" t="s">
        <v>1360</v>
      </c>
      <c r="T568" t="s">
        <v>1367</v>
      </c>
      <c r="U568" s="4">
        <v>45666</v>
      </c>
      <c r="W568" t="b">
        <v>0</v>
      </c>
      <c r="Z568" t="s">
        <v>1376</v>
      </c>
      <c r="AA568" t="s">
        <v>1387</v>
      </c>
      <c r="AB568" t="s">
        <v>1380</v>
      </c>
    </row>
    <row r="569" spans="1:28" x14ac:dyDescent="0.3">
      <c r="A569" t="s">
        <v>910</v>
      </c>
      <c r="B569" s="6">
        <v>45297.665972222225</v>
      </c>
      <c r="C569" t="s">
        <v>699</v>
      </c>
      <c r="D569" t="s">
        <v>1148</v>
      </c>
      <c r="E569" t="s">
        <v>1149</v>
      </c>
      <c r="F569" t="s">
        <v>1143</v>
      </c>
      <c r="G569" t="s">
        <v>1172</v>
      </c>
      <c r="H569" t="s">
        <v>1198</v>
      </c>
      <c r="I569" t="s">
        <v>1303</v>
      </c>
      <c r="J569" t="s">
        <v>1304</v>
      </c>
      <c r="K569">
        <v>1</v>
      </c>
      <c r="L569">
        <v>4784</v>
      </c>
      <c r="M569">
        <v>0.15</v>
      </c>
      <c r="N569">
        <v>4066.4</v>
      </c>
      <c r="O569">
        <v>0.18</v>
      </c>
      <c r="P569">
        <v>4066.4</v>
      </c>
      <c r="Q569">
        <v>731.952</v>
      </c>
      <c r="R569">
        <v>4798.3519999999999</v>
      </c>
      <c r="S569" t="s">
        <v>1363</v>
      </c>
      <c r="T569" t="s">
        <v>1361</v>
      </c>
      <c r="U569" s="4">
        <v>45298</v>
      </c>
      <c r="V569" s="4">
        <v>45301</v>
      </c>
      <c r="W569" t="b">
        <v>0</v>
      </c>
      <c r="Z569" t="s">
        <v>1388</v>
      </c>
      <c r="AA569" t="s">
        <v>1394</v>
      </c>
      <c r="AB569" t="s">
        <v>1393</v>
      </c>
    </row>
    <row r="570" spans="1:28" x14ac:dyDescent="0.3">
      <c r="A570" t="s">
        <v>911</v>
      </c>
      <c r="B570" s="6">
        <v>45404.452777777777</v>
      </c>
      <c r="C570" t="s">
        <v>91</v>
      </c>
      <c r="D570" t="s">
        <v>1182</v>
      </c>
      <c r="E570" t="s">
        <v>1207</v>
      </c>
      <c r="F570" t="s">
        <v>1143</v>
      </c>
      <c r="G570" t="s">
        <v>1163</v>
      </c>
      <c r="H570" t="s">
        <v>1164</v>
      </c>
      <c r="I570" t="s">
        <v>1324</v>
      </c>
      <c r="J570" t="s">
        <v>1325</v>
      </c>
      <c r="K570">
        <v>3</v>
      </c>
      <c r="L570">
        <v>896</v>
      </c>
      <c r="M570">
        <v>0.1</v>
      </c>
      <c r="N570">
        <v>806.4</v>
      </c>
      <c r="O570">
        <v>0.18</v>
      </c>
      <c r="P570">
        <v>2419.1999999999998</v>
      </c>
      <c r="Q570">
        <v>435.45600000000002</v>
      </c>
      <c r="R570">
        <v>2854.6559999999999</v>
      </c>
      <c r="S570" t="s">
        <v>1360</v>
      </c>
      <c r="T570" t="s">
        <v>1361</v>
      </c>
      <c r="U570" s="4">
        <v>45406</v>
      </c>
      <c r="V570" s="4">
        <v>45408</v>
      </c>
      <c r="W570" t="b">
        <v>0</v>
      </c>
      <c r="Z570" t="s">
        <v>1398</v>
      </c>
      <c r="AA570" t="s">
        <v>1394</v>
      </c>
      <c r="AB570" t="s">
        <v>1395</v>
      </c>
    </row>
    <row r="571" spans="1:28" x14ac:dyDescent="0.3">
      <c r="A571" t="s">
        <v>913</v>
      </c>
      <c r="B571" s="6">
        <v>45410.452777777777</v>
      </c>
      <c r="C571" t="s">
        <v>251</v>
      </c>
      <c r="D571" t="s">
        <v>1148</v>
      </c>
      <c r="E571" t="s">
        <v>1171</v>
      </c>
      <c r="F571" t="s">
        <v>1143</v>
      </c>
      <c r="G571" t="s">
        <v>1167</v>
      </c>
      <c r="H571" t="s">
        <v>1211</v>
      </c>
      <c r="I571" t="s">
        <v>1299</v>
      </c>
      <c r="J571" t="s">
        <v>1300</v>
      </c>
      <c r="K571">
        <v>2</v>
      </c>
      <c r="L571">
        <v>52239</v>
      </c>
      <c r="M571">
        <v>0</v>
      </c>
      <c r="N571">
        <v>52239</v>
      </c>
      <c r="O571">
        <v>0.12</v>
      </c>
      <c r="P571">
        <v>104478</v>
      </c>
      <c r="Q571">
        <v>12537.36</v>
      </c>
      <c r="R571">
        <v>117015.36</v>
      </c>
      <c r="S571" t="s">
        <v>1365</v>
      </c>
      <c r="T571" t="s">
        <v>1364</v>
      </c>
      <c r="U571" s="4">
        <v>45411</v>
      </c>
      <c r="W571" t="b">
        <v>1</v>
      </c>
      <c r="X571" s="4">
        <v>45428</v>
      </c>
      <c r="Y571" s="4">
        <v>45428</v>
      </c>
      <c r="Z571" t="s">
        <v>1386</v>
      </c>
      <c r="AA571" t="s">
        <v>1387</v>
      </c>
      <c r="AB571" t="s">
        <v>1380</v>
      </c>
    </row>
    <row r="572" spans="1:28" x14ac:dyDescent="0.3">
      <c r="A572" t="s">
        <v>914</v>
      </c>
      <c r="B572" s="6">
        <v>45736.496527777781</v>
      </c>
      <c r="C572" t="s">
        <v>77</v>
      </c>
      <c r="D572" t="s">
        <v>1182</v>
      </c>
      <c r="E572" t="s">
        <v>1256</v>
      </c>
      <c r="F572" t="s">
        <v>1143</v>
      </c>
      <c r="G572" t="s">
        <v>1167</v>
      </c>
      <c r="H572" t="s">
        <v>1208</v>
      </c>
      <c r="I572" t="s">
        <v>1322</v>
      </c>
      <c r="J572" t="s">
        <v>1323</v>
      </c>
      <c r="K572">
        <v>1</v>
      </c>
      <c r="L572">
        <v>34243</v>
      </c>
      <c r="M572">
        <v>0</v>
      </c>
      <c r="N572">
        <v>34243</v>
      </c>
      <c r="O572">
        <v>0.18</v>
      </c>
      <c r="P572">
        <v>34243</v>
      </c>
      <c r="Q572">
        <v>6163.74</v>
      </c>
      <c r="R572">
        <v>40406.74</v>
      </c>
      <c r="S572" t="s">
        <v>1360</v>
      </c>
      <c r="T572" t="s">
        <v>1361</v>
      </c>
      <c r="U572" s="4">
        <v>45738</v>
      </c>
      <c r="V572" s="4">
        <v>45743</v>
      </c>
      <c r="W572" t="b">
        <v>0</v>
      </c>
      <c r="Z572" t="s">
        <v>1384</v>
      </c>
      <c r="AA572" t="s">
        <v>1377</v>
      </c>
      <c r="AB572" t="s">
        <v>1391</v>
      </c>
    </row>
    <row r="573" spans="1:28" x14ac:dyDescent="0.3">
      <c r="A573" t="s">
        <v>919</v>
      </c>
      <c r="B573" s="6">
        <v>45507.647916666669</v>
      </c>
      <c r="C573" t="s">
        <v>91</v>
      </c>
      <c r="D573" t="s">
        <v>1182</v>
      </c>
      <c r="E573" t="s">
        <v>1207</v>
      </c>
      <c r="F573" t="s">
        <v>1143</v>
      </c>
      <c r="G573" t="s">
        <v>1172</v>
      </c>
      <c r="H573" t="s">
        <v>1188</v>
      </c>
      <c r="I573" t="s">
        <v>1258</v>
      </c>
      <c r="J573" t="s">
        <v>1259</v>
      </c>
      <c r="K573">
        <v>4</v>
      </c>
      <c r="L573">
        <v>6961</v>
      </c>
      <c r="M573">
        <v>0.15</v>
      </c>
      <c r="N573">
        <v>5916.8499999999995</v>
      </c>
      <c r="O573">
        <v>0.12</v>
      </c>
      <c r="P573">
        <v>23667.4</v>
      </c>
      <c r="Q573">
        <v>2840.0880000000002</v>
      </c>
      <c r="R573">
        <v>26507.488000000001</v>
      </c>
      <c r="S573" t="s">
        <v>1360</v>
      </c>
      <c r="T573" t="s">
        <v>1361</v>
      </c>
      <c r="U573" s="4">
        <v>45508</v>
      </c>
      <c r="V573" s="4">
        <v>45511</v>
      </c>
      <c r="W573" t="b">
        <v>0</v>
      </c>
      <c r="Z573" t="s">
        <v>1396</v>
      </c>
      <c r="AA573" t="s">
        <v>1397</v>
      </c>
      <c r="AB573" t="s">
        <v>1389</v>
      </c>
    </row>
    <row r="574" spans="1:28" x14ac:dyDescent="0.3">
      <c r="A574" t="s">
        <v>920</v>
      </c>
      <c r="B574" s="6">
        <v>45760.574999999997</v>
      </c>
      <c r="C574" t="s">
        <v>683</v>
      </c>
      <c r="D574" t="s">
        <v>1182</v>
      </c>
      <c r="E574" t="s">
        <v>1257</v>
      </c>
      <c r="F574" t="s">
        <v>1143</v>
      </c>
      <c r="G574" t="s">
        <v>1177</v>
      </c>
      <c r="H574" t="s">
        <v>1236</v>
      </c>
      <c r="I574" t="s">
        <v>1254</v>
      </c>
      <c r="J574" t="s">
        <v>1255</v>
      </c>
      <c r="K574">
        <v>3</v>
      </c>
      <c r="L574">
        <v>1488</v>
      </c>
      <c r="M574">
        <v>0.05</v>
      </c>
      <c r="N574">
        <v>1413.6</v>
      </c>
      <c r="O574">
        <v>0.12</v>
      </c>
      <c r="P574">
        <v>4240.7999999999993</v>
      </c>
      <c r="Q574">
        <v>508.8959999999999</v>
      </c>
      <c r="R574">
        <v>4749.695999999999</v>
      </c>
      <c r="S574" t="s">
        <v>1360</v>
      </c>
      <c r="T574" t="s">
        <v>1361</v>
      </c>
      <c r="U574" s="4">
        <v>45760</v>
      </c>
      <c r="V574" s="4">
        <v>45762</v>
      </c>
      <c r="W574" t="b">
        <v>0</v>
      </c>
      <c r="Z574" t="s">
        <v>1379</v>
      </c>
      <c r="AA574" t="s">
        <v>1377</v>
      </c>
      <c r="AB574" t="s">
        <v>1383</v>
      </c>
    </row>
    <row r="575" spans="1:28" x14ac:dyDescent="0.3">
      <c r="A575" t="s">
        <v>921</v>
      </c>
      <c r="B575" s="6">
        <v>45366.660416666666</v>
      </c>
      <c r="C575" t="s">
        <v>155</v>
      </c>
      <c r="D575" t="s">
        <v>1157</v>
      </c>
      <c r="E575" t="s">
        <v>1158</v>
      </c>
      <c r="F575" t="s">
        <v>1143</v>
      </c>
      <c r="G575" t="s">
        <v>1172</v>
      </c>
      <c r="H575" t="s">
        <v>1204</v>
      </c>
      <c r="I575" t="s">
        <v>1234</v>
      </c>
      <c r="J575" t="s">
        <v>1235</v>
      </c>
      <c r="K575">
        <v>1</v>
      </c>
      <c r="L575">
        <v>3876</v>
      </c>
      <c r="M575">
        <v>0.1</v>
      </c>
      <c r="N575">
        <v>3488.4</v>
      </c>
      <c r="O575">
        <v>0.05</v>
      </c>
      <c r="P575">
        <v>3488.4</v>
      </c>
      <c r="Q575">
        <v>174.42</v>
      </c>
      <c r="R575">
        <v>3662.82</v>
      </c>
      <c r="S575" t="s">
        <v>1363</v>
      </c>
      <c r="T575" t="s">
        <v>1361</v>
      </c>
      <c r="U575" s="4">
        <v>45367</v>
      </c>
      <c r="V575" s="4">
        <v>45372</v>
      </c>
      <c r="W575" t="b">
        <v>0</v>
      </c>
      <c r="Z575" t="s">
        <v>1386</v>
      </c>
      <c r="AA575" t="s">
        <v>1385</v>
      </c>
      <c r="AB575" t="s">
        <v>1383</v>
      </c>
    </row>
    <row r="576" spans="1:28" x14ac:dyDescent="0.3">
      <c r="A576" t="s">
        <v>924</v>
      </c>
      <c r="B576" s="6">
        <v>45512.699305555558</v>
      </c>
      <c r="C576" t="s">
        <v>251</v>
      </c>
      <c r="D576" t="s">
        <v>1148</v>
      </c>
      <c r="E576" t="s">
        <v>1171</v>
      </c>
      <c r="F576" t="s">
        <v>1143</v>
      </c>
      <c r="G576" t="s">
        <v>1163</v>
      </c>
      <c r="H576" t="s">
        <v>1184</v>
      </c>
      <c r="I576" t="s">
        <v>1245</v>
      </c>
      <c r="J576" t="s">
        <v>1246</v>
      </c>
      <c r="K576">
        <v>3</v>
      </c>
      <c r="L576">
        <v>888</v>
      </c>
      <c r="M576">
        <v>0</v>
      </c>
      <c r="N576">
        <v>888</v>
      </c>
      <c r="O576">
        <v>0.12</v>
      </c>
      <c r="P576">
        <v>2664</v>
      </c>
      <c r="Q576">
        <v>319.68</v>
      </c>
      <c r="R576">
        <v>2983.68</v>
      </c>
      <c r="S576" t="s">
        <v>1362</v>
      </c>
      <c r="T576" t="s">
        <v>1361</v>
      </c>
      <c r="U576" s="4">
        <v>45513</v>
      </c>
      <c r="V576" s="4">
        <v>45514</v>
      </c>
      <c r="W576" t="b">
        <v>0</v>
      </c>
      <c r="Z576" t="s">
        <v>1379</v>
      </c>
      <c r="AA576" t="s">
        <v>1399</v>
      </c>
      <c r="AB576" t="s">
        <v>1391</v>
      </c>
    </row>
    <row r="577" spans="1:28" x14ac:dyDescent="0.3">
      <c r="A577" t="s">
        <v>927</v>
      </c>
      <c r="B577" s="6">
        <v>45589.433333333334</v>
      </c>
      <c r="C577" t="s">
        <v>18</v>
      </c>
      <c r="D577" t="s">
        <v>1153</v>
      </c>
      <c r="E577" t="s">
        <v>1176</v>
      </c>
      <c r="F577" t="s">
        <v>1143</v>
      </c>
      <c r="G577" t="s">
        <v>1167</v>
      </c>
      <c r="H577" t="s">
        <v>1288</v>
      </c>
      <c r="I577" t="s">
        <v>1293</v>
      </c>
      <c r="J577" t="s">
        <v>1294</v>
      </c>
      <c r="K577">
        <v>2</v>
      </c>
      <c r="L577">
        <v>42660</v>
      </c>
      <c r="M577">
        <v>0.2</v>
      </c>
      <c r="N577">
        <v>34128</v>
      </c>
      <c r="O577">
        <v>0.05</v>
      </c>
      <c r="P577">
        <v>68256</v>
      </c>
      <c r="Q577">
        <v>3412.8</v>
      </c>
      <c r="R577">
        <v>71668.800000000003</v>
      </c>
      <c r="S577" t="s">
        <v>1362</v>
      </c>
      <c r="T577" t="s">
        <v>1361</v>
      </c>
      <c r="U577" s="4">
        <v>45590</v>
      </c>
      <c r="V577" s="4">
        <v>45594</v>
      </c>
      <c r="W577" t="b">
        <v>0</v>
      </c>
      <c r="Z577" t="s">
        <v>1386</v>
      </c>
      <c r="AA577" t="s">
        <v>1387</v>
      </c>
      <c r="AB577" t="s">
        <v>1380</v>
      </c>
    </row>
    <row r="578" spans="1:28" x14ac:dyDescent="0.3">
      <c r="A578" t="s">
        <v>929</v>
      </c>
      <c r="B578" s="6">
        <v>45657.482638888891</v>
      </c>
      <c r="C578" t="s">
        <v>869</v>
      </c>
      <c r="D578" t="s">
        <v>1157</v>
      </c>
      <c r="E578" t="s">
        <v>1158</v>
      </c>
      <c r="F578" t="s">
        <v>1143</v>
      </c>
      <c r="G578" t="s">
        <v>1167</v>
      </c>
      <c r="H578" t="s">
        <v>1211</v>
      </c>
      <c r="I578" t="s">
        <v>1279</v>
      </c>
      <c r="J578" t="s">
        <v>1280</v>
      </c>
      <c r="K578">
        <v>1</v>
      </c>
      <c r="L578">
        <v>7386</v>
      </c>
      <c r="M578">
        <v>0.05</v>
      </c>
      <c r="N578">
        <v>7016.7</v>
      </c>
      <c r="O578">
        <v>0.05</v>
      </c>
      <c r="P578">
        <v>7016.7</v>
      </c>
      <c r="Q578">
        <v>350.83499999999998</v>
      </c>
      <c r="R578">
        <v>7367.5349999999999</v>
      </c>
      <c r="S578" t="s">
        <v>1360</v>
      </c>
      <c r="T578" t="s">
        <v>1367</v>
      </c>
      <c r="U578" s="4">
        <v>45659</v>
      </c>
      <c r="W578" t="b">
        <v>0</v>
      </c>
      <c r="Z578" t="s">
        <v>1398</v>
      </c>
      <c r="AA578" t="s">
        <v>1394</v>
      </c>
      <c r="AB578" t="s">
        <v>1378</v>
      </c>
    </row>
    <row r="579" spans="1:28" x14ac:dyDescent="0.3">
      <c r="A579" t="s">
        <v>930</v>
      </c>
      <c r="B579" s="6">
        <v>45495.682638888888</v>
      </c>
      <c r="C579" t="s">
        <v>288</v>
      </c>
      <c r="D579" t="s">
        <v>1148</v>
      </c>
      <c r="E579" t="s">
        <v>1262</v>
      </c>
      <c r="F579" t="s">
        <v>1143</v>
      </c>
      <c r="G579" t="s">
        <v>1177</v>
      </c>
      <c r="H579" t="s">
        <v>1192</v>
      </c>
      <c r="I579" t="s">
        <v>1344</v>
      </c>
      <c r="J579" t="s">
        <v>1345</v>
      </c>
      <c r="K579">
        <v>2</v>
      </c>
      <c r="L579">
        <v>2301</v>
      </c>
      <c r="M579">
        <v>0.05</v>
      </c>
      <c r="N579">
        <v>2185.9499999999998</v>
      </c>
      <c r="O579">
        <v>0.18</v>
      </c>
      <c r="P579">
        <v>4371.8999999999996</v>
      </c>
      <c r="Q579">
        <v>786.94199999999989</v>
      </c>
      <c r="R579">
        <v>5158.8419999999996</v>
      </c>
      <c r="S579" t="s">
        <v>1360</v>
      </c>
      <c r="T579" t="s">
        <v>1367</v>
      </c>
      <c r="U579" s="4">
        <v>45496</v>
      </c>
      <c r="W579" t="b">
        <v>0</v>
      </c>
      <c r="Z579" t="s">
        <v>1382</v>
      </c>
      <c r="AA579" t="s">
        <v>1387</v>
      </c>
      <c r="AB579" t="s">
        <v>1383</v>
      </c>
    </row>
    <row r="580" spans="1:28" x14ac:dyDescent="0.3">
      <c r="A580" t="s">
        <v>933</v>
      </c>
      <c r="B580" s="6">
        <v>45340.467361111114</v>
      </c>
      <c r="C580" t="s">
        <v>366</v>
      </c>
      <c r="D580" t="s">
        <v>1157</v>
      </c>
      <c r="E580" t="s">
        <v>1249</v>
      </c>
      <c r="F580" t="s">
        <v>1143</v>
      </c>
      <c r="G580" t="s">
        <v>1144</v>
      </c>
      <c r="H580" t="s">
        <v>1269</v>
      </c>
      <c r="I580" t="s">
        <v>1270</v>
      </c>
      <c r="J580" t="s">
        <v>1271</v>
      </c>
      <c r="K580">
        <v>3</v>
      </c>
      <c r="L580">
        <v>8073</v>
      </c>
      <c r="M580">
        <v>0</v>
      </c>
      <c r="N580">
        <v>8073</v>
      </c>
      <c r="O580">
        <v>0.18</v>
      </c>
      <c r="P580">
        <v>24219</v>
      </c>
      <c r="Q580">
        <v>4359.42</v>
      </c>
      <c r="R580">
        <v>28578.42</v>
      </c>
      <c r="S580" t="s">
        <v>1363</v>
      </c>
      <c r="T580" t="s">
        <v>1361</v>
      </c>
      <c r="U580" s="4">
        <v>45341</v>
      </c>
      <c r="V580" s="4">
        <v>45346</v>
      </c>
      <c r="W580" t="b">
        <v>0</v>
      </c>
      <c r="Z580" t="s">
        <v>1388</v>
      </c>
      <c r="AA580" t="s">
        <v>1397</v>
      </c>
      <c r="AB580" t="s">
        <v>1383</v>
      </c>
    </row>
    <row r="581" spans="1:28" x14ac:dyDescent="0.3">
      <c r="A581" t="s">
        <v>935</v>
      </c>
      <c r="B581" s="6">
        <v>45482.605555555558</v>
      </c>
      <c r="C581" t="s">
        <v>392</v>
      </c>
      <c r="D581" t="s">
        <v>1153</v>
      </c>
      <c r="E581" t="s">
        <v>1191</v>
      </c>
      <c r="F581" t="s">
        <v>1143</v>
      </c>
      <c r="G581" t="s">
        <v>1163</v>
      </c>
      <c r="H581" t="s">
        <v>1164</v>
      </c>
      <c r="I581" t="s">
        <v>1165</v>
      </c>
      <c r="J581" t="s">
        <v>1166</v>
      </c>
      <c r="K581">
        <v>1</v>
      </c>
      <c r="L581">
        <v>668</v>
      </c>
      <c r="M581">
        <v>0.2</v>
      </c>
      <c r="N581">
        <v>534.4</v>
      </c>
      <c r="O581">
        <v>0.12</v>
      </c>
      <c r="P581">
        <v>534.4</v>
      </c>
      <c r="Q581">
        <v>64.128</v>
      </c>
      <c r="R581">
        <v>598.52800000000002</v>
      </c>
      <c r="S581" t="s">
        <v>1360</v>
      </c>
      <c r="T581" t="s">
        <v>1361</v>
      </c>
      <c r="U581" s="4">
        <v>45483</v>
      </c>
      <c r="V581" s="4">
        <v>45487</v>
      </c>
      <c r="W581" t="b">
        <v>0</v>
      </c>
      <c r="Z581" t="s">
        <v>1392</v>
      </c>
      <c r="AA581" t="s">
        <v>1397</v>
      </c>
      <c r="AB581" t="s">
        <v>1393</v>
      </c>
    </row>
    <row r="582" spans="1:28" x14ac:dyDescent="0.3">
      <c r="A582" t="s">
        <v>937</v>
      </c>
      <c r="B582" s="6">
        <v>45462.490972222222</v>
      </c>
      <c r="C582" t="s">
        <v>460</v>
      </c>
      <c r="D582" t="s">
        <v>1182</v>
      </c>
      <c r="E582" t="s">
        <v>1256</v>
      </c>
      <c r="F582" t="s">
        <v>1143</v>
      </c>
      <c r="G582" t="s">
        <v>1172</v>
      </c>
      <c r="H582" t="s">
        <v>1198</v>
      </c>
      <c r="I582" t="s">
        <v>1199</v>
      </c>
      <c r="J582" t="s">
        <v>1200</v>
      </c>
      <c r="K582">
        <v>1</v>
      </c>
      <c r="L582">
        <v>7312</v>
      </c>
      <c r="M582">
        <v>0</v>
      </c>
      <c r="N582">
        <v>7312</v>
      </c>
      <c r="O582">
        <v>0.18</v>
      </c>
      <c r="P582">
        <v>7312</v>
      </c>
      <c r="Q582">
        <v>1316.16</v>
      </c>
      <c r="R582">
        <v>8628.16</v>
      </c>
      <c r="S582" t="s">
        <v>1365</v>
      </c>
      <c r="T582" t="s">
        <v>1368</v>
      </c>
      <c r="U582" s="4">
        <v>45463</v>
      </c>
      <c r="W582" t="b">
        <v>0</v>
      </c>
      <c r="Z582" t="s">
        <v>1379</v>
      </c>
      <c r="AA582" t="s">
        <v>1387</v>
      </c>
      <c r="AB582" t="s">
        <v>1380</v>
      </c>
    </row>
    <row r="583" spans="1:28" x14ac:dyDescent="0.3">
      <c r="A583" t="s">
        <v>939</v>
      </c>
      <c r="B583" s="6">
        <v>45569.508333333331</v>
      </c>
      <c r="C583" t="s">
        <v>247</v>
      </c>
      <c r="D583" t="s">
        <v>1141</v>
      </c>
      <c r="E583" t="s">
        <v>1227</v>
      </c>
      <c r="F583" t="s">
        <v>1143</v>
      </c>
      <c r="G583" t="s">
        <v>1144</v>
      </c>
      <c r="H583" t="s">
        <v>1269</v>
      </c>
      <c r="I583" t="s">
        <v>1326</v>
      </c>
      <c r="J583" t="s">
        <v>1327</v>
      </c>
      <c r="K583">
        <v>2</v>
      </c>
      <c r="L583">
        <v>8119</v>
      </c>
      <c r="M583">
        <v>0</v>
      </c>
      <c r="N583">
        <v>8119</v>
      </c>
      <c r="O583">
        <v>0.18</v>
      </c>
      <c r="P583">
        <v>16238</v>
      </c>
      <c r="Q583">
        <v>2922.84</v>
      </c>
      <c r="R583">
        <v>19160.84</v>
      </c>
      <c r="S583" t="s">
        <v>1366</v>
      </c>
      <c r="T583" t="s">
        <v>1361</v>
      </c>
      <c r="U583" s="4">
        <v>45569</v>
      </c>
      <c r="V583" s="4">
        <v>45570</v>
      </c>
      <c r="W583" t="b">
        <v>0</v>
      </c>
      <c r="Z583" t="s">
        <v>1376</v>
      </c>
      <c r="AA583" t="s">
        <v>1400</v>
      </c>
      <c r="AB583" t="s">
        <v>1380</v>
      </c>
    </row>
    <row r="584" spans="1:28" x14ac:dyDescent="0.3">
      <c r="A584" t="s">
        <v>943</v>
      </c>
      <c r="B584" s="6">
        <v>45531.561805555553</v>
      </c>
      <c r="C584" t="s">
        <v>143</v>
      </c>
      <c r="D584" t="s">
        <v>1153</v>
      </c>
      <c r="E584" t="s">
        <v>1154</v>
      </c>
      <c r="F584" t="s">
        <v>1143</v>
      </c>
      <c r="G584" t="s">
        <v>1163</v>
      </c>
      <c r="H584" t="s">
        <v>1184</v>
      </c>
      <c r="I584" t="s">
        <v>1260</v>
      </c>
      <c r="J584" t="s">
        <v>1261</v>
      </c>
      <c r="K584">
        <v>2</v>
      </c>
      <c r="L584">
        <v>864</v>
      </c>
      <c r="M584">
        <v>0.05</v>
      </c>
      <c r="N584">
        <v>820.8</v>
      </c>
      <c r="O584">
        <v>0.05</v>
      </c>
      <c r="P584">
        <v>1641.6</v>
      </c>
      <c r="Q584">
        <v>82.08</v>
      </c>
      <c r="R584">
        <v>1723.68</v>
      </c>
      <c r="S584" t="s">
        <v>1360</v>
      </c>
      <c r="T584" t="s">
        <v>1361</v>
      </c>
      <c r="U584" s="4">
        <v>45531</v>
      </c>
      <c r="V584" s="4">
        <v>45534</v>
      </c>
      <c r="W584" t="b">
        <v>0</v>
      </c>
      <c r="Z584" t="s">
        <v>1398</v>
      </c>
      <c r="AA584" t="s">
        <v>1397</v>
      </c>
      <c r="AB584" t="s">
        <v>1383</v>
      </c>
    </row>
    <row r="585" spans="1:28" x14ac:dyDescent="0.3">
      <c r="A585" t="s">
        <v>944</v>
      </c>
      <c r="B585" s="6">
        <v>45679.518750000003</v>
      </c>
      <c r="C585" t="s">
        <v>469</v>
      </c>
      <c r="D585" t="s">
        <v>1153</v>
      </c>
      <c r="E585" t="s">
        <v>1176</v>
      </c>
      <c r="F585" t="s">
        <v>1143</v>
      </c>
      <c r="G585" t="s">
        <v>1172</v>
      </c>
      <c r="H585" t="s">
        <v>1173</v>
      </c>
      <c r="I585" t="s">
        <v>1342</v>
      </c>
      <c r="J585" t="s">
        <v>1343</v>
      </c>
      <c r="K585">
        <v>3</v>
      </c>
      <c r="L585">
        <v>7762</v>
      </c>
      <c r="M585">
        <v>0</v>
      </c>
      <c r="N585">
        <v>7762</v>
      </c>
      <c r="O585">
        <v>0.12</v>
      </c>
      <c r="P585">
        <v>23286</v>
      </c>
      <c r="Q585">
        <v>2794.32</v>
      </c>
      <c r="R585">
        <v>26080.32</v>
      </c>
      <c r="S585" t="s">
        <v>1360</v>
      </c>
      <c r="T585" t="s">
        <v>1361</v>
      </c>
      <c r="U585" s="4">
        <v>45679</v>
      </c>
      <c r="V585" s="4">
        <v>45682</v>
      </c>
      <c r="W585" t="b">
        <v>0</v>
      </c>
      <c r="Z585" t="s">
        <v>1390</v>
      </c>
      <c r="AA585" t="s">
        <v>1400</v>
      </c>
      <c r="AB585" t="s">
        <v>1383</v>
      </c>
    </row>
    <row r="586" spans="1:28" x14ac:dyDescent="0.3">
      <c r="A586" t="s">
        <v>945</v>
      </c>
      <c r="B586" s="6">
        <v>45543.539583333331</v>
      </c>
      <c r="C586" t="s">
        <v>946</v>
      </c>
      <c r="D586" t="s">
        <v>1182</v>
      </c>
      <c r="E586" t="s">
        <v>1207</v>
      </c>
      <c r="F586" t="s">
        <v>1143</v>
      </c>
      <c r="G586" t="s">
        <v>1177</v>
      </c>
      <c r="H586" t="s">
        <v>1309</v>
      </c>
      <c r="I586" t="s">
        <v>1310</v>
      </c>
      <c r="J586" t="s">
        <v>1311</v>
      </c>
      <c r="K586">
        <v>3</v>
      </c>
      <c r="L586">
        <v>1665</v>
      </c>
      <c r="M586">
        <v>0.05</v>
      </c>
      <c r="N586">
        <v>1581.75</v>
      </c>
      <c r="O586">
        <v>0.12</v>
      </c>
      <c r="P586">
        <v>4745.25</v>
      </c>
      <c r="Q586">
        <v>569.42999999999995</v>
      </c>
      <c r="R586">
        <v>5314.68</v>
      </c>
      <c r="S586" t="s">
        <v>1360</v>
      </c>
      <c r="T586" t="s">
        <v>1361</v>
      </c>
      <c r="U586" s="4">
        <v>45545</v>
      </c>
      <c r="V586" s="4">
        <v>45549</v>
      </c>
      <c r="W586" t="b">
        <v>0</v>
      </c>
      <c r="Z586" t="s">
        <v>1388</v>
      </c>
      <c r="AA586" t="s">
        <v>1400</v>
      </c>
      <c r="AB586" t="s">
        <v>1380</v>
      </c>
    </row>
    <row r="587" spans="1:28" x14ac:dyDescent="0.3">
      <c r="A587" t="s">
        <v>949</v>
      </c>
      <c r="B587" s="6">
        <v>45550.520138888889</v>
      </c>
      <c r="C587" t="s">
        <v>98</v>
      </c>
      <c r="D587" t="s">
        <v>1148</v>
      </c>
      <c r="E587" t="s">
        <v>1171</v>
      </c>
      <c r="F587" t="s">
        <v>1143</v>
      </c>
      <c r="G587" t="s">
        <v>1144</v>
      </c>
      <c r="H587" t="s">
        <v>1159</v>
      </c>
      <c r="I587" t="s">
        <v>1272</v>
      </c>
      <c r="J587" t="s">
        <v>1273</v>
      </c>
      <c r="K587">
        <v>1</v>
      </c>
      <c r="L587">
        <v>11072</v>
      </c>
      <c r="M587">
        <v>0</v>
      </c>
      <c r="N587">
        <v>11072</v>
      </c>
      <c r="O587">
        <v>0.12</v>
      </c>
      <c r="P587">
        <v>11072</v>
      </c>
      <c r="Q587">
        <v>1328.64</v>
      </c>
      <c r="R587">
        <v>12400.64</v>
      </c>
      <c r="S587" t="s">
        <v>1363</v>
      </c>
      <c r="T587" t="s">
        <v>1361</v>
      </c>
      <c r="U587" s="4">
        <v>45551</v>
      </c>
      <c r="V587" s="4">
        <v>45556</v>
      </c>
      <c r="W587" t="b">
        <v>0</v>
      </c>
      <c r="Z587" t="s">
        <v>1384</v>
      </c>
      <c r="AA587" t="s">
        <v>1399</v>
      </c>
      <c r="AB587" t="s">
        <v>1393</v>
      </c>
    </row>
    <row r="588" spans="1:28" x14ac:dyDescent="0.3">
      <c r="A588" t="s">
        <v>950</v>
      </c>
      <c r="B588" s="6">
        <v>45591.386805555558</v>
      </c>
      <c r="C588" t="s">
        <v>128</v>
      </c>
      <c r="D588" t="s">
        <v>1182</v>
      </c>
      <c r="E588" t="s">
        <v>1183</v>
      </c>
      <c r="F588" t="s">
        <v>1143</v>
      </c>
      <c r="G588" t="s">
        <v>1144</v>
      </c>
      <c r="H588" t="s">
        <v>1159</v>
      </c>
      <c r="I588" t="s">
        <v>1272</v>
      </c>
      <c r="J588" t="s">
        <v>1273</v>
      </c>
      <c r="K588">
        <v>1</v>
      </c>
      <c r="L588">
        <v>10537</v>
      </c>
      <c r="M588">
        <v>0.15</v>
      </c>
      <c r="N588">
        <v>8956.4499999999989</v>
      </c>
      <c r="O588">
        <v>0.05</v>
      </c>
      <c r="P588">
        <v>8956.4499999999989</v>
      </c>
      <c r="Q588">
        <v>447.82249999999999</v>
      </c>
      <c r="R588">
        <v>9404.2724999999991</v>
      </c>
      <c r="S588" t="s">
        <v>1366</v>
      </c>
      <c r="T588" t="s">
        <v>1361</v>
      </c>
      <c r="U588" s="4">
        <v>45592</v>
      </c>
      <c r="V588" s="4">
        <v>45596</v>
      </c>
      <c r="W588" t="b">
        <v>0</v>
      </c>
      <c r="Z588" t="s">
        <v>1384</v>
      </c>
      <c r="AA588" t="s">
        <v>1397</v>
      </c>
      <c r="AB588" t="s">
        <v>1393</v>
      </c>
    </row>
    <row r="589" spans="1:28" x14ac:dyDescent="0.3">
      <c r="A589" t="s">
        <v>951</v>
      </c>
      <c r="B589" s="6">
        <v>45536.494444444441</v>
      </c>
      <c r="C589" t="s">
        <v>16</v>
      </c>
      <c r="D589" t="s">
        <v>1148</v>
      </c>
      <c r="E589" t="s">
        <v>1171</v>
      </c>
      <c r="F589" t="s">
        <v>1143</v>
      </c>
      <c r="G589" t="s">
        <v>1177</v>
      </c>
      <c r="H589" t="s">
        <v>1178</v>
      </c>
      <c r="I589" t="s">
        <v>1220</v>
      </c>
      <c r="J589" t="s">
        <v>1221</v>
      </c>
      <c r="K589">
        <v>2</v>
      </c>
      <c r="L589">
        <v>2277</v>
      </c>
      <c r="M589">
        <v>0</v>
      </c>
      <c r="N589">
        <v>2277</v>
      </c>
      <c r="O589">
        <v>0.12</v>
      </c>
      <c r="P589">
        <v>4554</v>
      </c>
      <c r="Q589">
        <v>546.48</v>
      </c>
      <c r="R589">
        <v>5100.4799999999996</v>
      </c>
      <c r="S589" t="s">
        <v>1360</v>
      </c>
      <c r="T589" t="s">
        <v>1361</v>
      </c>
      <c r="U589" s="4">
        <v>45538</v>
      </c>
      <c r="V589" s="4">
        <v>45543</v>
      </c>
      <c r="W589" t="b">
        <v>0</v>
      </c>
      <c r="Z589" t="s">
        <v>1382</v>
      </c>
      <c r="AA589" t="s">
        <v>1400</v>
      </c>
      <c r="AB589" t="s">
        <v>1378</v>
      </c>
    </row>
    <row r="590" spans="1:28" x14ac:dyDescent="0.3">
      <c r="A590" t="s">
        <v>953</v>
      </c>
      <c r="B590" s="6">
        <v>45754.595833333333</v>
      </c>
      <c r="C590" t="s">
        <v>421</v>
      </c>
      <c r="D590" t="s">
        <v>1182</v>
      </c>
      <c r="E590" t="s">
        <v>1207</v>
      </c>
      <c r="F590" t="s">
        <v>1143</v>
      </c>
      <c r="G590" t="s">
        <v>1167</v>
      </c>
      <c r="H590" t="s">
        <v>1263</v>
      </c>
      <c r="I590" t="s">
        <v>1346</v>
      </c>
      <c r="J590" t="s">
        <v>1347</v>
      </c>
      <c r="K590">
        <v>1</v>
      </c>
      <c r="L590">
        <v>45657</v>
      </c>
      <c r="M590">
        <v>0.05</v>
      </c>
      <c r="N590">
        <v>43374.15</v>
      </c>
      <c r="O590">
        <v>0.12</v>
      </c>
      <c r="P590">
        <v>43374.15</v>
      </c>
      <c r="Q590">
        <v>5204.8980000000001</v>
      </c>
      <c r="R590">
        <v>48579.048000000003</v>
      </c>
      <c r="S590" t="s">
        <v>1362</v>
      </c>
      <c r="T590" t="s">
        <v>1361</v>
      </c>
      <c r="U590" s="4">
        <v>45754</v>
      </c>
      <c r="V590" s="4">
        <v>45757</v>
      </c>
      <c r="W590" t="b">
        <v>0</v>
      </c>
      <c r="Z590" t="s">
        <v>1390</v>
      </c>
      <c r="AA590" t="s">
        <v>1397</v>
      </c>
      <c r="AB590" t="s">
        <v>1380</v>
      </c>
    </row>
    <row r="591" spans="1:28" x14ac:dyDescent="0.3">
      <c r="A591" t="s">
        <v>954</v>
      </c>
      <c r="B591" s="6">
        <v>45631.487500000003</v>
      </c>
      <c r="C591" t="s">
        <v>18</v>
      </c>
      <c r="D591" t="s">
        <v>1153</v>
      </c>
      <c r="E591" t="s">
        <v>1176</v>
      </c>
      <c r="F591" t="s">
        <v>1143</v>
      </c>
      <c r="G591" t="s">
        <v>1144</v>
      </c>
      <c r="H591" t="s">
        <v>1145</v>
      </c>
      <c r="I591" t="s">
        <v>1155</v>
      </c>
      <c r="J591" t="s">
        <v>1156</v>
      </c>
      <c r="K591">
        <v>2</v>
      </c>
      <c r="L591">
        <v>5466</v>
      </c>
      <c r="M591">
        <v>0</v>
      </c>
      <c r="N591">
        <v>5466</v>
      </c>
      <c r="O591">
        <v>0.12</v>
      </c>
      <c r="P591">
        <v>10932</v>
      </c>
      <c r="Q591">
        <v>1311.84</v>
      </c>
      <c r="R591">
        <v>12243.84</v>
      </c>
      <c r="S591" t="s">
        <v>1363</v>
      </c>
      <c r="T591" t="s">
        <v>1361</v>
      </c>
      <c r="U591" s="4">
        <v>45631</v>
      </c>
      <c r="V591" s="4">
        <v>45635</v>
      </c>
      <c r="W591" t="b">
        <v>0</v>
      </c>
      <c r="Z591" t="s">
        <v>1376</v>
      </c>
      <c r="AA591" t="s">
        <v>1400</v>
      </c>
      <c r="AB591" t="s">
        <v>1380</v>
      </c>
    </row>
    <row r="592" spans="1:28" x14ac:dyDescent="0.3">
      <c r="A592" t="s">
        <v>955</v>
      </c>
      <c r="B592" s="6">
        <v>45715.591666666667</v>
      </c>
      <c r="C592" t="s">
        <v>45</v>
      </c>
      <c r="D592" t="s">
        <v>1141</v>
      </c>
      <c r="E592" t="s">
        <v>1142</v>
      </c>
      <c r="F592" t="s">
        <v>1143</v>
      </c>
      <c r="G592" t="s">
        <v>1177</v>
      </c>
      <c r="H592" t="s">
        <v>1192</v>
      </c>
      <c r="I592" t="s">
        <v>1344</v>
      </c>
      <c r="J592" t="s">
        <v>1345</v>
      </c>
      <c r="K592">
        <v>2</v>
      </c>
      <c r="L592">
        <v>707</v>
      </c>
      <c r="M592">
        <v>0</v>
      </c>
      <c r="N592">
        <v>707</v>
      </c>
      <c r="O592">
        <v>0.12</v>
      </c>
      <c r="P592">
        <v>1414</v>
      </c>
      <c r="Q592">
        <v>169.68</v>
      </c>
      <c r="R592">
        <v>1583.68</v>
      </c>
      <c r="S592" t="s">
        <v>1365</v>
      </c>
      <c r="T592" t="s">
        <v>1364</v>
      </c>
      <c r="U592" s="4">
        <v>45717</v>
      </c>
      <c r="W592" t="b">
        <v>1</v>
      </c>
      <c r="X592" s="4">
        <v>45728</v>
      </c>
      <c r="Y592" s="4">
        <v>45728</v>
      </c>
      <c r="Z592" t="s">
        <v>1376</v>
      </c>
      <c r="AA592" t="s">
        <v>1397</v>
      </c>
      <c r="AB592" t="s">
        <v>1393</v>
      </c>
    </row>
    <row r="593" spans="1:28" x14ac:dyDescent="0.3">
      <c r="A593" t="s">
        <v>959</v>
      </c>
      <c r="B593" s="6">
        <v>45472.45</v>
      </c>
      <c r="C593" t="s">
        <v>30</v>
      </c>
      <c r="D593" t="s">
        <v>1153</v>
      </c>
      <c r="E593" t="s">
        <v>1162</v>
      </c>
      <c r="F593" t="s">
        <v>1143</v>
      </c>
      <c r="G593" t="s">
        <v>1163</v>
      </c>
      <c r="H593" t="s">
        <v>1266</v>
      </c>
      <c r="I593" t="s">
        <v>1348</v>
      </c>
      <c r="J593" t="s">
        <v>1349</v>
      </c>
      <c r="K593">
        <v>1</v>
      </c>
      <c r="L593">
        <v>139</v>
      </c>
      <c r="M593">
        <v>0.2</v>
      </c>
      <c r="N593">
        <v>111.2</v>
      </c>
      <c r="O593">
        <v>0.12</v>
      </c>
      <c r="P593">
        <v>111.2</v>
      </c>
      <c r="Q593">
        <v>13.343999999999999</v>
      </c>
      <c r="R593">
        <v>124.544</v>
      </c>
      <c r="S593" t="s">
        <v>1366</v>
      </c>
      <c r="T593" t="s">
        <v>1361</v>
      </c>
      <c r="U593" s="4">
        <v>45474</v>
      </c>
      <c r="V593" s="4">
        <v>45477</v>
      </c>
      <c r="W593" t="b">
        <v>0</v>
      </c>
      <c r="Z593" t="s">
        <v>1386</v>
      </c>
      <c r="AA593" t="s">
        <v>1387</v>
      </c>
      <c r="AB593" t="s">
        <v>1380</v>
      </c>
    </row>
    <row r="594" spans="1:28" x14ac:dyDescent="0.3">
      <c r="A594" t="s">
        <v>961</v>
      </c>
      <c r="B594" s="6">
        <v>45314.49722222222</v>
      </c>
      <c r="C594" t="s">
        <v>235</v>
      </c>
      <c r="D594" t="s">
        <v>1157</v>
      </c>
      <c r="E594" t="s">
        <v>1158</v>
      </c>
      <c r="F594" t="s">
        <v>1143</v>
      </c>
      <c r="G594" t="s">
        <v>1167</v>
      </c>
      <c r="H594" t="s">
        <v>1211</v>
      </c>
      <c r="I594" t="s">
        <v>1279</v>
      </c>
      <c r="J594" t="s">
        <v>1280</v>
      </c>
      <c r="K594">
        <v>3</v>
      </c>
      <c r="L594">
        <v>13845</v>
      </c>
      <c r="M594">
        <v>0.15</v>
      </c>
      <c r="N594">
        <v>11768.25</v>
      </c>
      <c r="O594">
        <v>0.18</v>
      </c>
      <c r="P594">
        <v>35304.75</v>
      </c>
      <c r="Q594">
        <v>6354.8549999999996</v>
      </c>
      <c r="R594">
        <v>41659.605000000003</v>
      </c>
      <c r="S594" t="s">
        <v>1362</v>
      </c>
      <c r="T594" t="s">
        <v>1361</v>
      </c>
      <c r="U594" s="4">
        <v>45314</v>
      </c>
      <c r="V594" s="4">
        <v>45318</v>
      </c>
      <c r="W594" t="b">
        <v>0</v>
      </c>
      <c r="Z594" t="s">
        <v>1392</v>
      </c>
      <c r="AA594" t="s">
        <v>1400</v>
      </c>
      <c r="AB594" t="s">
        <v>1389</v>
      </c>
    </row>
    <row r="595" spans="1:28" x14ac:dyDescent="0.3">
      <c r="A595" t="s">
        <v>962</v>
      </c>
      <c r="B595" s="6">
        <v>45477.515972222223</v>
      </c>
      <c r="C595" t="s">
        <v>179</v>
      </c>
      <c r="D595" t="s">
        <v>1141</v>
      </c>
      <c r="E595" t="s">
        <v>1239</v>
      </c>
      <c r="F595" t="s">
        <v>1143</v>
      </c>
      <c r="G595" t="s">
        <v>1172</v>
      </c>
      <c r="H595" t="s">
        <v>1173</v>
      </c>
      <c r="I595" t="s">
        <v>1222</v>
      </c>
      <c r="J595" t="s">
        <v>1223</v>
      </c>
      <c r="K595">
        <v>4</v>
      </c>
      <c r="L595">
        <v>4983</v>
      </c>
      <c r="M595">
        <v>0.05</v>
      </c>
      <c r="N595">
        <v>4733.8499999999995</v>
      </c>
      <c r="O595">
        <v>0.12</v>
      </c>
      <c r="P595">
        <v>18935.400000000001</v>
      </c>
      <c r="Q595">
        <v>2272.248</v>
      </c>
      <c r="R595">
        <v>21207.648000000001</v>
      </c>
      <c r="S595" t="s">
        <v>1360</v>
      </c>
      <c r="T595" t="s">
        <v>1361</v>
      </c>
      <c r="U595" s="4">
        <v>45477</v>
      </c>
      <c r="V595" s="4">
        <v>45478</v>
      </c>
      <c r="W595" t="b">
        <v>0</v>
      </c>
      <c r="Z595" t="s">
        <v>1392</v>
      </c>
      <c r="AA595" t="s">
        <v>1400</v>
      </c>
      <c r="AB595" t="s">
        <v>1383</v>
      </c>
    </row>
    <row r="596" spans="1:28" x14ac:dyDescent="0.3">
      <c r="A596" t="s">
        <v>964</v>
      </c>
      <c r="B596" s="6">
        <v>45618.619444444441</v>
      </c>
      <c r="C596" t="s">
        <v>498</v>
      </c>
      <c r="D596" t="s">
        <v>1141</v>
      </c>
      <c r="E596" t="s">
        <v>1285</v>
      </c>
      <c r="F596" t="s">
        <v>1143</v>
      </c>
      <c r="G596" t="s">
        <v>1144</v>
      </c>
      <c r="H596" t="s">
        <v>1145</v>
      </c>
      <c r="I596" t="s">
        <v>1146</v>
      </c>
      <c r="J596" t="s">
        <v>1147</v>
      </c>
      <c r="K596">
        <v>2</v>
      </c>
      <c r="L596">
        <v>5053</v>
      </c>
      <c r="M596">
        <v>0.05</v>
      </c>
      <c r="N596">
        <v>4800.3499999999995</v>
      </c>
      <c r="O596">
        <v>0.12</v>
      </c>
      <c r="P596">
        <v>9600.6999999999989</v>
      </c>
      <c r="Q596">
        <v>1152.0840000000001</v>
      </c>
      <c r="R596">
        <v>10752.784</v>
      </c>
      <c r="S596" t="s">
        <v>1363</v>
      </c>
      <c r="T596" t="s">
        <v>1361</v>
      </c>
      <c r="U596" s="4">
        <v>45618</v>
      </c>
      <c r="V596" s="4">
        <v>45621</v>
      </c>
      <c r="W596" t="b">
        <v>0</v>
      </c>
      <c r="Z596" t="s">
        <v>1382</v>
      </c>
      <c r="AA596" t="s">
        <v>1387</v>
      </c>
      <c r="AB596" t="s">
        <v>1380</v>
      </c>
    </row>
    <row r="597" spans="1:28" x14ac:dyDescent="0.3">
      <c r="A597" t="s">
        <v>966</v>
      </c>
      <c r="B597" s="6">
        <v>45519.661805555559</v>
      </c>
      <c r="C597" t="s">
        <v>505</v>
      </c>
      <c r="D597" t="s">
        <v>1157</v>
      </c>
      <c r="E597" t="s">
        <v>1158</v>
      </c>
      <c r="F597" t="s">
        <v>1143</v>
      </c>
      <c r="G597" t="s">
        <v>1163</v>
      </c>
      <c r="H597" t="s">
        <v>1240</v>
      </c>
      <c r="I597" t="s">
        <v>1241</v>
      </c>
      <c r="J597" t="s">
        <v>1242</v>
      </c>
      <c r="K597">
        <v>3</v>
      </c>
      <c r="L597">
        <v>155</v>
      </c>
      <c r="M597">
        <v>0.05</v>
      </c>
      <c r="N597">
        <v>147.25</v>
      </c>
      <c r="O597">
        <v>0.18</v>
      </c>
      <c r="P597">
        <v>441.75</v>
      </c>
      <c r="Q597">
        <v>79.515000000000001</v>
      </c>
      <c r="R597">
        <v>521.26499999999999</v>
      </c>
      <c r="S597" t="s">
        <v>1366</v>
      </c>
      <c r="T597" t="s">
        <v>1361</v>
      </c>
      <c r="U597" s="4">
        <v>45520</v>
      </c>
      <c r="V597" s="4">
        <v>45524</v>
      </c>
      <c r="W597" t="b">
        <v>0</v>
      </c>
      <c r="Z597" t="s">
        <v>1392</v>
      </c>
      <c r="AA597" t="s">
        <v>1394</v>
      </c>
      <c r="AB597" t="s">
        <v>1383</v>
      </c>
    </row>
    <row r="598" spans="1:28" x14ac:dyDescent="0.3">
      <c r="A598" t="s">
        <v>967</v>
      </c>
      <c r="B598" s="6">
        <v>45567.705555555556</v>
      </c>
      <c r="C598" t="s">
        <v>768</v>
      </c>
      <c r="D598" t="s">
        <v>1182</v>
      </c>
      <c r="E598" t="s">
        <v>1256</v>
      </c>
      <c r="F598" t="s">
        <v>1143</v>
      </c>
      <c r="G598" t="s">
        <v>1144</v>
      </c>
      <c r="H598" t="s">
        <v>1145</v>
      </c>
      <c r="I598" t="s">
        <v>1151</v>
      </c>
      <c r="J598" t="s">
        <v>1152</v>
      </c>
      <c r="K598">
        <v>1</v>
      </c>
      <c r="L598">
        <v>5368</v>
      </c>
      <c r="M598">
        <v>0.2</v>
      </c>
      <c r="N598">
        <v>4294.4000000000005</v>
      </c>
      <c r="O598">
        <v>0.05</v>
      </c>
      <c r="P598">
        <v>4294.4000000000005</v>
      </c>
      <c r="Q598">
        <v>214.72</v>
      </c>
      <c r="R598">
        <v>4509.1200000000008</v>
      </c>
      <c r="S598" t="s">
        <v>1360</v>
      </c>
      <c r="T598" t="s">
        <v>1361</v>
      </c>
      <c r="U598" s="4">
        <v>45568</v>
      </c>
      <c r="V598" s="4">
        <v>45570</v>
      </c>
      <c r="W598" t="b">
        <v>0</v>
      </c>
      <c r="Z598" t="s">
        <v>1398</v>
      </c>
      <c r="AA598" t="s">
        <v>1377</v>
      </c>
      <c r="AB598" t="s">
        <v>1391</v>
      </c>
    </row>
    <row r="599" spans="1:28" x14ac:dyDescent="0.3">
      <c r="A599" t="s">
        <v>968</v>
      </c>
      <c r="B599" s="6">
        <v>45350.552777777775</v>
      </c>
      <c r="C599" t="s">
        <v>128</v>
      </c>
      <c r="D599" t="s">
        <v>1182</v>
      </c>
      <c r="E599" t="s">
        <v>1183</v>
      </c>
      <c r="F599" t="s">
        <v>1143</v>
      </c>
      <c r="G599" t="s">
        <v>1177</v>
      </c>
      <c r="H599" t="s">
        <v>1178</v>
      </c>
      <c r="I599" t="s">
        <v>1179</v>
      </c>
      <c r="J599" t="s">
        <v>1180</v>
      </c>
      <c r="K599">
        <v>2</v>
      </c>
      <c r="L599">
        <v>1343</v>
      </c>
      <c r="M599">
        <v>0</v>
      </c>
      <c r="N599">
        <v>1343</v>
      </c>
      <c r="O599">
        <v>0.18</v>
      </c>
      <c r="P599">
        <v>2686</v>
      </c>
      <c r="Q599">
        <v>483.48</v>
      </c>
      <c r="R599">
        <v>3169.48</v>
      </c>
      <c r="S599" t="s">
        <v>1366</v>
      </c>
      <c r="T599" t="s">
        <v>1361</v>
      </c>
      <c r="U599" s="4">
        <v>45351</v>
      </c>
      <c r="V599" s="4">
        <v>45353</v>
      </c>
      <c r="W599" t="b">
        <v>0</v>
      </c>
      <c r="Z599" t="s">
        <v>1376</v>
      </c>
      <c r="AA599" t="s">
        <v>1394</v>
      </c>
      <c r="AB599" t="s">
        <v>1389</v>
      </c>
    </row>
    <row r="600" spans="1:28" x14ac:dyDescent="0.3">
      <c r="A600" t="s">
        <v>969</v>
      </c>
      <c r="B600" s="6">
        <v>45645.56527777778</v>
      </c>
      <c r="C600" t="s">
        <v>117</v>
      </c>
      <c r="D600" t="s">
        <v>1141</v>
      </c>
      <c r="E600" t="s">
        <v>1285</v>
      </c>
      <c r="F600" t="s">
        <v>1143</v>
      </c>
      <c r="G600" t="s">
        <v>1167</v>
      </c>
      <c r="H600" t="s">
        <v>1168</v>
      </c>
      <c r="I600" t="s">
        <v>1314</v>
      </c>
      <c r="J600" t="s">
        <v>1315</v>
      </c>
      <c r="K600">
        <v>1</v>
      </c>
      <c r="L600">
        <v>49018</v>
      </c>
      <c r="M600">
        <v>0</v>
      </c>
      <c r="N600">
        <v>49018</v>
      </c>
      <c r="O600">
        <v>0.18</v>
      </c>
      <c r="P600">
        <v>49018</v>
      </c>
      <c r="Q600">
        <v>8823.24</v>
      </c>
      <c r="R600">
        <v>57841.24</v>
      </c>
      <c r="S600" t="s">
        <v>1366</v>
      </c>
      <c r="T600" t="s">
        <v>1368</v>
      </c>
      <c r="U600" s="4">
        <v>45647</v>
      </c>
      <c r="W600" t="b">
        <v>0</v>
      </c>
      <c r="Z600" t="s">
        <v>1376</v>
      </c>
      <c r="AA600" t="s">
        <v>1394</v>
      </c>
      <c r="AB600" t="s">
        <v>1391</v>
      </c>
    </row>
    <row r="601" spans="1:28" x14ac:dyDescent="0.3">
      <c r="A601" t="s">
        <v>970</v>
      </c>
      <c r="B601" s="6">
        <v>45457.569444444445</v>
      </c>
      <c r="C601" t="s">
        <v>197</v>
      </c>
      <c r="D601" t="s">
        <v>1148</v>
      </c>
      <c r="E601" t="s">
        <v>1262</v>
      </c>
      <c r="F601" t="s">
        <v>1143</v>
      </c>
      <c r="G601" t="s">
        <v>1172</v>
      </c>
      <c r="H601" t="s">
        <v>1173</v>
      </c>
      <c r="I601" t="s">
        <v>1174</v>
      </c>
      <c r="J601" t="s">
        <v>1175</v>
      </c>
      <c r="K601">
        <v>2</v>
      </c>
      <c r="L601">
        <v>9993</v>
      </c>
      <c r="M601">
        <v>0</v>
      </c>
      <c r="N601">
        <v>9993</v>
      </c>
      <c r="O601">
        <v>0.18</v>
      </c>
      <c r="P601">
        <v>19986</v>
      </c>
      <c r="Q601">
        <v>3597.48</v>
      </c>
      <c r="R601">
        <v>23583.48</v>
      </c>
      <c r="S601" t="s">
        <v>1360</v>
      </c>
      <c r="T601" t="s">
        <v>1361</v>
      </c>
      <c r="U601" s="4">
        <v>45457</v>
      </c>
      <c r="V601" s="4">
        <v>45461</v>
      </c>
      <c r="W601" t="b">
        <v>0</v>
      </c>
      <c r="Z601" t="s">
        <v>1398</v>
      </c>
      <c r="AA601" t="s">
        <v>1400</v>
      </c>
      <c r="AB601" t="s">
        <v>1378</v>
      </c>
    </row>
    <row r="602" spans="1:28" x14ac:dyDescent="0.3">
      <c r="A602" t="s">
        <v>971</v>
      </c>
      <c r="B602" s="6">
        <v>45611.751388888886</v>
      </c>
      <c r="C602" t="s">
        <v>407</v>
      </c>
      <c r="D602" t="s">
        <v>1157</v>
      </c>
      <c r="E602" t="s">
        <v>1158</v>
      </c>
      <c r="F602" t="s">
        <v>1143</v>
      </c>
      <c r="G602" t="s">
        <v>1144</v>
      </c>
      <c r="H602" t="s">
        <v>1159</v>
      </c>
      <c r="I602" t="s">
        <v>1272</v>
      </c>
      <c r="J602" t="s">
        <v>1273</v>
      </c>
      <c r="K602">
        <v>2</v>
      </c>
      <c r="L602">
        <v>9017</v>
      </c>
      <c r="M602">
        <v>0.2</v>
      </c>
      <c r="N602">
        <v>7213.6</v>
      </c>
      <c r="O602">
        <v>0.12</v>
      </c>
      <c r="P602">
        <v>14427.2</v>
      </c>
      <c r="Q602">
        <v>1731.2639999999999</v>
      </c>
      <c r="R602">
        <v>16158.464</v>
      </c>
      <c r="S602" t="s">
        <v>1363</v>
      </c>
      <c r="T602" t="s">
        <v>1361</v>
      </c>
      <c r="U602" s="4">
        <v>45612</v>
      </c>
      <c r="V602" s="4">
        <v>45613</v>
      </c>
      <c r="W602" t="b">
        <v>0</v>
      </c>
      <c r="Z602" t="s">
        <v>1386</v>
      </c>
      <c r="AA602" t="s">
        <v>1400</v>
      </c>
      <c r="AB602" t="s">
        <v>1378</v>
      </c>
    </row>
    <row r="603" spans="1:28" x14ac:dyDescent="0.3">
      <c r="A603" t="s">
        <v>973</v>
      </c>
      <c r="B603" s="6">
        <v>45354.615277777775</v>
      </c>
      <c r="C603" t="s">
        <v>42</v>
      </c>
      <c r="D603" t="s">
        <v>1148</v>
      </c>
      <c r="E603" t="s">
        <v>1217</v>
      </c>
      <c r="F603" t="s">
        <v>1143</v>
      </c>
      <c r="G603" t="s">
        <v>1177</v>
      </c>
      <c r="H603" t="s">
        <v>1178</v>
      </c>
      <c r="I603" t="s">
        <v>1220</v>
      </c>
      <c r="J603" t="s">
        <v>1221</v>
      </c>
      <c r="K603">
        <v>4</v>
      </c>
      <c r="L603">
        <v>2012</v>
      </c>
      <c r="M603">
        <v>0.05</v>
      </c>
      <c r="N603">
        <v>1911.4</v>
      </c>
      <c r="O603">
        <v>0.18</v>
      </c>
      <c r="P603">
        <v>7645.5999999999995</v>
      </c>
      <c r="Q603">
        <v>1376.2080000000001</v>
      </c>
      <c r="R603">
        <v>9021.8079999999991</v>
      </c>
      <c r="S603" t="s">
        <v>1362</v>
      </c>
      <c r="T603" t="s">
        <v>1361</v>
      </c>
      <c r="U603" s="4">
        <v>45356</v>
      </c>
      <c r="V603" s="4">
        <v>45359</v>
      </c>
      <c r="W603" t="b">
        <v>0</v>
      </c>
      <c r="Z603" t="s">
        <v>1384</v>
      </c>
      <c r="AA603" t="s">
        <v>1377</v>
      </c>
      <c r="AB603" t="s">
        <v>1391</v>
      </c>
    </row>
    <row r="604" spans="1:28" x14ac:dyDescent="0.3">
      <c r="A604" t="s">
        <v>975</v>
      </c>
      <c r="B604" s="6">
        <v>45292.711111111108</v>
      </c>
      <c r="C604" t="s">
        <v>290</v>
      </c>
      <c r="D604" t="s">
        <v>1141</v>
      </c>
      <c r="E604" t="s">
        <v>1227</v>
      </c>
      <c r="F604" t="s">
        <v>1143</v>
      </c>
      <c r="G604" t="s">
        <v>1167</v>
      </c>
      <c r="H604" t="s">
        <v>1211</v>
      </c>
      <c r="I604" t="s">
        <v>1212</v>
      </c>
      <c r="J604" t="s">
        <v>1213</v>
      </c>
      <c r="K604">
        <v>2</v>
      </c>
      <c r="L604">
        <v>49376</v>
      </c>
      <c r="M604">
        <v>0.05</v>
      </c>
      <c r="N604">
        <v>46907.199999999997</v>
      </c>
      <c r="O604">
        <v>0.12</v>
      </c>
      <c r="P604">
        <v>93814.399999999994</v>
      </c>
      <c r="Q604">
        <v>11257.727999999999</v>
      </c>
      <c r="R604">
        <v>105072.128</v>
      </c>
      <c r="S604" t="s">
        <v>1363</v>
      </c>
      <c r="T604" t="s">
        <v>1361</v>
      </c>
      <c r="U604" s="4">
        <v>45294</v>
      </c>
      <c r="V604" s="4">
        <v>45297</v>
      </c>
      <c r="W604" t="b">
        <v>0</v>
      </c>
      <c r="Z604" t="s">
        <v>1382</v>
      </c>
      <c r="AA604" t="s">
        <v>1400</v>
      </c>
      <c r="AB604" t="s">
        <v>1389</v>
      </c>
    </row>
    <row r="605" spans="1:28" x14ac:dyDescent="0.3">
      <c r="A605" t="s">
        <v>978</v>
      </c>
      <c r="B605" s="6">
        <v>45539.525694444441</v>
      </c>
      <c r="C605" t="s">
        <v>14</v>
      </c>
      <c r="D605" t="s">
        <v>1153</v>
      </c>
      <c r="E605" t="s">
        <v>1162</v>
      </c>
      <c r="F605" t="s">
        <v>1143</v>
      </c>
      <c r="G605" t="s">
        <v>1144</v>
      </c>
      <c r="H605" t="s">
        <v>1159</v>
      </c>
      <c r="I605" t="s">
        <v>1160</v>
      </c>
      <c r="J605" t="s">
        <v>1161</v>
      </c>
      <c r="K605">
        <v>1</v>
      </c>
      <c r="L605">
        <v>13283</v>
      </c>
      <c r="M605">
        <v>0.2</v>
      </c>
      <c r="N605">
        <v>10626.4</v>
      </c>
      <c r="O605">
        <v>0.12</v>
      </c>
      <c r="P605">
        <v>10626.4</v>
      </c>
      <c r="Q605">
        <v>1275.1679999999999</v>
      </c>
      <c r="R605">
        <v>11901.567999999999</v>
      </c>
      <c r="S605" t="s">
        <v>1365</v>
      </c>
      <c r="T605" t="s">
        <v>1361</v>
      </c>
      <c r="U605" s="4">
        <v>45541</v>
      </c>
      <c r="V605" s="4">
        <v>45545</v>
      </c>
      <c r="W605" t="b">
        <v>0</v>
      </c>
      <c r="Z605" t="s">
        <v>1388</v>
      </c>
      <c r="AA605" t="s">
        <v>1397</v>
      </c>
      <c r="AB605" t="s">
        <v>1393</v>
      </c>
    </row>
    <row r="606" spans="1:28" x14ac:dyDescent="0.3">
      <c r="A606" t="s">
        <v>980</v>
      </c>
      <c r="B606" s="6">
        <v>45489.615972222222</v>
      </c>
      <c r="C606" t="s">
        <v>273</v>
      </c>
      <c r="D606" t="s">
        <v>1157</v>
      </c>
      <c r="E606" t="s">
        <v>1158</v>
      </c>
      <c r="F606" t="s">
        <v>1143</v>
      </c>
      <c r="G606" t="s">
        <v>1177</v>
      </c>
      <c r="H606" t="s">
        <v>1236</v>
      </c>
      <c r="I606" t="s">
        <v>1338</v>
      </c>
      <c r="J606" t="s">
        <v>1339</v>
      </c>
      <c r="K606">
        <v>3</v>
      </c>
      <c r="L606">
        <v>1823</v>
      </c>
      <c r="M606">
        <v>0.2</v>
      </c>
      <c r="N606">
        <v>1458.4</v>
      </c>
      <c r="O606">
        <v>0.12</v>
      </c>
      <c r="P606">
        <v>4375.2000000000007</v>
      </c>
      <c r="Q606">
        <v>525.02400000000011</v>
      </c>
      <c r="R606">
        <v>4900.2240000000011</v>
      </c>
      <c r="S606" t="s">
        <v>1365</v>
      </c>
      <c r="T606" t="s">
        <v>1361</v>
      </c>
      <c r="U606" s="4">
        <v>45491</v>
      </c>
      <c r="V606" s="4">
        <v>45494</v>
      </c>
      <c r="W606" t="b">
        <v>0</v>
      </c>
      <c r="Z606" t="s">
        <v>1396</v>
      </c>
      <c r="AA606" t="s">
        <v>1377</v>
      </c>
      <c r="AB606" t="s">
        <v>1395</v>
      </c>
    </row>
    <row r="607" spans="1:28" x14ac:dyDescent="0.3">
      <c r="A607" t="s">
        <v>982</v>
      </c>
      <c r="B607" s="6">
        <v>45637.565972222219</v>
      </c>
      <c r="C607" t="s">
        <v>135</v>
      </c>
      <c r="D607" t="s">
        <v>1182</v>
      </c>
      <c r="E607" t="s">
        <v>1207</v>
      </c>
      <c r="F607" t="s">
        <v>1143</v>
      </c>
      <c r="G607" t="s">
        <v>1172</v>
      </c>
      <c r="H607" t="s">
        <v>1188</v>
      </c>
      <c r="I607" t="s">
        <v>1189</v>
      </c>
      <c r="J607" t="s">
        <v>1190</v>
      </c>
      <c r="K607">
        <v>1</v>
      </c>
      <c r="L607">
        <v>5836</v>
      </c>
      <c r="M607">
        <v>0</v>
      </c>
      <c r="N607">
        <v>5836</v>
      </c>
      <c r="O607">
        <v>0.12</v>
      </c>
      <c r="P607">
        <v>5836</v>
      </c>
      <c r="Q607">
        <v>700.31999999999994</v>
      </c>
      <c r="R607">
        <v>6536.32</v>
      </c>
      <c r="S607" t="s">
        <v>1360</v>
      </c>
      <c r="T607" t="s">
        <v>1361</v>
      </c>
      <c r="U607" s="4">
        <v>45637</v>
      </c>
      <c r="V607" s="4">
        <v>45640</v>
      </c>
      <c r="W607" t="b">
        <v>0</v>
      </c>
      <c r="Z607" t="s">
        <v>1396</v>
      </c>
      <c r="AA607" t="s">
        <v>1385</v>
      </c>
      <c r="AB607" t="s">
        <v>1395</v>
      </c>
    </row>
    <row r="608" spans="1:28" x14ac:dyDescent="0.3">
      <c r="A608" t="s">
        <v>984</v>
      </c>
      <c r="B608" s="6">
        <v>45443.462500000001</v>
      </c>
      <c r="C608" t="s">
        <v>164</v>
      </c>
      <c r="D608" t="s">
        <v>1157</v>
      </c>
      <c r="E608" t="s">
        <v>1249</v>
      </c>
      <c r="F608" t="s">
        <v>1143</v>
      </c>
      <c r="G608" t="s">
        <v>1144</v>
      </c>
      <c r="H608" t="s">
        <v>1159</v>
      </c>
      <c r="I608" t="s">
        <v>1272</v>
      </c>
      <c r="J608" t="s">
        <v>1273</v>
      </c>
      <c r="K608">
        <v>2</v>
      </c>
      <c r="L608">
        <v>3644</v>
      </c>
      <c r="M608">
        <v>0.1</v>
      </c>
      <c r="N608">
        <v>3279.6</v>
      </c>
      <c r="O608">
        <v>0.05</v>
      </c>
      <c r="P608">
        <v>6559.2</v>
      </c>
      <c r="Q608">
        <v>327.96</v>
      </c>
      <c r="R608">
        <v>6887.16</v>
      </c>
      <c r="S608" t="s">
        <v>1365</v>
      </c>
      <c r="T608" t="s">
        <v>1367</v>
      </c>
      <c r="U608" s="4">
        <v>45443</v>
      </c>
      <c r="W608" t="b">
        <v>0</v>
      </c>
      <c r="Z608" t="s">
        <v>1382</v>
      </c>
      <c r="AA608" t="s">
        <v>1385</v>
      </c>
      <c r="AB608" t="s">
        <v>1393</v>
      </c>
    </row>
    <row r="609" spans="1:28" x14ac:dyDescent="0.3">
      <c r="A609" t="s">
        <v>986</v>
      </c>
      <c r="B609" s="6">
        <v>45532.431250000001</v>
      </c>
      <c r="C609" t="s">
        <v>264</v>
      </c>
      <c r="D609" t="s">
        <v>1153</v>
      </c>
      <c r="E609" t="s">
        <v>1162</v>
      </c>
      <c r="F609" t="s">
        <v>1143</v>
      </c>
      <c r="G609" t="s">
        <v>1177</v>
      </c>
      <c r="H609" t="s">
        <v>1195</v>
      </c>
      <c r="I609" t="s">
        <v>1218</v>
      </c>
      <c r="J609" t="s">
        <v>1219</v>
      </c>
      <c r="K609">
        <v>4</v>
      </c>
      <c r="L609">
        <v>2848</v>
      </c>
      <c r="M609">
        <v>0</v>
      </c>
      <c r="N609">
        <v>2848</v>
      </c>
      <c r="O609">
        <v>0.18</v>
      </c>
      <c r="P609">
        <v>11392</v>
      </c>
      <c r="Q609">
        <v>2050.56</v>
      </c>
      <c r="R609">
        <v>13442.56</v>
      </c>
      <c r="S609" t="s">
        <v>1363</v>
      </c>
      <c r="T609" t="s">
        <v>1361</v>
      </c>
      <c r="U609" s="4">
        <v>45534</v>
      </c>
      <c r="V609" s="4">
        <v>45538</v>
      </c>
      <c r="W609" t="b">
        <v>0</v>
      </c>
      <c r="Z609" t="s">
        <v>1396</v>
      </c>
      <c r="AA609" t="s">
        <v>1400</v>
      </c>
      <c r="AB609" t="s">
        <v>1395</v>
      </c>
    </row>
    <row r="610" spans="1:28" x14ac:dyDescent="0.3">
      <c r="A610" t="s">
        <v>988</v>
      </c>
      <c r="B610" s="6">
        <v>45738.606944444444</v>
      </c>
      <c r="C610" t="s">
        <v>629</v>
      </c>
      <c r="D610" t="s">
        <v>1153</v>
      </c>
      <c r="E610" t="s">
        <v>1191</v>
      </c>
      <c r="F610" t="s">
        <v>1143</v>
      </c>
      <c r="G610" t="s">
        <v>1172</v>
      </c>
      <c r="H610" t="s">
        <v>1173</v>
      </c>
      <c r="I610" t="s">
        <v>1222</v>
      </c>
      <c r="J610" t="s">
        <v>1223</v>
      </c>
      <c r="K610">
        <v>2</v>
      </c>
      <c r="L610">
        <v>9098</v>
      </c>
      <c r="M610">
        <v>0</v>
      </c>
      <c r="N610">
        <v>9098</v>
      </c>
      <c r="O610">
        <v>0.12</v>
      </c>
      <c r="P610">
        <v>18196</v>
      </c>
      <c r="Q610">
        <v>2183.52</v>
      </c>
      <c r="R610">
        <v>20379.52</v>
      </c>
      <c r="S610" t="s">
        <v>1362</v>
      </c>
      <c r="T610" t="s">
        <v>1361</v>
      </c>
      <c r="U610" s="4">
        <v>45739</v>
      </c>
      <c r="V610" s="4">
        <v>45740</v>
      </c>
      <c r="W610" t="b">
        <v>0</v>
      </c>
      <c r="Z610" t="s">
        <v>1398</v>
      </c>
      <c r="AA610" t="s">
        <v>1397</v>
      </c>
      <c r="AB610" t="s">
        <v>1389</v>
      </c>
    </row>
    <row r="611" spans="1:28" x14ac:dyDescent="0.3">
      <c r="A611" t="s">
        <v>991</v>
      </c>
      <c r="B611" s="6">
        <v>45519.499305555553</v>
      </c>
      <c r="C611" t="s">
        <v>271</v>
      </c>
      <c r="D611" t="s">
        <v>1148</v>
      </c>
      <c r="E611" t="s">
        <v>1149</v>
      </c>
      <c r="F611" t="s">
        <v>1143</v>
      </c>
      <c r="G611" t="s">
        <v>1172</v>
      </c>
      <c r="H611" t="s">
        <v>1204</v>
      </c>
      <c r="I611" t="s">
        <v>1297</v>
      </c>
      <c r="J611" t="s">
        <v>1298</v>
      </c>
      <c r="K611">
        <v>2</v>
      </c>
      <c r="L611">
        <v>2971</v>
      </c>
      <c r="M611">
        <v>0</v>
      </c>
      <c r="N611">
        <v>2971</v>
      </c>
      <c r="O611">
        <v>0.05</v>
      </c>
      <c r="P611">
        <v>5942</v>
      </c>
      <c r="Q611">
        <v>297.10000000000002</v>
      </c>
      <c r="R611">
        <v>6239.1</v>
      </c>
      <c r="S611" t="s">
        <v>1365</v>
      </c>
      <c r="T611" t="s">
        <v>1361</v>
      </c>
      <c r="U611" s="4">
        <v>45520</v>
      </c>
      <c r="V611" s="4">
        <v>45523</v>
      </c>
      <c r="W611" t="b">
        <v>0</v>
      </c>
      <c r="Z611" t="s">
        <v>1398</v>
      </c>
      <c r="AA611" t="s">
        <v>1387</v>
      </c>
      <c r="AB611" t="s">
        <v>1383</v>
      </c>
    </row>
    <row r="612" spans="1:28" x14ac:dyDescent="0.3">
      <c r="A612" t="s">
        <v>992</v>
      </c>
      <c r="B612" s="6">
        <v>45355.54583333333</v>
      </c>
      <c r="C612" t="s">
        <v>229</v>
      </c>
      <c r="D612" t="s">
        <v>1148</v>
      </c>
      <c r="E612" t="s">
        <v>1149</v>
      </c>
      <c r="F612" t="s">
        <v>1143</v>
      </c>
      <c r="G612" t="s">
        <v>1144</v>
      </c>
      <c r="H612" t="s">
        <v>1214</v>
      </c>
      <c r="I612" t="s">
        <v>1215</v>
      </c>
      <c r="J612" t="s">
        <v>1216</v>
      </c>
      <c r="K612">
        <v>1</v>
      </c>
      <c r="L612">
        <v>14430</v>
      </c>
      <c r="M612">
        <v>0</v>
      </c>
      <c r="N612">
        <v>14430</v>
      </c>
      <c r="O612">
        <v>0.12</v>
      </c>
      <c r="P612">
        <v>14430</v>
      </c>
      <c r="Q612">
        <v>1731.6</v>
      </c>
      <c r="R612">
        <v>16161.6</v>
      </c>
      <c r="S612" t="s">
        <v>1363</v>
      </c>
      <c r="T612" t="s">
        <v>1361</v>
      </c>
      <c r="U612" s="4">
        <v>45355</v>
      </c>
      <c r="V612" s="4">
        <v>45360</v>
      </c>
      <c r="W612" t="b">
        <v>0</v>
      </c>
      <c r="Z612" t="s">
        <v>1376</v>
      </c>
      <c r="AA612" t="s">
        <v>1397</v>
      </c>
      <c r="AB612" t="s">
        <v>1383</v>
      </c>
    </row>
    <row r="613" spans="1:28" x14ac:dyDescent="0.3">
      <c r="A613" t="s">
        <v>993</v>
      </c>
      <c r="B613" s="6">
        <v>45759.612500000003</v>
      </c>
      <c r="C613" t="s">
        <v>346</v>
      </c>
      <c r="D613" t="s">
        <v>1153</v>
      </c>
      <c r="E613" t="s">
        <v>1162</v>
      </c>
      <c r="F613" t="s">
        <v>1143</v>
      </c>
      <c r="G613" t="s">
        <v>1163</v>
      </c>
      <c r="H613" t="s">
        <v>1184</v>
      </c>
      <c r="I613" t="s">
        <v>1260</v>
      </c>
      <c r="J613" t="s">
        <v>1261</v>
      </c>
      <c r="K613">
        <v>2</v>
      </c>
      <c r="L613">
        <v>1014</v>
      </c>
      <c r="M613">
        <v>0.1</v>
      </c>
      <c r="N613">
        <v>912.6</v>
      </c>
      <c r="O613">
        <v>0.05</v>
      </c>
      <c r="P613">
        <v>1825.2</v>
      </c>
      <c r="Q613">
        <v>91.26</v>
      </c>
      <c r="R613">
        <v>1916.46</v>
      </c>
      <c r="S613" t="s">
        <v>1360</v>
      </c>
      <c r="T613" t="s">
        <v>1361</v>
      </c>
      <c r="U613" s="4">
        <v>45760</v>
      </c>
      <c r="V613" s="4">
        <v>45763</v>
      </c>
      <c r="W613" t="b">
        <v>0</v>
      </c>
      <c r="Z613" t="s">
        <v>1398</v>
      </c>
      <c r="AA613" t="s">
        <v>1399</v>
      </c>
      <c r="AB613" t="s">
        <v>1389</v>
      </c>
    </row>
    <row r="614" spans="1:28" x14ac:dyDescent="0.3">
      <c r="A614" t="s">
        <v>994</v>
      </c>
      <c r="B614" s="6">
        <v>45511.487500000003</v>
      </c>
      <c r="C614" t="s">
        <v>171</v>
      </c>
      <c r="D614" t="s">
        <v>1182</v>
      </c>
      <c r="E614" t="s">
        <v>1207</v>
      </c>
      <c r="F614" t="s">
        <v>1143</v>
      </c>
      <c r="G614" t="s">
        <v>1167</v>
      </c>
      <c r="H614" t="s">
        <v>1208</v>
      </c>
      <c r="I614" t="s">
        <v>1322</v>
      </c>
      <c r="J614" t="s">
        <v>1323</v>
      </c>
      <c r="K614">
        <v>4</v>
      </c>
      <c r="L614">
        <v>32628</v>
      </c>
      <c r="M614">
        <v>0.1</v>
      </c>
      <c r="N614">
        <v>29365.200000000001</v>
      </c>
      <c r="O614">
        <v>0.18</v>
      </c>
      <c r="P614">
        <v>117460.8</v>
      </c>
      <c r="Q614">
        <v>21142.944</v>
      </c>
      <c r="R614">
        <v>138603.74400000001</v>
      </c>
      <c r="S614" t="s">
        <v>1360</v>
      </c>
      <c r="T614" t="s">
        <v>1361</v>
      </c>
      <c r="U614" s="4">
        <v>45512</v>
      </c>
      <c r="V614" s="4">
        <v>45516</v>
      </c>
      <c r="W614" t="b">
        <v>0</v>
      </c>
      <c r="Z614" t="s">
        <v>1388</v>
      </c>
      <c r="AA614" t="s">
        <v>1387</v>
      </c>
      <c r="AB614" t="s">
        <v>1380</v>
      </c>
    </row>
    <row r="615" spans="1:28" x14ac:dyDescent="0.3">
      <c r="A615" t="s">
        <v>995</v>
      </c>
      <c r="B615" s="6">
        <v>45547.550694444442</v>
      </c>
      <c r="C615" t="s">
        <v>273</v>
      </c>
      <c r="D615" t="s">
        <v>1157</v>
      </c>
      <c r="E615" t="s">
        <v>1158</v>
      </c>
      <c r="F615" t="s">
        <v>1143</v>
      </c>
      <c r="G615" t="s">
        <v>1172</v>
      </c>
      <c r="H615" t="s">
        <v>1204</v>
      </c>
      <c r="I615" t="s">
        <v>1205</v>
      </c>
      <c r="J615" t="s">
        <v>1206</v>
      </c>
      <c r="K615">
        <v>1</v>
      </c>
      <c r="L615">
        <v>1358</v>
      </c>
      <c r="M615">
        <v>0.15</v>
      </c>
      <c r="N615">
        <v>1154.3</v>
      </c>
      <c r="O615">
        <v>0.18</v>
      </c>
      <c r="P615">
        <v>1154.3</v>
      </c>
      <c r="Q615">
        <v>207.774</v>
      </c>
      <c r="R615">
        <v>1362.0740000000001</v>
      </c>
      <c r="S615" t="s">
        <v>1366</v>
      </c>
      <c r="T615" t="s">
        <v>1361</v>
      </c>
      <c r="U615" s="4">
        <v>45548</v>
      </c>
      <c r="V615" s="4">
        <v>45551</v>
      </c>
      <c r="W615" t="b">
        <v>0</v>
      </c>
      <c r="Z615" t="s">
        <v>1390</v>
      </c>
      <c r="AA615" t="s">
        <v>1385</v>
      </c>
      <c r="AB615" t="s">
        <v>1380</v>
      </c>
    </row>
    <row r="616" spans="1:28" x14ac:dyDescent="0.3">
      <c r="A616" t="s">
        <v>996</v>
      </c>
      <c r="B616" s="6">
        <v>45758.515277777777</v>
      </c>
      <c r="C616" t="s">
        <v>366</v>
      </c>
      <c r="D616" t="s">
        <v>1157</v>
      </c>
      <c r="E616" t="s">
        <v>1249</v>
      </c>
      <c r="F616" t="s">
        <v>1143</v>
      </c>
      <c r="G616" t="s">
        <v>1177</v>
      </c>
      <c r="H616" t="s">
        <v>1236</v>
      </c>
      <c r="I616" t="s">
        <v>1237</v>
      </c>
      <c r="J616" t="s">
        <v>1238</v>
      </c>
      <c r="K616">
        <v>4</v>
      </c>
      <c r="L616">
        <v>2817</v>
      </c>
      <c r="M616">
        <v>0.15</v>
      </c>
      <c r="N616">
        <v>2394.4499999999998</v>
      </c>
      <c r="O616">
        <v>0.18</v>
      </c>
      <c r="P616">
        <v>9577.7999999999993</v>
      </c>
      <c r="Q616">
        <v>1724.0039999999999</v>
      </c>
      <c r="R616">
        <v>11301.804</v>
      </c>
      <c r="S616" t="s">
        <v>1365</v>
      </c>
      <c r="T616" t="s">
        <v>1361</v>
      </c>
      <c r="U616" s="4">
        <v>45758</v>
      </c>
      <c r="V616" s="4">
        <v>45762</v>
      </c>
      <c r="W616" t="b">
        <v>0</v>
      </c>
      <c r="Z616" t="s">
        <v>1376</v>
      </c>
      <c r="AA616" t="s">
        <v>1387</v>
      </c>
      <c r="AB616" t="s">
        <v>1378</v>
      </c>
    </row>
    <row r="617" spans="1:28" x14ac:dyDescent="0.3">
      <c r="A617" t="s">
        <v>998</v>
      </c>
      <c r="B617" s="6">
        <v>45470.619444444441</v>
      </c>
      <c r="C617" t="s">
        <v>275</v>
      </c>
      <c r="D617" t="s">
        <v>1141</v>
      </c>
      <c r="E617" t="s">
        <v>1227</v>
      </c>
      <c r="F617" t="s">
        <v>1143</v>
      </c>
      <c r="G617" t="s">
        <v>1172</v>
      </c>
      <c r="H617" t="s">
        <v>1188</v>
      </c>
      <c r="I617" t="s">
        <v>1232</v>
      </c>
      <c r="J617" t="s">
        <v>1233</v>
      </c>
      <c r="K617">
        <v>2</v>
      </c>
      <c r="L617">
        <v>9326</v>
      </c>
      <c r="M617">
        <v>0.05</v>
      </c>
      <c r="N617">
        <v>8859.6999999999989</v>
      </c>
      <c r="O617">
        <v>0.12</v>
      </c>
      <c r="P617">
        <v>17719.400000000001</v>
      </c>
      <c r="Q617">
        <v>2126.328</v>
      </c>
      <c r="R617">
        <v>19845.727999999999</v>
      </c>
      <c r="S617" t="s">
        <v>1362</v>
      </c>
      <c r="T617" t="s">
        <v>1361</v>
      </c>
      <c r="U617" s="4">
        <v>45472</v>
      </c>
      <c r="V617" s="4">
        <v>45476</v>
      </c>
      <c r="W617" t="b">
        <v>0</v>
      </c>
      <c r="Z617" t="s">
        <v>1386</v>
      </c>
      <c r="AA617" t="s">
        <v>1397</v>
      </c>
      <c r="AB617" t="s">
        <v>1395</v>
      </c>
    </row>
    <row r="618" spans="1:28" x14ac:dyDescent="0.3">
      <c r="A618" t="s">
        <v>1001</v>
      </c>
      <c r="B618" s="6">
        <v>45440.606944444444</v>
      </c>
      <c r="C618" t="s">
        <v>494</v>
      </c>
      <c r="D618" t="s">
        <v>1153</v>
      </c>
      <c r="E618" t="s">
        <v>1191</v>
      </c>
      <c r="F618" t="s">
        <v>1143</v>
      </c>
      <c r="G618" t="s">
        <v>1163</v>
      </c>
      <c r="H618" t="s">
        <v>1266</v>
      </c>
      <c r="I618" t="s">
        <v>1348</v>
      </c>
      <c r="J618" t="s">
        <v>1349</v>
      </c>
      <c r="K618">
        <v>1</v>
      </c>
      <c r="L618">
        <v>300</v>
      </c>
      <c r="M618">
        <v>0.1</v>
      </c>
      <c r="N618">
        <v>270</v>
      </c>
      <c r="O618">
        <v>0.18</v>
      </c>
      <c r="P618">
        <v>270</v>
      </c>
      <c r="Q618">
        <v>48.6</v>
      </c>
      <c r="R618">
        <v>318.60000000000002</v>
      </c>
      <c r="S618" t="s">
        <v>1362</v>
      </c>
      <c r="T618" t="s">
        <v>1367</v>
      </c>
      <c r="U618" s="4">
        <v>45440</v>
      </c>
      <c r="W618" t="b">
        <v>0</v>
      </c>
      <c r="Z618" t="s">
        <v>1384</v>
      </c>
      <c r="AA618" t="s">
        <v>1377</v>
      </c>
      <c r="AB618" t="s">
        <v>1395</v>
      </c>
    </row>
    <row r="619" spans="1:28" x14ac:dyDescent="0.3">
      <c r="A619" t="s">
        <v>1002</v>
      </c>
      <c r="B619" s="6">
        <v>45491.504166666666</v>
      </c>
      <c r="C619" t="s">
        <v>105</v>
      </c>
      <c r="D619" t="s">
        <v>1182</v>
      </c>
      <c r="E619" t="s">
        <v>1207</v>
      </c>
      <c r="F619" t="s">
        <v>1143</v>
      </c>
      <c r="G619" t="s">
        <v>1172</v>
      </c>
      <c r="H619" t="s">
        <v>1229</v>
      </c>
      <c r="I619" t="s">
        <v>1230</v>
      </c>
      <c r="J619" t="s">
        <v>1231</v>
      </c>
      <c r="K619">
        <v>1</v>
      </c>
      <c r="L619">
        <v>5582</v>
      </c>
      <c r="M619">
        <v>0.15</v>
      </c>
      <c r="N619">
        <v>4744.7</v>
      </c>
      <c r="O619">
        <v>0.12</v>
      </c>
      <c r="P619">
        <v>4744.7</v>
      </c>
      <c r="Q619">
        <v>569.36399999999992</v>
      </c>
      <c r="R619">
        <v>5314.0639999999994</v>
      </c>
      <c r="S619" t="s">
        <v>1363</v>
      </c>
      <c r="T619" t="s">
        <v>1368</v>
      </c>
      <c r="U619" s="4">
        <v>45492</v>
      </c>
      <c r="W619" t="b">
        <v>0</v>
      </c>
      <c r="Z619" t="s">
        <v>1384</v>
      </c>
      <c r="AA619" t="s">
        <v>1377</v>
      </c>
      <c r="AB619" t="s">
        <v>1380</v>
      </c>
    </row>
    <row r="620" spans="1:28" x14ac:dyDescent="0.3">
      <c r="A620" t="s">
        <v>1005</v>
      </c>
      <c r="B620" s="6">
        <v>45584.488888888889</v>
      </c>
      <c r="C620" t="s">
        <v>107</v>
      </c>
      <c r="D620" t="s">
        <v>1153</v>
      </c>
      <c r="E620" t="s">
        <v>1176</v>
      </c>
      <c r="F620" t="s">
        <v>1143</v>
      </c>
      <c r="G620" t="s">
        <v>1167</v>
      </c>
      <c r="H620" t="s">
        <v>1211</v>
      </c>
      <c r="I620" t="s">
        <v>1212</v>
      </c>
      <c r="J620" t="s">
        <v>1213</v>
      </c>
      <c r="K620">
        <v>2</v>
      </c>
      <c r="L620">
        <v>49550</v>
      </c>
      <c r="M620">
        <v>0.05</v>
      </c>
      <c r="N620">
        <v>47072.5</v>
      </c>
      <c r="O620">
        <v>0.18</v>
      </c>
      <c r="P620">
        <v>94145</v>
      </c>
      <c r="Q620">
        <v>16946.099999999999</v>
      </c>
      <c r="R620">
        <v>111091.1</v>
      </c>
      <c r="S620" t="s">
        <v>1365</v>
      </c>
      <c r="T620" t="s">
        <v>1361</v>
      </c>
      <c r="U620" s="4">
        <v>45584</v>
      </c>
      <c r="V620" s="4">
        <v>45588</v>
      </c>
      <c r="W620" t="b">
        <v>0</v>
      </c>
      <c r="Z620" t="s">
        <v>1388</v>
      </c>
      <c r="AA620" t="s">
        <v>1377</v>
      </c>
      <c r="AB620" t="s">
        <v>1393</v>
      </c>
    </row>
    <row r="621" spans="1:28" x14ac:dyDescent="0.3">
      <c r="A621" t="s">
        <v>1006</v>
      </c>
      <c r="B621" s="6">
        <v>45556.45416666667</v>
      </c>
      <c r="C621" t="s">
        <v>316</v>
      </c>
      <c r="D621" t="s">
        <v>1148</v>
      </c>
      <c r="E621" t="s">
        <v>1262</v>
      </c>
      <c r="F621" t="s">
        <v>1143</v>
      </c>
      <c r="G621" t="s">
        <v>1163</v>
      </c>
      <c r="H621" t="s">
        <v>1266</v>
      </c>
      <c r="I621" t="s">
        <v>1267</v>
      </c>
      <c r="J621" t="s">
        <v>1268</v>
      </c>
      <c r="K621">
        <v>1</v>
      </c>
      <c r="L621">
        <v>1133</v>
      </c>
      <c r="M621">
        <v>0</v>
      </c>
      <c r="N621">
        <v>1133</v>
      </c>
      <c r="O621">
        <v>0.18</v>
      </c>
      <c r="P621">
        <v>1133</v>
      </c>
      <c r="Q621">
        <v>203.94</v>
      </c>
      <c r="R621">
        <v>1336.94</v>
      </c>
      <c r="S621" t="s">
        <v>1362</v>
      </c>
      <c r="T621" t="s">
        <v>1361</v>
      </c>
      <c r="U621" s="4">
        <v>45558</v>
      </c>
      <c r="V621" s="4">
        <v>45560</v>
      </c>
      <c r="W621" t="b">
        <v>0</v>
      </c>
      <c r="Z621" t="s">
        <v>1390</v>
      </c>
      <c r="AA621" t="s">
        <v>1387</v>
      </c>
      <c r="AB621" t="s">
        <v>1378</v>
      </c>
    </row>
    <row r="622" spans="1:28" x14ac:dyDescent="0.3">
      <c r="A622" t="s">
        <v>1009</v>
      </c>
      <c r="B622" s="6">
        <v>45671.592361111114</v>
      </c>
      <c r="C622" t="s">
        <v>128</v>
      </c>
      <c r="D622" t="s">
        <v>1182</v>
      </c>
      <c r="E622" t="s">
        <v>1183</v>
      </c>
      <c r="F622" t="s">
        <v>1143</v>
      </c>
      <c r="G622" t="s">
        <v>1167</v>
      </c>
      <c r="H622" t="s">
        <v>1208</v>
      </c>
      <c r="I622" t="s">
        <v>1209</v>
      </c>
      <c r="J622" t="s">
        <v>1210</v>
      </c>
      <c r="K622">
        <v>1</v>
      </c>
      <c r="L622">
        <v>49681</v>
      </c>
      <c r="M622">
        <v>0.05</v>
      </c>
      <c r="N622">
        <v>47196.95</v>
      </c>
      <c r="O622">
        <v>0.12</v>
      </c>
      <c r="P622">
        <v>47196.95</v>
      </c>
      <c r="Q622">
        <v>5663.6339999999991</v>
      </c>
      <c r="R622">
        <v>52860.584000000003</v>
      </c>
      <c r="S622" t="s">
        <v>1362</v>
      </c>
      <c r="T622" t="s">
        <v>1364</v>
      </c>
      <c r="U622" s="4">
        <v>45672</v>
      </c>
      <c r="W622" t="b">
        <v>1</v>
      </c>
      <c r="X622" s="4">
        <v>45685</v>
      </c>
      <c r="Y622" s="4">
        <v>45685</v>
      </c>
      <c r="Z622" t="s">
        <v>1390</v>
      </c>
      <c r="AA622" t="s">
        <v>1387</v>
      </c>
      <c r="AB622" t="s">
        <v>1378</v>
      </c>
    </row>
    <row r="623" spans="1:28" x14ac:dyDescent="0.3">
      <c r="A623" t="s">
        <v>1010</v>
      </c>
      <c r="B623" s="6">
        <v>45711.518055555556</v>
      </c>
      <c r="C623" t="s">
        <v>24</v>
      </c>
      <c r="D623" t="s">
        <v>1153</v>
      </c>
      <c r="E623" t="s">
        <v>1154</v>
      </c>
      <c r="F623" t="s">
        <v>1143</v>
      </c>
      <c r="G623" t="s">
        <v>1167</v>
      </c>
      <c r="H623" t="s">
        <v>1208</v>
      </c>
      <c r="I623" t="s">
        <v>1322</v>
      </c>
      <c r="J623" t="s">
        <v>1323</v>
      </c>
      <c r="K623">
        <v>1</v>
      </c>
      <c r="L623">
        <v>24331</v>
      </c>
      <c r="M623">
        <v>0.05</v>
      </c>
      <c r="N623">
        <v>23114.45</v>
      </c>
      <c r="O623">
        <v>0.12</v>
      </c>
      <c r="P623">
        <v>23114.45</v>
      </c>
      <c r="Q623">
        <v>2773.7339999999999</v>
      </c>
      <c r="R623">
        <v>25888.184000000001</v>
      </c>
      <c r="S623" t="s">
        <v>1360</v>
      </c>
      <c r="T623" t="s">
        <v>1361</v>
      </c>
      <c r="U623" s="4">
        <v>45713</v>
      </c>
      <c r="V623" s="4">
        <v>45714</v>
      </c>
      <c r="W623" t="b">
        <v>0</v>
      </c>
      <c r="Z623" t="s">
        <v>1396</v>
      </c>
      <c r="AA623" t="s">
        <v>1394</v>
      </c>
      <c r="AB623" t="s">
        <v>1395</v>
      </c>
    </row>
    <row r="624" spans="1:28" x14ac:dyDescent="0.3">
      <c r="A624" t="s">
        <v>1011</v>
      </c>
      <c r="B624" s="6">
        <v>45442.634027777778</v>
      </c>
      <c r="C624" t="s">
        <v>206</v>
      </c>
      <c r="D624" t="s">
        <v>1153</v>
      </c>
      <c r="E624" t="s">
        <v>1191</v>
      </c>
      <c r="F624" t="s">
        <v>1143</v>
      </c>
      <c r="G624" t="s">
        <v>1172</v>
      </c>
      <c r="H624" t="s">
        <v>1204</v>
      </c>
      <c r="I624" t="s">
        <v>1297</v>
      </c>
      <c r="J624" t="s">
        <v>1298</v>
      </c>
      <c r="K624">
        <v>3</v>
      </c>
      <c r="L624">
        <v>5803</v>
      </c>
      <c r="M624">
        <v>0</v>
      </c>
      <c r="N624">
        <v>5803</v>
      </c>
      <c r="O624">
        <v>0.12</v>
      </c>
      <c r="P624">
        <v>17409</v>
      </c>
      <c r="Q624">
        <v>2089.08</v>
      </c>
      <c r="R624">
        <v>19498.080000000002</v>
      </c>
      <c r="S624" t="s">
        <v>1363</v>
      </c>
      <c r="T624" t="s">
        <v>1361</v>
      </c>
      <c r="U624" s="4">
        <v>45444</v>
      </c>
      <c r="V624" s="4">
        <v>45449</v>
      </c>
      <c r="W624" t="b">
        <v>0</v>
      </c>
      <c r="Z624" t="s">
        <v>1396</v>
      </c>
      <c r="AA624" t="s">
        <v>1394</v>
      </c>
      <c r="AB624" t="s">
        <v>1389</v>
      </c>
    </row>
    <row r="625" spans="1:28" x14ac:dyDescent="0.3">
      <c r="A625" t="s">
        <v>1015</v>
      </c>
      <c r="B625" s="6">
        <v>45743.367361111108</v>
      </c>
      <c r="C625" t="s">
        <v>457</v>
      </c>
      <c r="D625" t="s">
        <v>1157</v>
      </c>
      <c r="E625" t="s">
        <v>1158</v>
      </c>
      <c r="F625" t="s">
        <v>1143</v>
      </c>
      <c r="G625" t="s">
        <v>1163</v>
      </c>
      <c r="H625" t="s">
        <v>1184</v>
      </c>
      <c r="I625" t="s">
        <v>1185</v>
      </c>
      <c r="J625" t="s">
        <v>1186</v>
      </c>
      <c r="K625">
        <v>2</v>
      </c>
      <c r="L625">
        <v>220</v>
      </c>
      <c r="M625">
        <v>0</v>
      </c>
      <c r="N625">
        <v>220</v>
      </c>
      <c r="O625">
        <v>0.18</v>
      </c>
      <c r="P625">
        <v>440</v>
      </c>
      <c r="Q625">
        <v>79.2</v>
      </c>
      <c r="R625">
        <v>519.20000000000005</v>
      </c>
      <c r="S625" t="s">
        <v>1360</v>
      </c>
      <c r="T625" t="s">
        <v>1361</v>
      </c>
      <c r="U625" s="4">
        <v>45743</v>
      </c>
      <c r="V625" s="4">
        <v>45747</v>
      </c>
      <c r="W625" t="b">
        <v>0</v>
      </c>
      <c r="Z625" t="s">
        <v>1379</v>
      </c>
      <c r="AA625" t="s">
        <v>1387</v>
      </c>
      <c r="AB625" t="s">
        <v>1380</v>
      </c>
    </row>
    <row r="626" spans="1:28" x14ac:dyDescent="0.3">
      <c r="A626" t="s">
        <v>1016</v>
      </c>
      <c r="B626" s="6">
        <v>45685.634027777778</v>
      </c>
      <c r="C626" t="s">
        <v>330</v>
      </c>
      <c r="D626" t="s">
        <v>1153</v>
      </c>
      <c r="E626" t="s">
        <v>1162</v>
      </c>
      <c r="F626" t="s">
        <v>1143</v>
      </c>
      <c r="G626" t="s">
        <v>1177</v>
      </c>
      <c r="H626" t="s">
        <v>1236</v>
      </c>
      <c r="I626" t="s">
        <v>1338</v>
      </c>
      <c r="J626" t="s">
        <v>1339</v>
      </c>
      <c r="K626">
        <v>1</v>
      </c>
      <c r="L626">
        <v>2781</v>
      </c>
      <c r="M626">
        <v>0.05</v>
      </c>
      <c r="N626">
        <v>2641.95</v>
      </c>
      <c r="O626">
        <v>0.05</v>
      </c>
      <c r="P626">
        <v>2641.95</v>
      </c>
      <c r="Q626">
        <v>132.0975</v>
      </c>
      <c r="R626">
        <v>2774.0475000000001</v>
      </c>
      <c r="S626" t="s">
        <v>1360</v>
      </c>
      <c r="T626" t="s">
        <v>1361</v>
      </c>
      <c r="U626" s="4">
        <v>45685</v>
      </c>
      <c r="V626" s="4">
        <v>45687</v>
      </c>
      <c r="W626" t="b">
        <v>0</v>
      </c>
      <c r="Z626" t="s">
        <v>1396</v>
      </c>
      <c r="AA626" t="s">
        <v>1399</v>
      </c>
      <c r="AB626" t="s">
        <v>1391</v>
      </c>
    </row>
    <row r="627" spans="1:28" x14ac:dyDescent="0.3">
      <c r="A627" t="s">
        <v>1017</v>
      </c>
      <c r="B627" s="6">
        <v>45362.625</v>
      </c>
      <c r="C627" t="s">
        <v>269</v>
      </c>
      <c r="D627" t="s">
        <v>1141</v>
      </c>
      <c r="E627" t="s">
        <v>1239</v>
      </c>
      <c r="F627" t="s">
        <v>1143</v>
      </c>
      <c r="G627" t="s">
        <v>1144</v>
      </c>
      <c r="H627" t="s">
        <v>1276</v>
      </c>
      <c r="I627" t="s">
        <v>1286</v>
      </c>
      <c r="J627" t="s">
        <v>1287</v>
      </c>
      <c r="K627">
        <v>1</v>
      </c>
      <c r="L627">
        <v>3047</v>
      </c>
      <c r="M627">
        <v>0.05</v>
      </c>
      <c r="N627">
        <v>2894.65</v>
      </c>
      <c r="O627">
        <v>0.12</v>
      </c>
      <c r="P627">
        <v>2894.65</v>
      </c>
      <c r="Q627">
        <v>347.358</v>
      </c>
      <c r="R627">
        <v>3242.0079999999998</v>
      </c>
      <c r="S627" t="s">
        <v>1363</v>
      </c>
      <c r="T627" t="s">
        <v>1361</v>
      </c>
      <c r="U627" s="4">
        <v>45363</v>
      </c>
      <c r="V627" s="4">
        <v>45368</v>
      </c>
      <c r="W627" t="b">
        <v>0</v>
      </c>
      <c r="Z627" t="s">
        <v>1384</v>
      </c>
      <c r="AA627" t="s">
        <v>1394</v>
      </c>
      <c r="AB627" t="s">
        <v>1380</v>
      </c>
    </row>
    <row r="628" spans="1:28" x14ac:dyDescent="0.3">
      <c r="A628" t="s">
        <v>1019</v>
      </c>
      <c r="B628" s="6">
        <v>45362.488888888889</v>
      </c>
      <c r="C628" t="s">
        <v>283</v>
      </c>
      <c r="D628" t="s">
        <v>1148</v>
      </c>
      <c r="E628" t="s">
        <v>1262</v>
      </c>
      <c r="F628" t="s">
        <v>1143</v>
      </c>
      <c r="G628" t="s">
        <v>1167</v>
      </c>
      <c r="H628" t="s">
        <v>1211</v>
      </c>
      <c r="I628" t="s">
        <v>1299</v>
      </c>
      <c r="J628" t="s">
        <v>1300</v>
      </c>
      <c r="K628">
        <v>2</v>
      </c>
      <c r="L628">
        <v>27795</v>
      </c>
      <c r="M628">
        <v>0.1</v>
      </c>
      <c r="N628">
        <v>25015.5</v>
      </c>
      <c r="O628">
        <v>0.18</v>
      </c>
      <c r="P628">
        <v>50031</v>
      </c>
      <c r="Q628">
        <v>9005.58</v>
      </c>
      <c r="R628">
        <v>59036.58</v>
      </c>
      <c r="S628" t="s">
        <v>1360</v>
      </c>
      <c r="T628" t="s">
        <v>1361</v>
      </c>
      <c r="U628" s="4">
        <v>45364</v>
      </c>
      <c r="V628" s="4">
        <v>45368</v>
      </c>
      <c r="W628" t="b">
        <v>0</v>
      </c>
      <c r="Z628" t="s">
        <v>1392</v>
      </c>
      <c r="AA628" t="s">
        <v>1397</v>
      </c>
      <c r="AB628" t="s">
        <v>1380</v>
      </c>
    </row>
    <row r="629" spans="1:28" x14ac:dyDescent="0.3">
      <c r="A629" t="s">
        <v>1022</v>
      </c>
      <c r="B629" s="6">
        <v>45668.525694444441</v>
      </c>
      <c r="C629" t="s">
        <v>394</v>
      </c>
      <c r="D629" t="s">
        <v>1148</v>
      </c>
      <c r="E629" t="s">
        <v>1262</v>
      </c>
      <c r="F629" t="s">
        <v>1143</v>
      </c>
      <c r="G629" t="s">
        <v>1163</v>
      </c>
      <c r="H629" t="s">
        <v>1240</v>
      </c>
      <c r="I629" t="s">
        <v>1281</v>
      </c>
      <c r="J629" t="s">
        <v>1282</v>
      </c>
      <c r="K629">
        <v>1</v>
      </c>
      <c r="L629">
        <v>259</v>
      </c>
      <c r="M629">
        <v>0.2</v>
      </c>
      <c r="N629">
        <v>207.2</v>
      </c>
      <c r="O629">
        <v>0.12</v>
      </c>
      <c r="P629">
        <v>207.2</v>
      </c>
      <c r="Q629">
        <v>24.864000000000001</v>
      </c>
      <c r="R629">
        <v>232.06399999999999</v>
      </c>
      <c r="S629" t="s">
        <v>1366</v>
      </c>
      <c r="T629" t="s">
        <v>1361</v>
      </c>
      <c r="U629" s="4">
        <v>45668</v>
      </c>
      <c r="V629" s="4">
        <v>45670</v>
      </c>
      <c r="W629" t="b">
        <v>0</v>
      </c>
      <c r="Z629" t="s">
        <v>1392</v>
      </c>
      <c r="AA629" t="s">
        <v>1387</v>
      </c>
      <c r="AB629" t="s">
        <v>1389</v>
      </c>
    </row>
    <row r="630" spans="1:28" x14ac:dyDescent="0.3">
      <c r="A630" t="s">
        <v>1026</v>
      </c>
      <c r="B630" s="6">
        <v>45340.545138888891</v>
      </c>
      <c r="C630" t="s">
        <v>67</v>
      </c>
      <c r="D630" t="s">
        <v>1148</v>
      </c>
      <c r="E630" t="s">
        <v>1149</v>
      </c>
      <c r="F630" t="s">
        <v>1143</v>
      </c>
      <c r="G630" t="s">
        <v>1144</v>
      </c>
      <c r="H630" t="s">
        <v>1159</v>
      </c>
      <c r="I630" t="s">
        <v>1160</v>
      </c>
      <c r="J630" t="s">
        <v>1161</v>
      </c>
      <c r="K630">
        <v>3</v>
      </c>
      <c r="L630">
        <v>1210</v>
      </c>
      <c r="M630">
        <v>0.05</v>
      </c>
      <c r="N630">
        <v>1149.5</v>
      </c>
      <c r="O630">
        <v>0.05</v>
      </c>
      <c r="P630">
        <v>3448.5</v>
      </c>
      <c r="Q630">
        <v>172.42500000000001</v>
      </c>
      <c r="R630">
        <v>3620.9250000000002</v>
      </c>
      <c r="S630" t="s">
        <v>1365</v>
      </c>
      <c r="T630" t="s">
        <v>1367</v>
      </c>
      <c r="U630" s="4">
        <v>45342</v>
      </c>
      <c r="W630" t="b">
        <v>0</v>
      </c>
      <c r="Z630" t="s">
        <v>1379</v>
      </c>
      <c r="AA630" t="s">
        <v>1397</v>
      </c>
      <c r="AB630" t="s">
        <v>1391</v>
      </c>
    </row>
    <row r="631" spans="1:28" x14ac:dyDescent="0.3">
      <c r="A631" t="s">
        <v>1028</v>
      </c>
      <c r="B631" s="6">
        <v>45416.568749999999</v>
      </c>
      <c r="C631" t="s">
        <v>65</v>
      </c>
      <c r="D631" t="s">
        <v>1141</v>
      </c>
      <c r="E631" t="s">
        <v>1142</v>
      </c>
      <c r="F631" t="s">
        <v>1143</v>
      </c>
      <c r="G631" t="s">
        <v>1167</v>
      </c>
      <c r="H631" t="s">
        <v>1263</v>
      </c>
      <c r="I631" t="s">
        <v>1274</v>
      </c>
      <c r="J631" t="s">
        <v>1275</v>
      </c>
      <c r="K631">
        <v>2</v>
      </c>
      <c r="L631">
        <v>48792</v>
      </c>
      <c r="M631">
        <v>0</v>
      </c>
      <c r="N631">
        <v>48792</v>
      </c>
      <c r="O631">
        <v>0.18</v>
      </c>
      <c r="P631">
        <v>97584</v>
      </c>
      <c r="Q631">
        <v>17565.12</v>
      </c>
      <c r="R631">
        <v>115149.12</v>
      </c>
      <c r="S631" t="s">
        <v>1360</v>
      </c>
      <c r="T631" t="s">
        <v>1361</v>
      </c>
      <c r="U631" s="4">
        <v>45416</v>
      </c>
      <c r="V631" s="4">
        <v>45419</v>
      </c>
      <c r="W631" t="b">
        <v>0</v>
      </c>
      <c r="Z631" t="s">
        <v>1386</v>
      </c>
      <c r="AA631" t="s">
        <v>1397</v>
      </c>
      <c r="AB631" t="s">
        <v>1380</v>
      </c>
    </row>
    <row r="632" spans="1:28" x14ac:dyDescent="0.3">
      <c r="A632" t="s">
        <v>1031</v>
      </c>
      <c r="B632" s="6">
        <v>45499.565972222219</v>
      </c>
      <c r="C632" t="s">
        <v>128</v>
      </c>
      <c r="D632" t="s">
        <v>1182</v>
      </c>
      <c r="E632" t="s">
        <v>1183</v>
      </c>
      <c r="F632" t="s">
        <v>1143</v>
      </c>
      <c r="G632" t="s">
        <v>1177</v>
      </c>
      <c r="H632" t="s">
        <v>1309</v>
      </c>
      <c r="I632" t="s">
        <v>1310</v>
      </c>
      <c r="J632" t="s">
        <v>1311</v>
      </c>
      <c r="K632">
        <v>2</v>
      </c>
      <c r="L632">
        <v>1161</v>
      </c>
      <c r="M632">
        <v>0.1</v>
      </c>
      <c r="N632">
        <v>1044.9000000000001</v>
      </c>
      <c r="O632">
        <v>0.18</v>
      </c>
      <c r="P632">
        <v>2089.8000000000002</v>
      </c>
      <c r="Q632">
        <v>376.16399999999999</v>
      </c>
      <c r="R632">
        <v>2465.9639999999999</v>
      </c>
      <c r="S632" t="s">
        <v>1363</v>
      </c>
      <c r="T632" t="s">
        <v>1361</v>
      </c>
      <c r="U632" s="4">
        <v>45500</v>
      </c>
      <c r="V632" s="4">
        <v>45504</v>
      </c>
      <c r="W632" t="b">
        <v>0</v>
      </c>
      <c r="Z632" t="s">
        <v>1379</v>
      </c>
      <c r="AA632" t="s">
        <v>1385</v>
      </c>
      <c r="AB632" t="s">
        <v>1393</v>
      </c>
    </row>
    <row r="633" spans="1:28" x14ac:dyDescent="0.3">
      <c r="A633" t="s">
        <v>1035</v>
      </c>
      <c r="B633" s="6">
        <v>45473.665277777778</v>
      </c>
      <c r="C633" t="s">
        <v>10</v>
      </c>
      <c r="D633" t="s">
        <v>1157</v>
      </c>
      <c r="E633" t="s">
        <v>1158</v>
      </c>
      <c r="F633" t="s">
        <v>1143</v>
      </c>
      <c r="G633" t="s">
        <v>1177</v>
      </c>
      <c r="H633" t="s">
        <v>1309</v>
      </c>
      <c r="I633" t="s">
        <v>1310</v>
      </c>
      <c r="J633" t="s">
        <v>1311</v>
      </c>
      <c r="K633">
        <v>1</v>
      </c>
      <c r="L633">
        <v>2342</v>
      </c>
      <c r="M633">
        <v>0</v>
      </c>
      <c r="N633">
        <v>2342</v>
      </c>
      <c r="O633">
        <v>0.18</v>
      </c>
      <c r="P633">
        <v>2342</v>
      </c>
      <c r="Q633">
        <v>421.56</v>
      </c>
      <c r="R633">
        <v>2763.56</v>
      </c>
      <c r="S633" t="s">
        <v>1363</v>
      </c>
      <c r="T633" t="s">
        <v>1364</v>
      </c>
      <c r="U633" s="4">
        <v>45473</v>
      </c>
      <c r="W633" t="b">
        <v>1</v>
      </c>
      <c r="X633" s="4">
        <v>45481</v>
      </c>
      <c r="Y633" s="4">
        <v>45481</v>
      </c>
      <c r="Z633" t="s">
        <v>1390</v>
      </c>
      <c r="AA633" t="s">
        <v>1400</v>
      </c>
      <c r="AB633" t="s">
        <v>1393</v>
      </c>
    </row>
    <row r="634" spans="1:28" x14ac:dyDescent="0.3">
      <c r="A634" t="s">
        <v>1036</v>
      </c>
      <c r="B634" s="6">
        <v>45592.513888888891</v>
      </c>
      <c r="C634" t="s">
        <v>394</v>
      </c>
      <c r="D634" t="s">
        <v>1148</v>
      </c>
      <c r="E634" t="s">
        <v>1262</v>
      </c>
      <c r="F634" t="s">
        <v>1143</v>
      </c>
      <c r="G634" t="s">
        <v>1177</v>
      </c>
      <c r="H634" t="s">
        <v>1309</v>
      </c>
      <c r="I634" t="s">
        <v>1332</v>
      </c>
      <c r="J634" t="s">
        <v>1333</v>
      </c>
      <c r="K634">
        <v>1</v>
      </c>
      <c r="L634">
        <v>2930</v>
      </c>
      <c r="M634">
        <v>0.05</v>
      </c>
      <c r="N634">
        <v>2783.5</v>
      </c>
      <c r="O634">
        <v>0.12</v>
      </c>
      <c r="P634">
        <v>2783.5</v>
      </c>
      <c r="Q634">
        <v>334.02</v>
      </c>
      <c r="R634">
        <v>3117.52</v>
      </c>
      <c r="S634" t="s">
        <v>1363</v>
      </c>
      <c r="T634" t="s">
        <v>1361</v>
      </c>
      <c r="U634" s="4">
        <v>45594</v>
      </c>
      <c r="V634" s="4">
        <v>45595</v>
      </c>
      <c r="W634" t="b">
        <v>0</v>
      </c>
      <c r="Z634" t="s">
        <v>1392</v>
      </c>
      <c r="AA634" t="s">
        <v>1400</v>
      </c>
      <c r="AB634" t="s">
        <v>1393</v>
      </c>
    </row>
    <row r="635" spans="1:28" x14ac:dyDescent="0.3">
      <c r="A635" t="s">
        <v>1038</v>
      </c>
      <c r="B635" s="6">
        <v>45703.568749999999</v>
      </c>
      <c r="C635" t="s">
        <v>385</v>
      </c>
      <c r="D635" t="s">
        <v>1182</v>
      </c>
      <c r="E635" t="s">
        <v>1207</v>
      </c>
      <c r="F635" t="s">
        <v>1143</v>
      </c>
      <c r="G635" t="s">
        <v>1144</v>
      </c>
      <c r="H635" t="s">
        <v>1159</v>
      </c>
      <c r="I635" t="s">
        <v>1334</v>
      </c>
      <c r="J635" t="s">
        <v>1335</v>
      </c>
      <c r="K635">
        <v>2</v>
      </c>
      <c r="L635">
        <v>4359</v>
      </c>
      <c r="M635">
        <v>0.05</v>
      </c>
      <c r="N635">
        <v>4141.05</v>
      </c>
      <c r="O635">
        <v>0.12</v>
      </c>
      <c r="P635">
        <v>8282.1</v>
      </c>
      <c r="Q635">
        <v>993.85199999999998</v>
      </c>
      <c r="R635">
        <v>9275.9520000000011</v>
      </c>
      <c r="S635" t="s">
        <v>1360</v>
      </c>
      <c r="T635" t="s">
        <v>1361</v>
      </c>
      <c r="U635" s="4">
        <v>45703</v>
      </c>
      <c r="V635" s="4">
        <v>45705</v>
      </c>
      <c r="W635" t="b">
        <v>0</v>
      </c>
      <c r="Z635" t="s">
        <v>1386</v>
      </c>
      <c r="AA635" t="s">
        <v>1400</v>
      </c>
      <c r="AB635" t="s">
        <v>1389</v>
      </c>
    </row>
    <row r="636" spans="1:28" x14ac:dyDescent="0.3">
      <c r="A636" t="s">
        <v>1039</v>
      </c>
      <c r="B636" s="6">
        <v>45392.584722222222</v>
      </c>
      <c r="C636" t="s">
        <v>1040</v>
      </c>
      <c r="D636" t="s">
        <v>1182</v>
      </c>
      <c r="E636" t="s">
        <v>1257</v>
      </c>
      <c r="F636" t="s">
        <v>1143</v>
      </c>
      <c r="G636" t="s">
        <v>1172</v>
      </c>
      <c r="H636" t="s">
        <v>1198</v>
      </c>
      <c r="I636" t="s">
        <v>1250</v>
      </c>
      <c r="J636" t="s">
        <v>1251</v>
      </c>
      <c r="K636">
        <v>3</v>
      </c>
      <c r="L636">
        <v>9982</v>
      </c>
      <c r="M636">
        <v>0</v>
      </c>
      <c r="N636">
        <v>9982</v>
      </c>
      <c r="O636">
        <v>0.12</v>
      </c>
      <c r="P636">
        <v>29946</v>
      </c>
      <c r="Q636">
        <v>3593.52</v>
      </c>
      <c r="R636">
        <v>33539.519999999997</v>
      </c>
      <c r="S636" t="s">
        <v>1365</v>
      </c>
      <c r="T636" t="s">
        <v>1361</v>
      </c>
      <c r="U636" s="4">
        <v>45394</v>
      </c>
      <c r="V636" s="4">
        <v>45399</v>
      </c>
      <c r="W636" t="b">
        <v>0</v>
      </c>
      <c r="Z636" t="s">
        <v>1390</v>
      </c>
      <c r="AA636" t="s">
        <v>1377</v>
      </c>
      <c r="AB636" t="s">
        <v>1378</v>
      </c>
    </row>
    <row r="637" spans="1:28" x14ac:dyDescent="0.3">
      <c r="A637" t="s">
        <v>1041</v>
      </c>
      <c r="B637" s="6">
        <v>45329.623611111114</v>
      </c>
      <c r="C637" t="s">
        <v>368</v>
      </c>
      <c r="D637" t="s">
        <v>1153</v>
      </c>
      <c r="E637" t="s">
        <v>1191</v>
      </c>
      <c r="F637" t="s">
        <v>1143</v>
      </c>
      <c r="G637" t="s">
        <v>1167</v>
      </c>
      <c r="H637" t="s">
        <v>1208</v>
      </c>
      <c r="I637" t="s">
        <v>1322</v>
      </c>
      <c r="J637" t="s">
        <v>1323</v>
      </c>
      <c r="K637">
        <v>2</v>
      </c>
      <c r="L637">
        <v>30697</v>
      </c>
      <c r="M637">
        <v>0.2</v>
      </c>
      <c r="N637">
        <v>24557.599999999999</v>
      </c>
      <c r="O637">
        <v>0.12</v>
      </c>
      <c r="P637">
        <v>49115.199999999997</v>
      </c>
      <c r="Q637">
        <v>5893.8240000000014</v>
      </c>
      <c r="R637">
        <v>55009.023999999998</v>
      </c>
      <c r="S637" t="s">
        <v>1362</v>
      </c>
      <c r="T637" t="s">
        <v>1368</v>
      </c>
      <c r="U637" s="4">
        <v>45331</v>
      </c>
      <c r="W637" t="b">
        <v>0</v>
      </c>
      <c r="Z637" t="s">
        <v>1384</v>
      </c>
      <c r="AA637" t="s">
        <v>1377</v>
      </c>
      <c r="AB637" t="s">
        <v>1378</v>
      </c>
    </row>
    <row r="638" spans="1:28" x14ac:dyDescent="0.3">
      <c r="A638" t="s">
        <v>1045</v>
      </c>
      <c r="B638" s="6">
        <v>45668.519444444442</v>
      </c>
      <c r="C638" t="s">
        <v>407</v>
      </c>
      <c r="D638" t="s">
        <v>1157</v>
      </c>
      <c r="E638" t="s">
        <v>1158</v>
      </c>
      <c r="F638" t="s">
        <v>1143</v>
      </c>
      <c r="G638" t="s">
        <v>1163</v>
      </c>
      <c r="H638" t="s">
        <v>1224</v>
      </c>
      <c r="I638" t="s">
        <v>1316</v>
      </c>
      <c r="J638" t="s">
        <v>1317</v>
      </c>
      <c r="K638">
        <v>3</v>
      </c>
      <c r="L638">
        <v>613</v>
      </c>
      <c r="M638">
        <v>0.05</v>
      </c>
      <c r="N638">
        <v>582.35</v>
      </c>
      <c r="O638">
        <v>0.05</v>
      </c>
      <c r="P638">
        <v>1747.05</v>
      </c>
      <c r="Q638">
        <v>87.35250000000002</v>
      </c>
      <c r="R638">
        <v>1834.4024999999999</v>
      </c>
      <c r="S638" t="s">
        <v>1366</v>
      </c>
      <c r="T638" t="s">
        <v>1361</v>
      </c>
      <c r="U638" s="4">
        <v>45668</v>
      </c>
      <c r="V638" s="4">
        <v>45671</v>
      </c>
      <c r="W638" t="b">
        <v>0</v>
      </c>
      <c r="Z638" t="s">
        <v>1382</v>
      </c>
      <c r="AA638" t="s">
        <v>1385</v>
      </c>
      <c r="AB638" t="s">
        <v>1395</v>
      </c>
    </row>
    <row r="639" spans="1:28" x14ac:dyDescent="0.3">
      <c r="A639" t="s">
        <v>1047</v>
      </c>
      <c r="B639" s="6">
        <v>45729.553472222222</v>
      </c>
      <c r="C639" t="s">
        <v>130</v>
      </c>
      <c r="D639" t="s">
        <v>1153</v>
      </c>
      <c r="E639" t="s">
        <v>1176</v>
      </c>
      <c r="F639" t="s">
        <v>1143</v>
      </c>
      <c r="G639" t="s">
        <v>1163</v>
      </c>
      <c r="H639" t="s">
        <v>1266</v>
      </c>
      <c r="I639" t="s">
        <v>1267</v>
      </c>
      <c r="J639" t="s">
        <v>1268</v>
      </c>
      <c r="K639">
        <v>1</v>
      </c>
      <c r="L639">
        <v>461</v>
      </c>
      <c r="M639">
        <v>0.2</v>
      </c>
      <c r="N639">
        <v>368.8</v>
      </c>
      <c r="O639">
        <v>0.18</v>
      </c>
      <c r="P639">
        <v>368.8</v>
      </c>
      <c r="Q639">
        <v>66.384</v>
      </c>
      <c r="R639">
        <v>435.18400000000003</v>
      </c>
      <c r="S639" t="s">
        <v>1363</v>
      </c>
      <c r="T639" t="s">
        <v>1361</v>
      </c>
      <c r="U639" s="4">
        <v>45729</v>
      </c>
      <c r="V639" s="4">
        <v>45731</v>
      </c>
      <c r="W639" t="b">
        <v>0</v>
      </c>
      <c r="Z639" t="s">
        <v>1396</v>
      </c>
      <c r="AA639" t="s">
        <v>1394</v>
      </c>
      <c r="AB639" t="s">
        <v>1395</v>
      </c>
    </row>
    <row r="640" spans="1:28" x14ac:dyDescent="0.3">
      <c r="A640" t="s">
        <v>1048</v>
      </c>
      <c r="B640" s="6">
        <v>45625.48541666667</v>
      </c>
      <c r="C640" t="s">
        <v>421</v>
      </c>
      <c r="D640" t="s">
        <v>1182</v>
      </c>
      <c r="E640" t="s">
        <v>1207</v>
      </c>
      <c r="F640" t="s">
        <v>1143</v>
      </c>
      <c r="G640" t="s">
        <v>1172</v>
      </c>
      <c r="H640" t="s">
        <v>1188</v>
      </c>
      <c r="I640" t="s">
        <v>1232</v>
      </c>
      <c r="J640" t="s">
        <v>1233</v>
      </c>
      <c r="K640">
        <v>3</v>
      </c>
      <c r="L640">
        <v>657</v>
      </c>
      <c r="M640">
        <v>0.1</v>
      </c>
      <c r="N640">
        <v>591.30000000000007</v>
      </c>
      <c r="O640">
        <v>0.12</v>
      </c>
      <c r="P640">
        <v>1773.9</v>
      </c>
      <c r="Q640">
        <v>212.86799999999999</v>
      </c>
      <c r="R640">
        <v>1986.768</v>
      </c>
      <c r="S640" t="s">
        <v>1360</v>
      </c>
      <c r="T640" t="s">
        <v>1361</v>
      </c>
      <c r="U640" s="4">
        <v>45626</v>
      </c>
      <c r="V640" s="4">
        <v>45627</v>
      </c>
      <c r="W640" t="b">
        <v>0</v>
      </c>
      <c r="Z640" t="s">
        <v>1379</v>
      </c>
      <c r="AA640" t="s">
        <v>1400</v>
      </c>
      <c r="AB640" t="s">
        <v>1380</v>
      </c>
    </row>
    <row r="641" spans="1:28" x14ac:dyDescent="0.3">
      <c r="A641" t="s">
        <v>1050</v>
      </c>
      <c r="B641" s="6">
        <v>45331.536805555559</v>
      </c>
      <c r="C641" t="s">
        <v>545</v>
      </c>
      <c r="D641" t="s">
        <v>1148</v>
      </c>
      <c r="E641" t="s">
        <v>1171</v>
      </c>
      <c r="F641" t="s">
        <v>1143</v>
      </c>
      <c r="G641" t="s">
        <v>1167</v>
      </c>
      <c r="H641" t="s">
        <v>1211</v>
      </c>
      <c r="I641" t="s">
        <v>1279</v>
      </c>
      <c r="J641" t="s">
        <v>1280</v>
      </c>
      <c r="K641">
        <v>3</v>
      </c>
      <c r="L641">
        <v>40989</v>
      </c>
      <c r="M641">
        <v>0.1</v>
      </c>
      <c r="N641">
        <v>36890.1</v>
      </c>
      <c r="O641">
        <v>0.05</v>
      </c>
      <c r="P641">
        <v>110670.3</v>
      </c>
      <c r="Q641">
        <v>5533.5149999999994</v>
      </c>
      <c r="R641">
        <v>116203.815</v>
      </c>
      <c r="S641" t="s">
        <v>1360</v>
      </c>
      <c r="T641" t="s">
        <v>1361</v>
      </c>
      <c r="U641" s="4">
        <v>45332</v>
      </c>
      <c r="V641" s="4">
        <v>45334</v>
      </c>
      <c r="W641" t="b">
        <v>0</v>
      </c>
      <c r="Z641" t="s">
        <v>1382</v>
      </c>
      <c r="AA641" t="s">
        <v>1394</v>
      </c>
      <c r="AB641" t="s">
        <v>1378</v>
      </c>
    </row>
    <row r="642" spans="1:28" x14ac:dyDescent="0.3">
      <c r="A642" t="s">
        <v>1051</v>
      </c>
      <c r="B642" s="6">
        <v>45518.511111111111</v>
      </c>
      <c r="C642" t="s">
        <v>8</v>
      </c>
      <c r="D642" t="s">
        <v>1153</v>
      </c>
      <c r="E642" t="s">
        <v>1154</v>
      </c>
      <c r="F642" t="s">
        <v>1143</v>
      </c>
      <c r="G642" t="s">
        <v>1177</v>
      </c>
      <c r="H642" t="s">
        <v>1236</v>
      </c>
      <c r="I642" t="s">
        <v>1237</v>
      </c>
      <c r="J642" t="s">
        <v>1238</v>
      </c>
      <c r="K642">
        <v>1</v>
      </c>
      <c r="L642">
        <v>1885</v>
      </c>
      <c r="M642">
        <v>0.1</v>
      </c>
      <c r="N642">
        <v>1696.5</v>
      </c>
      <c r="O642">
        <v>0.05</v>
      </c>
      <c r="P642">
        <v>1696.5</v>
      </c>
      <c r="Q642">
        <v>84.825000000000003</v>
      </c>
      <c r="R642">
        <v>1781.325</v>
      </c>
      <c r="S642" t="s">
        <v>1360</v>
      </c>
      <c r="T642" t="s">
        <v>1369</v>
      </c>
      <c r="W642" t="b">
        <v>0</v>
      </c>
      <c r="Z642" t="s">
        <v>1388</v>
      </c>
      <c r="AA642" t="s">
        <v>1397</v>
      </c>
      <c r="AB642" t="s">
        <v>1383</v>
      </c>
    </row>
    <row r="643" spans="1:28" x14ac:dyDescent="0.3">
      <c r="A643" t="s">
        <v>1053</v>
      </c>
      <c r="B643" s="6">
        <v>45742.527083333334</v>
      </c>
      <c r="C643" t="s">
        <v>73</v>
      </c>
      <c r="D643" t="s">
        <v>1157</v>
      </c>
      <c r="E643" t="s">
        <v>1249</v>
      </c>
      <c r="F643" t="s">
        <v>1143</v>
      </c>
      <c r="G643" t="s">
        <v>1167</v>
      </c>
      <c r="H643" t="s">
        <v>1208</v>
      </c>
      <c r="I643" t="s">
        <v>1322</v>
      </c>
      <c r="J643" t="s">
        <v>1323</v>
      </c>
      <c r="K643">
        <v>1</v>
      </c>
      <c r="L643">
        <v>52392</v>
      </c>
      <c r="M643">
        <v>0.05</v>
      </c>
      <c r="N643">
        <v>49772.399999999987</v>
      </c>
      <c r="O643">
        <v>0.12</v>
      </c>
      <c r="P643">
        <v>49772.399999999987</v>
      </c>
      <c r="Q643">
        <v>5972.6879999999992</v>
      </c>
      <c r="R643">
        <v>55745.088000000003</v>
      </c>
      <c r="S643" t="s">
        <v>1363</v>
      </c>
      <c r="T643" t="s">
        <v>1361</v>
      </c>
      <c r="U643" s="4">
        <v>45742</v>
      </c>
      <c r="V643" s="4">
        <v>45745</v>
      </c>
      <c r="W643" t="b">
        <v>0</v>
      </c>
      <c r="Z643" t="s">
        <v>1376</v>
      </c>
      <c r="AA643" t="s">
        <v>1394</v>
      </c>
      <c r="AB643" t="s">
        <v>1389</v>
      </c>
    </row>
    <row r="644" spans="1:28" x14ac:dyDescent="0.3">
      <c r="A644" t="s">
        <v>1054</v>
      </c>
      <c r="B644" s="6">
        <v>45467.539583333331</v>
      </c>
      <c r="C644" t="s">
        <v>235</v>
      </c>
      <c r="D644" t="s">
        <v>1157</v>
      </c>
      <c r="E644" t="s">
        <v>1158</v>
      </c>
      <c r="F644" t="s">
        <v>1143</v>
      </c>
      <c r="G644" t="s">
        <v>1172</v>
      </c>
      <c r="H644" t="s">
        <v>1188</v>
      </c>
      <c r="I644" t="s">
        <v>1258</v>
      </c>
      <c r="J644" t="s">
        <v>1259</v>
      </c>
      <c r="K644">
        <v>3</v>
      </c>
      <c r="L644">
        <v>7085</v>
      </c>
      <c r="M644">
        <v>0.05</v>
      </c>
      <c r="N644">
        <v>6730.75</v>
      </c>
      <c r="O644">
        <v>0.18</v>
      </c>
      <c r="P644">
        <v>20192.25</v>
      </c>
      <c r="Q644">
        <v>3634.605</v>
      </c>
      <c r="R644">
        <v>23826.855</v>
      </c>
      <c r="S644" t="s">
        <v>1363</v>
      </c>
      <c r="T644" t="s">
        <v>1361</v>
      </c>
      <c r="U644" s="4">
        <v>45469</v>
      </c>
      <c r="V644" s="4">
        <v>45471</v>
      </c>
      <c r="W644" t="b">
        <v>0</v>
      </c>
      <c r="Z644" t="s">
        <v>1386</v>
      </c>
      <c r="AA644" t="s">
        <v>1385</v>
      </c>
      <c r="AB644" t="s">
        <v>1383</v>
      </c>
    </row>
    <row r="645" spans="1:28" x14ac:dyDescent="0.3">
      <c r="A645" t="s">
        <v>1055</v>
      </c>
      <c r="B645" s="6">
        <v>45469.557638888888</v>
      </c>
      <c r="C645" t="s">
        <v>551</v>
      </c>
      <c r="D645" t="s">
        <v>1157</v>
      </c>
      <c r="E645" t="s">
        <v>1201</v>
      </c>
      <c r="F645" t="s">
        <v>1143</v>
      </c>
      <c r="G645" t="s">
        <v>1167</v>
      </c>
      <c r="H645" t="s">
        <v>1208</v>
      </c>
      <c r="I645" t="s">
        <v>1291</v>
      </c>
      <c r="J645" t="s">
        <v>1292</v>
      </c>
      <c r="K645">
        <v>1</v>
      </c>
      <c r="L645">
        <v>32688</v>
      </c>
      <c r="M645">
        <v>0</v>
      </c>
      <c r="N645">
        <v>32688</v>
      </c>
      <c r="O645">
        <v>0.12</v>
      </c>
      <c r="P645">
        <v>32688</v>
      </c>
      <c r="Q645">
        <v>3922.56</v>
      </c>
      <c r="R645">
        <v>36610.559999999998</v>
      </c>
      <c r="S645" t="s">
        <v>1366</v>
      </c>
      <c r="T645" t="s">
        <v>1361</v>
      </c>
      <c r="U645" s="4">
        <v>45469</v>
      </c>
      <c r="V645" s="4">
        <v>45474</v>
      </c>
      <c r="W645" t="b">
        <v>0</v>
      </c>
      <c r="Z645" t="s">
        <v>1396</v>
      </c>
      <c r="AA645" t="s">
        <v>1385</v>
      </c>
      <c r="AB645" t="s">
        <v>1380</v>
      </c>
    </row>
    <row r="646" spans="1:28" x14ac:dyDescent="0.3">
      <c r="A646" t="s">
        <v>1056</v>
      </c>
      <c r="B646" s="6">
        <v>45494.648611111108</v>
      </c>
      <c r="C646" t="s">
        <v>176</v>
      </c>
      <c r="D646" t="s">
        <v>1148</v>
      </c>
      <c r="E646" t="s">
        <v>1262</v>
      </c>
      <c r="F646" t="s">
        <v>1143</v>
      </c>
      <c r="G646" t="s">
        <v>1163</v>
      </c>
      <c r="H646" t="s">
        <v>1164</v>
      </c>
      <c r="I646" t="s">
        <v>1165</v>
      </c>
      <c r="J646" t="s">
        <v>1166</v>
      </c>
      <c r="K646">
        <v>3</v>
      </c>
      <c r="L646">
        <v>597</v>
      </c>
      <c r="M646">
        <v>0.15</v>
      </c>
      <c r="N646">
        <v>507.45</v>
      </c>
      <c r="O646">
        <v>0.12</v>
      </c>
      <c r="P646">
        <v>1522.35</v>
      </c>
      <c r="Q646">
        <v>182.68199999999999</v>
      </c>
      <c r="R646">
        <v>1705.0319999999999</v>
      </c>
      <c r="S646" t="s">
        <v>1360</v>
      </c>
      <c r="T646" t="s">
        <v>1369</v>
      </c>
      <c r="W646" t="b">
        <v>0</v>
      </c>
      <c r="Z646" t="s">
        <v>1384</v>
      </c>
      <c r="AA646" t="s">
        <v>1377</v>
      </c>
      <c r="AB646" t="s">
        <v>1380</v>
      </c>
    </row>
    <row r="647" spans="1:28" x14ac:dyDescent="0.3">
      <c r="A647" t="s">
        <v>1058</v>
      </c>
      <c r="B647" s="6">
        <v>45728.547222222223</v>
      </c>
      <c r="C647" t="s">
        <v>524</v>
      </c>
      <c r="D647" t="s">
        <v>1148</v>
      </c>
      <c r="E647" t="s">
        <v>1149</v>
      </c>
      <c r="F647" t="s">
        <v>1143</v>
      </c>
      <c r="G647" t="s">
        <v>1172</v>
      </c>
      <c r="H647" t="s">
        <v>1198</v>
      </c>
      <c r="I647" t="s">
        <v>1250</v>
      </c>
      <c r="J647" t="s">
        <v>1251</v>
      </c>
      <c r="K647">
        <v>1</v>
      </c>
      <c r="L647">
        <v>2562</v>
      </c>
      <c r="M647">
        <v>0.15</v>
      </c>
      <c r="N647">
        <v>2177.6999999999998</v>
      </c>
      <c r="O647">
        <v>0.05</v>
      </c>
      <c r="P647">
        <v>2177.6999999999998</v>
      </c>
      <c r="Q647">
        <v>108.88500000000001</v>
      </c>
      <c r="R647">
        <v>2286.585</v>
      </c>
      <c r="S647" t="s">
        <v>1360</v>
      </c>
      <c r="T647" t="s">
        <v>1361</v>
      </c>
      <c r="U647" s="4">
        <v>45729</v>
      </c>
      <c r="V647" s="4">
        <v>45733</v>
      </c>
      <c r="W647" t="b">
        <v>0</v>
      </c>
      <c r="Z647" t="s">
        <v>1390</v>
      </c>
      <c r="AA647" t="s">
        <v>1385</v>
      </c>
      <c r="AB647" t="s">
        <v>1389</v>
      </c>
    </row>
    <row r="648" spans="1:28" x14ac:dyDescent="0.3">
      <c r="A648" t="s">
        <v>1059</v>
      </c>
      <c r="B648" s="6">
        <v>45693.588194444441</v>
      </c>
      <c r="C648" t="s">
        <v>86</v>
      </c>
      <c r="D648" t="s">
        <v>1182</v>
      </c>
      <c r="E648" t="s">
        <v>1207</v>
      </c>
      <c r="F648" t="s">
        <v>1143</v>
      </c>
      <c r="G648" t="s">
        <v>1167</v>
      </c>
      <c r="H648" t="s">
        <v>1211</v>
      </c>
      <c r="I648" t="s">
        <v>1279</v>
      </c>
      <c r="J648" t="s">
        <v>1280</v>
      </c>
      <c r="K648">
        <v>2</v>
      </c>
      <c r="L648">
        <v>58689</v>
      </c>
      <c r="M648">
        <v>0</v>
      </c>
      <c r="N648">
        <v>58689</v>
      </c>
      <c r="O648">
        <v>0.12</v>
      </c>
      <c r="P648">
        <v>117378</v>
      </c>
      <c r="Q648">
        <v>14085.36</v>
      </c>
      <c r="R648">
        <v>131463.35999999999</v>
      </c>
      <c r="S648" t="s">
        <v>1363</v>
      </c>
      <c r="T648" t="s">
        <v>1361</v>
      </c>
      <c r="U648" s="4">
        <v>45695</v>
      </c>
      <c r="V648" s="4">
        <v>45698</v>
      </c>
      <c r="W648" t="b">
        <v>0</v>
      </c>
      <c r="Z648" t="s">
        <v>1384</v>
      </c>
      <c r="AA648" t="s">
        <v>1377</v>
      </c>
      <c r="AB648" t="s">
        <v>1393</v>
      </c>
    </row>
    <row r="649" spans="1:28" x14ac:dyDescent="0.3">
      <c r="A649" t="s">
        <v>1060</v>
      </c>
      <c r="B649" s="6">
        <v>45346.602083333331</v>
      </c>
      <c r="C649" t="s">
        <v>73</v>
      </c>
      <c r="D649" t="s">
        <v>1157</v>
      </c>
      <c r="E649" t="s">
        <v>1249</v>
      </c>
      <c r="F649" t="s">
        <v>1143</v>
      </c>
      <c r="G649" t="s">
        <v>1167</v>
      </c>
      <c r="H649" t="s">
        <v>1263</v>
      </c>
      <c r="I649" t="s">
        <v>1346</v>
      </c>
      <c r="J649" t="s">
        <v>1347</v>
      </c>
      <c r="K649">
        <v>2</v>
      </c>
      <c r="L649">
        <v>43913</v>
      </c>
      <c r="M649">
        <v>0.05</v>
      </c>
      <c r="N649">
        <v>41717.35</v>
      </c>
      <c r="O649">
        <v>0.12</v>
      </c>
      <c r="P649">
        <v>83434.7</v>
      </c>
      <c r="Q649">
        <v>10012.164000000001</v>
      </c>
      <c r="R649">
        <v>93446.864000000001</v>
      </c>
      <c r="S649" t="s">
        <v>1363</v>
      </c>
      <c r="T649" t="s">
        <v>1361</v>
      </c>
      <c r="U649" s="4">
        <v>45346</v>
      </c>
      <c r="V649" s="4">
        <v>45349</v>
      </c>
      <c r="W649" t="b">
        <v>0</v>
      </c>
      <c r="Z649" t="s">
        <v>1398</v>
      </c>
      <c r="AA649" t="s">
        <v>1400</v>
      </c>
      <c r="AB649" t="s">
        <v>1389</v>
      </c>
    </row>
    <row r="650" spans="1:28" x14ac:dyDescent="0.3">
      <c r="A650" t="s">
        <v>1061</v>
      </c>
      <c r="B650" s="6">
        <v>45449.495138888888</v>
      </c>
      <c r="C650" t="s">
        <v>169</v>
      </c>
      <c r="D650" t="s">
        <v>1148</v>
      </c>
      <c r="E650" t="s">
        <v>1149</v>
      </c>
      <c r="F650" t="s">
        <v>1143</v>
      </c>
      <c r="G650" t="s">
        <v>1144</v>
      </c>
      <c r="H650" t="s">
        <v>1159</v>
      </c>
      <c r="I650" t="s">
        <v>1334</v>
      </c>
      <c r="J650" t="s">
        <v>1335</v>
      </c>
      <c r="K650">
        <v>1</v>
      </c>
      <c r="L650">
        <v>10478</v>
      </c>
      <c r="M650">
        <v>0.15</v>
      </c>
      <c r="N650">
        <v>8906.2999999999993</v>
      </c>
      <c r="O650">
        <v>0.12</v>
      </c>
      <c r="P650">
        <v>8906.2999999999993</v>
      </c>
      <c r="Q650">
        <v>1068.7560000000001</v>
      </c>
      <c r="R650">
        <v>9975.0559999999987</v>
      </c>
      <c r="S650" t="s">
        <v>1365</v>
      </c>
      <c r="T650" t="s">
        <v>1361</v>
      </c>
      <c r="U650" s="4">
        <v>45450</v>
      </c>
      <c r="V650" s="4">
        <v>45455</v>
      </c>
      <c r="W650" t="b">
        <v>0</v>
      </c>
      <c r="Z650" t="s">
        <v>1396</v>
      </c>
      <c r="AA650" t="s">
        <v>1399</v>
      </c>
      <c r="AB650" t="s">
        <v>1395</v>
      </c>
    </row>
    <row r="651" spans="1:28" x14ac:dyDescent="0.3">
      <c r="A651" t="s">
        <v>1064</v>
      </c>
      <c r="B651" s="6">
        <v>45341.482638888891</v>
      </c>
      <c r="C651" t="s">
        <v>107</v>
      </c>
      <c r="D651" t="s">
        <v>1153</v>
      </c>
      <c r="E651" t="s">
        <v>1176</v>
      </c>
      <c r="F651" t="s">
        <v>1143</v>
      </c>
      <c r="G651" t="s">
        <v>1177</v>
      </c>
      <c r="H651" t="s">
        <v>1236</v>
      </c>
      <c r="I651" t="s">
        <v>1254</v>
      </c>
      <c r="J651" t="s">
        <v>1255</v>
      </c>
      <c r="K651">
        <v>2</v>
      </c>
      <c r="L651">
        <v>2691</v>
      </c>
      <c r="M651">
        <v>0</v>
      </c>
      <c r="N651">
        <v>2691</v>
      </c>
      <c r="O651">
        <v>0.05</v>
      </c>
      <c r="P651">
        <v>5382</v>
      </c>
      <c r="Q651">
        <v>269.10000000000002</v>
      </c>
      <c r="R651">
        <v>5651.1</v>
      </c>
      <c r="S651" t="s">
        <v>1366</v>
      </c>
      <c r="T651" t="s">
        <v>1361</v>
      </c>
      <c r="U651" s="4">
        <v>45342</v>
      </c>
      <c r="V651" s="4">
        <v>45347</v>
      </c>
      <c r="W651" t="b">
        <v>0</v>
      </c>
      <c r="Z651" t="s">
        <v>1376</v>
      </c>
      <c r="AA651" t="s">
        <v>1400</v>
      </c>
      <c r="AB651" t="s">
        <v>1395</v>
      </c>
    </row>
    <row r="652" spans="1:28" x14ac:dyDescent="0.3">
      <c r="A652" t="s">
        <v>1066</v>
      </c>
      <c r="B652" s="6">
        <v>45586.542361111111</v>
      </c>
      <c r="C652" t="s">
        <v>36</v>
      </c>
      <c r="D652" t="s">
        <v>1182</v>
      </c>
      <c r="E652" t="s">
        <v>1207</v>
      </c>
      <c r="F652" t="s">
        <v>1143</v>
      </c>
      <c r="G652" t="s">
        <v>1167</v>
      </c>
      <c r="H652" t="s">
        <v>1211</v>
      </c>
      <c r="I652" t="s">
        <v>1279</v>
      </c>
      <c r="J652" t="s">
        <v>1280</v>
      </c>
      <c r="K652">
        <v>1</v>
      </c>
      <c r="L652">
        <v>10117</v>
      </c>
      <c r="M652">
        <v>0.1</v>
      </c>
      <c r="N652">
        <v>9105.3000000000011</v>
      </c>
      <c r="O652">
        <v>0.18</v>
      </c>
      <c r="P652">
        <v>9105.3000000000011</v>
      </c>
      <c r="Q652">
        <v>1638.954</v>
      </c>
      <c r="R652">
        <v>10744.254000000001</v>
      </c>
      <c r="S652" t="s">
        <v>1363</v>
      </c>
      <c r="T652" t="s">
        <v>1361</v>
      </c>
      <c r="U652" s="4">
        <v>45588</v>
      </c>
      <c r="V652" s="4">
        <v>45593</v>
      </c>
      <c r="W652" t="b">
        <v>0</v>
      </c>
      <c r="Z652" t="s">
        <v>1390</v>
      </c>
      <c r="AA652" t="s">
        <v>1387</v>
      </c>
      <c r="AB652" t="s">
        <v>1383</v>
      </c>
    </row>
    <row r="653" spans="1:28" x14ac:dyDescent="0.3">
      <c r="A653" t="s">
        <v>1067</v>
      </c>
      <c r="B653" s="6">
        <v>45709.620138888888</v>
      </c>
      <c r="C653" t="s">
        <v>510</v>
      </c>
      <c r="D653" t="s">
        <v>1153</v>
      </c>
      <c r="E653" t="s">
        <v>1191</v>
      </c>
      <c r="F653" t="s">
        <v>1143</v>
      </c>
      <c r="G653" t="s">
        <v>1172</v>
      </c>
      <c r="H653" t="s">
        <v>1229</v>
      </c>
      <c r="I653" t="s">
        <v>1340</v>
      </c>
      <c r="J653" t="s">
        <v>1341</v>
      </c>
      <c r="K653">
        <v>1</v>
      </c>
      <c r="L653">
        <v>5867</v>
      </c>
      <c r="M653">
        <v>0</v>
      </c>
      <c r="N653">
        <v>5867</v>
      </c>
      <c r="O653">
        <v>0.12</v>
      </c>
      <c r="P653">
        <v>5867</v>
      </c>
      <c r="Q653">
        <v>704.04</v>
      </c>
      <c r="R653">
        <v>6571.04</v>
      </c>
      <c r="S653" t="s">
        <v>1363</v>
      </c>
      <c r="T653" t="s">
        <v>1361</v>
      </c>
      <c r="U653" s="4">
        <v>45709</v>
      </c>
      <c r="V653" s="4">
        <v>45711</v>
      </c>
      <c r="W653" t="b">
        <v>0</v>
      </c>
      <c r="Z653" t="s">
        <v>1396</v>
      </c>
      <c r="AA653" t="s">
        <v>1387</v>
      </c>
      <c r="AB653" t="s">
        <v>1383</v>
      </c>
    </row>
    <row r="654" spans="1:28" x14ac:dyDescent="0.3">
      <c r="A654" t="s">
        <v>1069</v>
      </c>
      <c r="B654" s="6">
        <v>45739.423611111109</v>
      </c>
      <c r="C654" t="s">
        <v>121</v>
      </c>
      <c r="D654" t="s">
        <v>1141</v>
      </c>
      <c r="E654" t="s">
        <v>1142</v>
      </c>
      <c r="F654" t="s">
        <v>1143</v>
      </c>
      <c r="G654" t="s">
        <v>1177</v>
      </c>
      <c r="H654" t="s">
        <v>1178</v>
      </c>
      <c r="I654" t="s">
        <v>1179</v>
      </c>
      <c r="J654" t="s">
        <v>1180</v>
      </c>
      <c r="K654">
        <v>1</v>
      </c>
      <c r="L654">
        <v>558</v>
      </c>
      <c r="M654">
        <v>0.15</v>
      </c>
      <c r="N654">
        <v>474.3</v>
      </c>
      <c r="O654">
        <v>0.12</v>
      </c>
      <c r="P654">
        <v>474.3</v>
      </c>
      <c r="Q654">
        <v>56.915999999999997</v>
      </c>
      <c r="R654">
        <v>531.21600000000001</v>
      </c>
      <c r="S654" t="s">
        <v>1360</v>
      </c>
      <c r="T654" t="s">
        <v>1361</v>
      </c>
      <c r="U654" s="4">
        <v>45740</v>
      </c>
      <c r="V654" s="4">
        <v>45744</v>
      </c>
      <c r="W654" t="b">
        <v>0</v>
      </c>
      <c r="Z654" t="s">
        <v>1384</v>
      </c>
      <c r="AA654" t="s">
        <v>1377</v>
      </c>
      <c r="AB654" t="s">
        <v>1389</v>
      </c>
    </row>
    <row r="655" spans="1:28" x14ac:dyDescent="0.3">
      <c r="A655" t="s">
        <v>1070</v>
      </c>
      <c r="B655" s="6">
        <v>45733.424305555556</v>
      </c>
      <c r="C655" t="s">
        <v>73</v>
      </c>
      <c r="D655" t="s">
        <v>1157</v>
      </c>
      <c r="E655" t="s">
        <v>1249</v>
      </c>
      <c r="F655" t="s">
        <v>1143</v>
      </c>
      <c r="G655" t="s">
        <v>1167</v>
      </c>
      <c r="H655" t="s">
        <v>1288</v>
      </c>
      <c r="I655" t="s">
        <v>1336</v>
      </c>
      <c r="J655" t="s">
        <v>1337</v>
      </c>
      <c r="K655">
        <v>1</v>
      </c>
      <c r="L655">
        <v>55565</v>
      </c>
      <c r="M655">
        <v>0</v>
      </c>
      <c r="N655">
        <v>55565</v>
      </c>
      <c r="O655">
        <v>0.12</v>
      </c>
      <c r="P655">
        <v>55565</v>
      </c>
      <c r="Q655">
        <v>6667.8</v>
      </c>
      <c r="R655">
        <v>62232.800000000003</v>
      </c>
      <c r="S655" t="s">
        <v>1360</v>
      </c>
      <c r="T655" t="s">
        <v>1361</v>
      </c>
      <c r="U655" s="4">
        <v>45735</v>
      </c>
      <c r="V655" s="4">
        <v>45736</v>
      </c>
      <c r="W655" t="b">
        <v>0</v>
      </c>
      <c r="Z655" t="s">
        <v>1396</v>
      </c>
      <c r="AA655" t="s">
        <v>1385</v>
      </c>
      <c r="AB655" t="s">
        <v>1380</v>
      </c>
    </row>
    <row r="656" spans="1:28" x14ac:dyDescent="0.3">
      <c r="A656" t="s">
        <v>1071</v>
      </c>
      <c r="B656" s="6">
        <v>45662.60833333333</v>
      </c>
      <c r="C656" t="s">
        <v>206</v>
      </c>
      <c r="D656" t="s">
        <v>1153</v>
      </c>
      <c r="E656" t="s">
        <v>1191</v>
      </c>
      <c r="F656" t="s">
        <v>1143</v>
      </c>
      <c r="G656" t="s">
        <v>1172</v>
      </c>
      <c r="H656" t="s">
        <v>1204</v>
      </c>
      <c r="I656" t="s">
        <v>1205</v>
      </c>
      <c r="J656" t="s">
        <v>1206</v>
      </c>
      <c r="K656">
        <v>3</v>
      </c>
      <c r="L656">
        <v>5689</v>
      </c>
      <c r="M656">
        <v>0</v>
      </c>
      <c r="N656">
        <v>5689</v>
      </c>
      <c r="O656">
        <v>0.12</v>
      </c>
      <c r="P656">
        <v>17067</v>
      </c>
      <c r="Q656">
        <v>2048.04</v>
      </c>
      <c r="R656">
        <v>19115.04</v>
      </c>
      <c r="S656" t="s">
        <v>1363</v>
      </c>
      <c r="T656" t="s">
        <v>1367</v>
      </c>
      <c r="U656" s="4">
        <v>45663</v>
      </c>
      <c r="W656" t="b">
        <v>0</v>
      </c>
      <c r="Z656" t="s">
        <v>1379</v>
      </c>
      <c r="AA656" t="s">
        <v>1400</v>
      </c>
      <c r="AB656" t="s">
        <v>1395</v>
      </c>
    </row>
    <row r="657" spans="1:28" x14ac:dyDescent="0.3">
      <c r="A657" t="s">
        <v>1072</v>
      </c>
      <c r="B657" s="6">
        <v>45746.574999999997</v>
      </c>
      <c r="C657" t="s">
        <v>354</v>
      </c>
      <c r="D657" t="s">
        <v>1148</v>
      </c>
      <c r="E657" t="s">
        <v>1217</v>
      </c>
      <c r="F657" t="s">
        <v>1143</v>
      </c>
      <c r="G657" t="s">
        <v>1144</v>
      </c>
      <c r="H657" t="s">
        <v>1214</v>
      </c>
      <c r="I657" t="s">
        <v>1252</v>
      </c>
      <c r="J657" t="s">
        <v>1253</v>
      </c>
      <c r="K657">
        <v>2</v>
      </c>
      <c r="L657">
        <v>7887</v>
      </c>
      <c r="M657">
        <v>0.05</v>
      </c>
      <c r="N657">
        <v>7492.65</v>
      </c>
      <c r="O657">
        <v>0.18</v>
      </c>
      <c r="P657">
        <v>14985.3</v>
      </c>
      <c r="Q657">
        <v>2697.3539999999998</v>
      </c>
      <c r="R657">
        <v>17682.653999999999</v>
      </c>
      <c r="S657" t="s">
        <v>1360</v>
      </c>
      <c r="T657" t="s">
        <v>1361</v>
      </c>
      <c r="U657" s="4">
        <v>45748</v>
      </c>
      <c r="V657" s="4">
        <v>45749</v>
      </c>
      <c r="W657" t="b">
        <v>0</v>
      </c>
      <c r="Z657" t="s">
        <v>1379</v>
      </c>
      <c r="AA657" t="s">
        <v>1377</v>
      </c>
      <c r="AB657" t="s">
        <v>1393</v>
      </c>
    </row>
    <row r="658" spans="1:28" x14ac:dyDescent="0.3">
      <c r="A658" t="s">
        <v>1073</v>
      </c>
      <c r="B658" s="6">
        <v>45492.581250000003</v>
      </c>
      <c r="C658" t="s">
        <v>98</v>
      </c>
      <c r="D658" t="s">
        <v>1148</v>
      </c>
      <c r="E658" t="s">
        <v>1171</v>
      </c>
      <c r="F658" t="s">
        <v>1143</v>
      </c>
      <c r="G658" t="s">
        <v>1172</v>
      </c>
      <c r="H658" t="s">
        <v>1173</v>
      </c>
      <c r="I658" t="s">
        <v>1222</v>
      </c>
      <c r="J658" t="s">
        <v>1223</v>
      </c>
      <c r="K658">
        <v>1</v>
      </c>
      <c r="L658">
        <v>6224</v>
      </c>
      <c r="M658">
        <v>0.05</v>
      </c>
      <c r="N658">
        <v>5912.7999999999993</v>
      </c>
      <c r="O658">
        <v>0.12</v>
      </c>
      <c r="P658">
        <v>5912.7999999999993</v>
      </c>
      <c r="Q658">
        <v>709.53599999999983</v>
      </c>
      <c r="R658">
        <v>6622.3359999999993</v>
      </c>
      <c r="S658" t="s">
        <v>1366</v>
      </c>
      <c r="T658" t="s">
        <v>1361</v>
      </c>
      <c r="U658" s="4">
        <v>45492</v>
      </c>
      <c r="V658" s="4">
        <v>45496</v>
      </c>
      <c r="W658" t="b">
        <v>0</v>
      </c>
      <c r="Z658" t="s">
        <v>1392</v>
      </c>
      <c r="AA658" t="s">
        <v>1394</v>
      </c>
      <c r="AB658" t="s">
        <v>1391</v>
      </c>
    </row>
    <row r="659" spans="1:28" x14ac:dyDescent="0.3">
      <c r="A659" t="s">
        <v>1076</v>
      </c>
      <c r="B659" s="6">
        <v>45316.515277777777</v>
      </c>
      <c r="C659" t="s">
        <v>206</v>
      </c>
      <c r="D659" t="s">
        <v>1153</v>
      </c>
      <c r="E659" t="s">
        <v>1191</v>
      </c>
      <c r="F659" t="s">
        <v>1143</v>
      </c>
      <c r="G659" t="s">
        <v>1163</v>
      </c>
      <c r="H659" t="s">
        <v>1240</v>
      </c>
      <c r="I659" t="s">
        <v>1247</v>
      </c>
      <c r="J659" t="s">
        <v>1248</v>
      </c>
      <c r="K659">
        <v>3</v>
      </c>
      <c r="L659">
        <v>821</v>
      </c>
      <c r="M659">
        <v>0.1</v>
      </c>
      <c r="N659">
        <v>738.9</v>
      </c>
      <c r="O659">
        <v>0.18</v>
      </c>
      <c r="P659">
        <v>2216.6999999999998</v>
      </c>
      <c r="Q659">
        <v>399.00599999999997</v>
      </c>
      <c r="R659">
        <v>2615.7060000000001</v>
      </c>
      <c r="S659" t="s">
        <v>1362</v>
      </c>
      <c r="T659" t="s">
        <v>1361</v>
      </c>
      <c r="U659" s="4">
        <v>45316</v>
      </c>
      <c r="V659" s="4">
        <v>45317</v>
      </c>
      <c r="W659" t="b">
        <v>0</v>
      </c>
      <c r="Z659" t="s">
        <v>1392</v>
      </c>
      <c r="AA659" t="s">
        <v>1394</v>
      </c>
      <c r="AB659" t="s">
        <v>1393</v>
      </c>
    </row>
    <row r="660" spans="1:28" x14ac:dyDescent="0.3">
      <c r="A660" t="s">
        <v>1078</v>
      </c>
      <c r="B660" s="6">
        <v>45671.461805555555</v>
      </c>
      <c r="C660" t="s">
        <v>16</v>
      </c>
      <c r="D660" t="s">
        <v>1148</v>
      </c>
      <c r="E660" t="s">
        <v>1171</v>
      </c>
      <c r="F660" t="s">
        <v>1143</v>
      </c>
      <c r="G660" t="s">
        <v>1167</v>
      </c>
      <c r="H660" t="s">
        <v>1288</v>
      </c>
      <c r="I660" t="s">
        <v>1336</v>
      </c>
      <c r="J660" t="s">
        <v>1337</v>
      </c>
      <c r="K660">
        <v>2</v>
      </c>
      <c r="L660">
        <v>28036</v>
      </c>
      <c r="M660">
        <v>0.2</v>
      </c>
      <c r="N660">
        <v>22428.799999999999</v>
      </c>
      <c r="O660">
        <v>0.12</v>
      </c>
      <c r="P660">
        <v>44857.600000000013</v>
      </c>
      <c r="Q660">
        <v>5382.9120000000003</v>
      </c>
      <c r="R660">
        <v>50240.512000000002</v>
      </c>
      <c r="S660" t="s">
        <v>1363</v>
      </c>
      <c r="T660" t="s">
        <v>1361</v>
      </c>
      <c r="U660" s="4">
        <v>45673</v>
      </c>
      <c r="V660" s="4">
        <v>45676</v>
      </c>
      <c r="W660" t="b">
        <v>0</v>
      </c>
      <c r="Z660" t="s">
        <v>1384</v>
      </c>
      <c r="AA660" t="s">
        <v>1387</v>
      </c>
      <c r="AB660" t="s">
        <v>1383</v>
      </c>
    </row>
    <row r="661" spans="1:28" x14ac:dyDescent="0.3">
      <c r="A661" t="s">
        <v>1082</v>
      </c>
      <c r="B661" s="6">
        <v>45520.421527777777</v>
      </c>
      <c r="C661" t="s">
        <v>768</v>
      </c>
      <c r="D661" t="s">
        <v>1182</v>
      </c>
      <c r="E661" t="s">
        <v>1256</v>
      </c>
      <c r="F661" t="s">
        <v>1143</v>
      </c>
      <c r="G661" t="s">
        <v>1177</v>
      </c>
      <c r="H661" t="s">
        <v>1309</v>
      </c>
      <c r="I661" t="s">
        <v>1328</v>
      </c>
      <c r="J661" t="s">
        <v>1329</v>
      </c>
      <c r="K661">
        <v>1</v>
      </c>
      <c r="L661">
        <v>2945</v>
      </c>
      <c r="M661">
        <v>0.15</v>
      </c>
      <c r="N661">
        <v>2503.25</v>
      </c>
      <c r="O661">
        <v>0.12</v>
      </c>
      <c r="P661">
        <v>2503.25</v>
      </c>
      <c r="Q661">
        <v>300.39</v>
      </c>
      <c r="R661">
        <v>2803.64</v>
      </c>
      <c r="S661" t="s">
        <v>1366</v>
      </c>
      <c r="T661" t="s">
        <v>1368</v>
      </c>
      <c r="U661" s="4">
        <v>45520</v>
      </c>
      <c r="W661" t="b">
        <v>0</v>
      </c>
      <c r="Z661" t="s">
        <v>1388</v>
      </c>
      <c r="AA661" t="s">
        <v>1399</v>
      </c>
      <c r="AB661" t="s">
        <v>1380</v>
      </c>
    </row>
    <row r="662" spans="1:28" x14ac:dyDescent="0.3">
      <c r="A662" t="s">
        <v>1083</v>
      </c>
      <c r="B662" s="6">
        <v>45640.478472222225</v>
      </c>
      <c r="C662" t="s">
        <v>20</v>
      </c>
      <c r="D662" t="s">
        <v>1157</v>
      </c>
      <c r="E662" t="s">
        <v>1181</v>
      </c>
      <c r="F662" t="s">
        <v>1143</v>
      </c>
      <c r="G662" t="s">
        <v>1144</v>
      </c>
      <c r="H662" t="s">
        <v>1159</v>
      </c>
      <c r="I662" t="s">
        <v>1160</v>
      </c>
      <c r="J662" t="s">
        <v>1161</v>
      </c>
      <c r="K662">
        <v>2</v>
      </c>
      <c r="L662">
        <v>9726</v>
      </c>
      <c r="M662">
        <v>0</v>
      </c>
      <c r="N662">
        <v>9726</v>
      </c>
      <c r="O662">
        <v>0.12</v>
      </c>
      <c r="P662">
        <v>19452</v>
      </c>
      <c r="Q662">
        <v>2334.2399999999998</v>
      </c>
      <c r="R662">
        <v>21786.240000000002</v>
      </c>
      <c r="S662" t="s">
        <v>1363</v>
      </c>
      <c r="T662" t="s">
        <v>1361</v>
      </c>
      <c r="U662" s="4">
        <v>45642</v>
      </c>
      <c r="V662" s="4">
        <v>45646</v>
      </c>
      <c r="W662" t="b">
        <v>0</v>
      </c>
      <c r="Z662" t="s">
        <v>1398</v>
      </c>
      <c r="AA662" t="s">
        <v>1377</v>
      </c>
      <c r="AB662" t="s">
        <v>1393</v>
      </c>
    </row>
    <row r="663" spans="1:28" x14ac:dyDescent="0.3">
      <c r="A663" t="s">
        <v>1084</v>
      </c>
      <c r="B663" s="6">
        <v>45314.564583333333</v>
      </c>
      <c r="C663" t="s">
        <v>176</v>
      </c>
      <c r="D663" t="s">
        <v>1148</v>
      </c>
      <c r="E663" t="s">
        <v>1262</v>
      </c>
      <c r="F663" t="s">
        <v>1143</v>
      </c>
      <c r="G663" t="s">
        <v>1163</v>
      </c>
      <c r="H663" t="s">
        <v>1240</v>
      </c>
      <c r="I663" t="s">
        <v>1247</v>
      </c>
      <c r="J663" t="s">
        <v>1248</v>
      </c>
      <c r="K663">
        <v>1</v>
      </c>
      <c r="L663">
        <v>867</v>
      </c>
      <c r="M663">
        <v>0</v>
      </c>
      <c r="N663">
        <v>867</v>
      </c>
      <c r="O663">
        <v>0.12</v>
      </c>
      <c r="P663">
        <v>867</v>
      </c>
      <c r="Q663">
        <v>104.04</v>
      </c>
      <c r="R663">
        <v>971.04</v>
      </c>
      <c r="S663" t="s">
        <v>1366</v>
      </c>
      <c r="T663" t="s">
        <v>1361</v>
      </c>
      <c r="U663" s="4">
        <v>45315</v>
      </c>
      <c r="V663" s="4">
        <v>45319</v>
      </c>
      <c r="W663" t="b">
        <v>0</v>
      </c>
      <c r="Z663" t="s">
        <v>1386</v>
      </c>
      <c r="AA663" t="s">
        <v>1399</v>
      </c>
      <c r="AB663" t="s">
        <v>1391</v>
      </c>
    </row>
    <row r="664" spans="1:28" x14ac:dyDescent="0.3">
      <c r="A664" t="s">
        <v>1086</v>
      </c>
      <c r="B664" s="6">
        <v>45668.481249999997</v>
      </c>
      <c r="C664" t="s">
        <v>73</v>
      </c>
      <c r="D664" t="s">
        <v>1157</v>
      </c>
      <c r="E664" t="s">
        <v>1249</v>
      </c>
      <c r="F664" t="s">
        <v>1143</v>
      </c>
      <c r="G664" t="s">
        <v>1172</v>
      </c>
      <c r="H664" t="s">
        <v>1198</v>
      </c>
      <c r="I664" t="s">
        <v>1303</v>
      </c>
      <c r="J664" t="s">
        <v>1304</v>
      </c>
      <c r="K664">
        <v>3</v>
      </c>
      <c r="L664">
        <v>7213</v>
      </c>
      <c r="M664">
        <v>0</v>
      </c>
      <c r="N664">
        <v>7213</v>
      </c>
      <c r="O664">
        <v>0.18</v>
      </c>
      <c r="P664">
        <v>21639</v>
      </c>
      <c r="Q664">
        <v>3895.02</v>
      </c>
      <c r="R664">
        <v>25534.02</v>
      </c>
      <c r="S664" t="s">
        <v>1363</v>
      </c>
      <c r="T664" t="s">
        <v>1361</v>
      </c>
      <c r="U664" s="4">
        <v>45668</v>
      </c>
      <c r="V664" s="4">
        <v>45671</v>
      </c>
      <c r="W664" t="b">
        <v>0</v>
      </c>
      <c r="Z664" t="s">
        <v>1379</v>
      </c>
      <c r="AA664" t="s">
        <v>1387</v>
      </c>
      <c r="AB664" t="s">
        <v>1391</v>
      </c>
    </row>
    <row r="665" spans="1:28" x14ac:dyDescent="0.3">
      <c r="A665" t="s">
        <v>1091</v>
      </c>
      <c r="B665" s="6">
        <v>45622.496527777781</v>
      </c>
      <c r="C665" t="s">
        <v>869</v>
      </c>
      <c r="D665" t="s">
        <v>1157</v>
      </c>
      <c r="E665" t="s">
        <v>1158</v>
      </c>
      <c r="F665" t="s">
        <v>1143</v>
      </c>
      <c r="G665" t="s">
        <v>1144</v>
      </c>
      <c r="H665" t="s">
        <v>1214</v>
      </c>
      <c r="I665" t="s">
        <v>1320</v>
      </c>
      <c r="J665" t="s">
        <v>1321</v>
      </c>
      <c r="K665">
        <v>1</v>
      </c>
      <c r="L665">
        <v>14314</v>
      </c>
      <c r="M665">
        <v>0</v>
      </c>
      <c r="N665">
        <v>14314</v>
      </c>
      <c r="O665">
        <v>0.18</v>
      </c>
      <c r="P665">
        <v>14314</v>
      </c>
      <c r="Q665">
        <v>2576.52</v>
      </c>
      <c r="R665">
        <v>16890.52</v>
      </c>
      <c r="S665" t="s">
        <v>1363</v>
      </c>
      <c r="T665" t="s">
        <v>1368</v>
      </c>
      <c r="U665" s="4">
        <v>45624</v>
      </c>
      <c r="W665" t="b">
        <v>0</v>
      </c>
      <c r="Z665" t="s">
        <v>1382</v>
      </c>
      <c r="AA665" t="s">
        <v>1400</v>
      </c>
      <c r="AB665" t="s">
        <v>1383</v>
      </c>
    </row>
    <row r="666" spans="1:28" x14ac:dyDescent="0.3">
      <c r="A666" t="s">
        <v>1093</v>
      </c>
      <c r="B666" s="6">
        <v>45530.583333333336</v>
      </c>
      <c r="C666" t="s">
        <v>211</v>
      </c>
      <c r="D666" t="s">
        <v>1157</v>
      </c>
      <c r="E666" t="s">
        <v>1181</v>
      </c>
      <c r="F666" t="s">
        <v>1143</v>
      </c>
      <c r="G666" t="s">
        <v>1172</v>
      </c>
      <c r="H666" t="s">
        <v>1188</v>
      </c>
      <c r="I666" t="s">
        <v>1189</v>
      </c>
      <c r="J666" t="s">
        <v>1190</v>
      </c>
      <c r="K666">
        <v>4</v>
      </c>
      <c r="L666">
        <v>900</v>
      </c>
      <c r="M666">
        <v>0.1</v>
      </c>
      <c r="N666">
        <v>810</v>
      </c>
      <c r="O666">
        <v>0.18</v>
      </c>
      <c r="P666">
        <v>3240</v>
      </c>
      <c r="Q666">
        <v>583.19999999999993</v>
      </c>
      <c r="R666">
        <v>3823.2</v>
      </c>
      <c r="S666" t="s">
        <v>1360</v>
      </c>
      <c r="T666" t="s">
        <v>1368</v>
      </c>
      <c r="U666" s="4">
        <v>45531</v>
      </c>
      <c r="W666" t="b">
        <v>0</v>
      </c>
      <c r="Z666" t="s">
        <v>1396</v>
      </c>
      <c r="AA666" t="s">
        <v>1400</v>
      </c>
      <c r="AB666" t="s">
        <v>1380</v>
      </c>
    </row>
    <row r="667" spans="1:28" x14ac:dyDescent="0.3">
      <c r="A667" t="s">
        <v>1095</v>
      </c>
      <c r="B667" s="6">
        <v>45307.609722222223</v>
      </c>
      <c r="C667" t="s">
        <v>128</v>
      </c>
      <c r="D667" t="s">
        <v>1182</v>
      </c>
      <c r="E667" t="s">
        <v>1183</v>
      </c>
      <c r="F667" t="s">
        <v>1143</v>
      </c>
      <c r="G667" t="s">
        <v>1144</v>
      </c>
      <c r="H667" t="s">
        <v>1269</v>
      </c>
      <c r="I667" t="s">
        <v>1326</v>
      </c>
      <c r="J667" t="s">
        <v>1327</v>
      </c>
      <c r="K667">
        <v>3</v>
      </c>
      <c r="L667">
        <v>2994</v>
      </c>
      <c r="M667">
        <v>0</v>
      </c>
      <c r="N667">
        <v>2994</v>
      </c>
      <c r="O667">
        <v>0.12</v>
      </c>
      <c r="P667">
        <v>8982</v>
      </c>
      <c r="Q667">
        <v>1077.8399999999999</v>
      </c>
      <c r="R667">
        <v>10059.84</v>
      </c>
      <c r="S667" t="s">
        <v>1363</v>
      </c>
      <c r="T667" t="s">
        <v>1361</v>
      </c>
      <c r="U667" s="4">
        <v>45309</v>
      </c>
      <c r="V667" s="4">
        <v>45311</v>
      </c>
      <c r="W667" t="b">
        <v>0</v>
      </c>
      <c r="Z667" t="s">
        <v>1376</v>
      </c>
      <c r="AA667" t="s">
        <v>1399</v>
      </c>
      <c r="AB667" t="s">
        <v>1378</v>
      </c>
    </row>
    <row r="668" spans="1:28" x14ac:dyDescent="0.3">
      <c r="A668" t="s">
        <v>1102</v>
      </c>
      <c r="B668" s="6">
        <v>45369.654861111114</v>
      </c>
      <c r="C668" t="s">
        <v>267</v>
      </c>
      <c r="D668" t="s">
        <v>1148</v>
      </c>
      <c r="E668" t="s">
        <v>1217</v>
      </c>
      <c r="F668" t="s">
        <v>1143</v>
      </c>
      <c r="G668" t="s">
        <v>1167</v>
      </c>
      <c r="H668" t="s">
        <v>1263</v>
      </c>
      <c r="I668" t="s">
        <v>1346</v>
      </c>
      <c r="J668" t="s">
        <v>1347</v>
      </c>
      <c r="K668">
        <v>1</v>
      </c>
      <c r="L668">
        <v>20426</v>
      </c>
      <c r="M668">
        <v>0</v>
      </c>
      <c r="N668">
        <v>20426</v>
      </c>
      <c r="O668">
        <v>0.12</v>
      </c>
      <c r="P668">
        <v>20426</v>
      </c>
      <c r="Q668">
        <v>2451.12</v>
      </c>
      <c r="R668">
        <v>22877.119999999999</v>
      </c>
      <c r="S668" t="s">
        <v>1360</v>
      </c>
      <c r="T668" t="s">
        <v>1361</v>
      </c>
      <c r="U668" s="4">
        <v>45370</v>
      </c>
      <c r="V668" s="4">
        <v>45372</v>
      </c>
      <c r="W668" t="b">
        <v>0</v>
      </c>
      <c r="Z668" t="s">
        <v>1379</v>
      </c>
      <c r="AA668" t="s">
        <v>1387</v>
      </c>
      <c r="AB668" t="s">
        <v>1391</v>
      </c>
    </row>
    <row r="669" spans="1:28" x14ac:dyDescent="0.3">
      <c r="A669" t="s">
        <v>1105</v>
      </c>
      <c r="B669" s="6">
        <v>45607.478472222225</v>
      </c>
      <c r="C669" t="s">
        <v>57</v>
      </c>
      <c r="D669" t="s">
        <v>1153</v>
      </c>
      <c r="E669" t="s">
        <v>1176</v>
      </c>
      <c r="F669" t="s">
        <v>1143</v>
      </c>
      <c r="G669" t="s">
        <v>1177</v>
      </c>
      <c r="H669" t="s">
        <v>1178</v>
      </c>
      <c r="I669" t="s">
        <v>1305</v>
      </c>
      <c r="J669" t="s">
        <v>1306</v>
      </c>
      <c r="K669">
        <v>2</v>
      </c>
      <c r="L669">
        <v>737</v>
      </c>
      <c r="M669">
        <v>0.1</v>
      </c>
      <c r="N669">
        <v>663.30000000000007</v>
      </c>
      <c r="O669">
        <v>0.12</v>
      </c>
      <c r="P669">
        <v>1326.6</v>
      </c>
      <c r="Q669">
        <v>159.19200000000001</v>
      </c>
      <c r="R669">
        <v>1485.7919999999999</v>
      </c>
      <c r="S669" t="s">
        <v>1360</v>
      </c>
      <c r="T669" t="s">
        <v>1367</v>
      </c>
      <c r="U669" s="4">
        <v>45608</v>
      </c>
      <c r="W669" t="b">
        <v>0</v>
      </c>
      <c r="Z669" t="s">
        <v>1386</v>
      </c>
      <c r="AA669" t="s">
        <v>1387</v>
      </c>
      <c r="AB669" t="s">
        <v>1393</v>
      </c>
    </row>
    <row r="670" spans="1:28" x14ac:dyDescent="0.3">
      <c r="A670" t="s">
        <v>1106</v>
      </c>
      <c r="B670" s="6">
        <v>45339.411805555559</v>
      </c>
      <c r="C670" t="s">
        <v>669</v>
      </c>
      <c r="D670" t="s">
        <v>1157</v>
      </c>
      <c r="E670" t="s">
        <v>1181</v>
      </c>
      <c r="F670" t="s">
        <v>1143</v>
      </c>
      <c r="G670" t="s">
        <v>1167</v>
      </c>
      <c r="H670" t="s">
        <v>1168</v>
      </c>
      <c r="I670" t="s">
        <v>1314</v>
      </c>
      <c r="J670" t="s">
        <v>1315</v>
      </c>
      <c r="K670">
        <v>3</v>
      </c>
      <c r="L670">
        <v>42147</v>
      </c>
      <c r="M670">
        <v>0</v>
      </c>
      <c r="N670">
        <v>42147</v>
      </c>
      <c r="O670">
        <v>0.12</v>
      </c>
      <c r="P670">
        <v>126441</v>
      </c>
      <c r="Q670">
        <v>15172.92</v>
      </c>
      <c r="R670">
        <v>141613.92000000001</v>
      </c>
      <c r="S670" t="s">
        <v>1366</v>
      </c>
      <c r="T670" t="s">
        <v>1369</v>
      </c>
      <c r="W670" t="b">
        <v>0</v>
      </c>
      <c r="Z670" t="s">
        <v>1392</v>
      </c>
      <c r="AA670" t="s">
        <v>1387</v>
      </c>
      <c r="AB670" t="s">
        <v>1380</v>
      </c>
    </row>
    <row r="671" spans="1:28" x14ac:dyDescent="0.3">
      <c r="A671" t="s">
        <v>1108</v>
      </c>
      <c r="B671" s="6">
        <v>45743.55</v>
      </c>
      <c r="C671" t="s">
        <v>444</v>
      </c>
      <c r="D671" t="s">
        <v>1157</v>
      </c>
      <c r="E671" t="s">
        <v>1158</v>
      </c>
      <c r="F671" t="s">
        <v>1143</v>
      </c>
      <c r="G671" t="s">
        <v>1167</v>
      </c>
      <c r="H671" t="s">
        <v>1288</v>
      </c>
      <c r="I671" t="s">
        <v>1293</v>
      </c>
      <c r="J671" t="s">
        <v>1294</v>
      </c>
      <c r="K671">
        <v>3</v>
      </c>
      <c r="L671">
        <v>9527</v>
      </c>
      <c r="M671">
        <v>0</v>
      </c>
      <c r="N671">
        <v>9527</v>
      </c>
      <c r="O671">
        <v>0.12</v>
      </c>
      <c r="P671">
        <v>28581</v>
      </c>
      <c r="Q671">
        <v>3429.72</v>
      </c>
      <c r="R671">
        <v>32010.720000000001</v>
      </c>
      <c r="S671" t="s">
        <v>1365</v>
      </c>
      <c r="T671" t="s">
        <v>1361</v>
      </c>
      <c r="U671" s="4">
        <v>45743</v>
      </c>
      <c r="V671" s="4">
        <v>45744</v>
      </c>
      <c r="W671" t="b">
        <v>0</v>
      </c>
      <c r="Z671" t="s">
        <v>1398</v>
      </c>
      <c r="AA671" t="s">
        <v>1387</v>
      </c>
      <c r="AB671" t="s">
        <v>1391</v>
      </c>
    </row>
    <row r="672" spans="1:28" x14ac:dyDescent="0.3">
      <c r="A672" t="s">
        <v>1109</v>
      </c>
      <c r="B672" s="6">
        <v>45486.65902777778</v>
      </c>
      <c r="C672" t="s">
        <v>40</v>
      </c>
      <c r="D672" t="s">
        <v>1141</v>
      </c>
      <c r="E672" t="s">
        <v>1142</v>
      </c>
      <c r="F672" t="s">
        <v>1143</v>
      </c>
      <c r="G672" t="s">
        <v>1167</v>
      </c>
      <c r="H672" t="s">
        <v>1263</v>
      </c>
      <c r="I672" t="s">
        <v>1274</v>
      </c>
      <c r="J672" t="s">
        <v>1275</v>
      </c>
      <c r="K672">
        <v>2</v>
      </c>
      <c r="L672">
        <v>20514</v>
      </c>
      <c r="M672">
        <v>0</v>
      </c>
      <c r="N672">
        <v>20514</v>
      </c>
      <c r="O672">
        <v>0.18</v>
      </c>
      <c r="P672">
        <v>41028</v>
      </c>
      <c r="Q672">
        <v>7385.04</v>
      </c>
      <c r="R672">
        <v>48413.04</v>
      </c>
      <c r="S672" t="s">
        <v>1366</v>
      </c>
      <c r="T672" t="s">
        <v>1361</v>
      </c>
      <c r="U672" s="4">
        <v>45488</v>
      </c>
      <c r="V672" s="4">
        <v>45493</v>
      </c>
      <c r="W672" t="b">
        <v>0</v>
      </c>
      <c r="Z672" t="s">
        <v>1386</v>
      </c>
      <c r="AA672" t="s">
        <v>1397</v>
      </c>
      <c r="AB672" t="s">
        <v>1383</v>
      </c>
    </row>
    <row r="673" spans="1:28" x14ac:dyDescent="0.3">
      <c r="A673" t="s">
        <v>1110</v>
      </c>
      <c r="B673" s="6">
        <v>45463.544444444444</v>
      </c>
      <c r="C673" t="s">
        <v>368</v>
      </c>
      <c r="D673" t="s">
        <v>1153</v>
      </c>
      <c r="E673" t="s">
        <v>1191</v>
      </c>
      <c r="F673" t="s">
        <v>1143</v>
      </c>
      <c r="G673" t="s">
        <v>1172</v>
      </c>
      <c r="H673" t="s">
        <v>1229</v>
      </c>
      <c r="I673" t="s">
        <v>1295</v>
      </c>
      <c r="J673" t="s">
        <v>1296</v>
      </c>
      <c r="K673">
        <v>2</v>
      </c>
      <c r="L673">
        <v>3036</v>
      </c>
      <c r="M673">
        <v>0.2</v>
      </c>
      <c r="N673">
        <v>2428.8000000000002</v>
      </c>
      <c r="O673">
        <v>0.18</v>
      </c>
      <c r="P673">
        <v>4857.6000000000004</v>
      </c>
      <c r="Q673">
        <v>874.36800000000005</v>
      </c>
      <c r="R673">
        <v>5731.9680000000008</v>
      </c>
      <c r="S673" t="s">
        <v>1360</v>
      </c>
      <c r="T673" t="s">
        <v>1361</v>
      </c>
      <c r="U673" s="4">
        <v>45463</v>
      </c>
      <c r="V673" s="4">
        <v>45464</v>
      </c>
      <c r="W673" t="b">
        <v>0</v>
      </c>
      <c r="Z673" t="s">
        <v>1398</v>
      </c>
      <c r="AA673" t="s">
        <v>1397</v>
      </c>
      <c r="AB673" t="s">
        <v>1389</v>
      </c>
    </row>
    <row r="674" spans="1:28" x14ac:dyDescent="0.3">
      <c r="A674" t="s">
        <v>1111</v>
      </c>
      <c r="B674" s="6">
        <v>45388.633333333331</v>
      </c>
      <c r="C674" t="s">
        <v>57</v>
      </c>
      <c r="D674" t="s">
        <v>1153</v>
      </c>
      <c r="E674" t="s">
        <v>1176</v>
      </c>
      <c r="F674" t="s">
        <v>1143</v>
      </c>
      <c r="G674" t="s">
        <v>1163</v>
      </c>
      <c r="H674" t="s">
        <v>1240</v>
      </c>
      <c r="I674" t="s">
        <v>1247</v>
      </c>
      <c r="J674" t="s">
        <v>1248</v>
      </c>
      <c r="K674">
        <v>2</v>
      </c>
      <c r="L674">
        <v>180</v>
      </c>
      <c r="M674">
        <v>0.15</v>
      </c>
      <c r="N674">
        <v>153</v>
      </c>
      <c r="O674">
        <v>0.18</v>
      </c>
      <c r="P674">
        <v>306</v>
      </c>
      <c r="Q674">
        <v>55.08</v>
      </c>
      <c r="R674">
        <v>361.08</v>
      </c>
      <c r="S674" t="s">
        <v>1365</v>
      </c>
      <c r="T674" t="s">
        <v>1361</v>
      </c>
      <c r="U674" s="4">
        <v>45390</v>
      </c>
      <c r="V674" s="4">
        <v>45391</v>
      </c>
      <c r="W674" t="b">
        <v>0</v>
      </c>
      <c r="Z674" t="s">
        <v>1376</v>
      </c>
      <c r="AA674" t="s">
        <v>1394</v>
      </c>
      <c r="AB674" t="s">
        <v>1380</v>
      </c>
    </row>
    <row r="675" spans="1:28" x14ac:dyDescent="0.3">
      <c r="A675" t="s">
        <v>1112</v>
      </c>
      <c r="B675" s="6">
        <v>45603.490972222222</v>
      </c>
      <c r="C675" t="s">
        <v>53</v>
      </c>
      <c r="D675" t="s">
        <v>1141</v>
      </c>
      <c r="E675" t="s">
        <v>1227</v>
      </c>
      <c r="F675" t="s">
        <v>1143</v>
      </c>
      <c r="G675" t="s">
        <v>1177</v>
      </c>
      <c r="H675" t="s">
        <v>1178</v>
      </c>
      <c r="I675" t="s">
        <v>1220</v>
      </c>
      <c r="J675" t="s">
        <v>1221</v>
      </c>
      <c r="K675">
        <v>2</v>
      </c>
      <c r="L675">
        <v>1619</v>
      </c>
      <c r="M675">
        <v>0</v>
      </c>
      <c r="N675">
        <v>1619</v>
      </c>
      <c r="O675">
        <v>0.12</v>
      </c>
      <c r="P675">
        <v>3238</v>
      </c>
      <c r="Q675">
        <v>388.56</v>
      </c>
      <c r="R675">
        <v>3626.56</v>
      </c>
      <c r="S675" t="s">
        <v>1362</v>
      </c>
      <c r="T675" t="s">
        <v>1361</v>
      </c>
      <c r="U675" s="4">
        <v>45604</v>
      </c>
      <c r="V675" s="4">
        <v>45608</v>
      </c>
      <c r="W675" t="b">
        <v>0</v>
      </c>
      <c r="Z675" t="s">
        <v>1388</v>
      </c>
      <c r="AA675" t="s">
        <v>1377</v>
      </c>
      <c r="AB675" t="s">
        <v>1389</v>
      </c>
    </row>
    <row r="676" spans="1:28" x14ac:dyDescent="0.3">
      <c r="A676" t="s">
        <v>1113</v>
      </c>
      <c r="B676" s="6">
        <v>45600.372916666667</v>
      </c>
      <c r="C676" t="s">
        <v>407</v>
      </c>
      <c r="D676" t="s">
        <v>1157</v>
      </c>
      <c r="E676" t="s">
        <v>1158</v>
      </c>
      <c r="F676" t="s">
        <v>1143</v>
      </c>
      <c r="G676" t="s">
        <v>1177</v>
      </c>
      <c r="H676" t="s">
        <v>1178</v>
      </c>
      <c r="I676" t="s">
        <v>1305</v>
      </c>
      <c r="J676" t="s">
        <v>1306</v>
      </c>
      <c r="K676">
        <v>1</v>
      </c>
      <c r="L676">
        <v>1506</v>
      </c>
      <c r="M676">
        <v>0.15</v>
      </c>
      <c r="N676">
        <v>1280.0999999999999</v>
      </c>
      <c r="O676">
        <v>0.12</v>
      </c>
      <c r="P676">
        <v>1280.0999999999999</v>
      </c>
      <c r="Q676">
        <v>153.61199999999999</v>
      </c>
      <c r="R676">
        <v>1433.712</v>
      </c>
      <c r="S676" t="s">
        <v>1365</v>
      </c>
      <c r="T676" t="s">
        <v>1361</v>
      </c>
      <c r="U676" s="4">
        <v>45601</v>
      </c>
      <c r="V676" s="4">
        <v>45604</v>
      </c>
      <c r="W676" t="b">
        <v>0</v>
      </c>
      <c r="Z676" t="s">
        <v>1386</v>
      </c>
      <c r="AA676" t="s">
        <v>1385</v>
      </c>
      <c r="AB676" t="s">
        <v>1393</v>
      </c>
    </row>
    <row r="677" spans="1:28" x14ac:dyDescent="0.3">
      <c r="A677" t="s">
        <v>1114</v>
      </c>
      <c r="B677" s="6">
        <v>45408.50277777778</v>
      </c>
      <c r="C677" t="s">
        <v>259</v>
      </c>
      <c r="D677" t="s">
        <v>1141</v>
      </c>
      <c r="E677" t="s">
        <v>1227</v>
      </c>
      <c r="F677" t="s">
        <v>1143</v>
      </c>
      <c r="G677" t="s">
        <v>1172</v>
      </c>
      <c r="H677" t="s">
        <v>1188</v>
      </c>
      <c r="I677" t="s">
        <v>1258</v>
      </c>
      <c r="J677" t="s">
        <v>1259</v>
      </c>
      <c r="K677">
        <v>2</v>
      </c>
      <c r="L677">
        <v>2275</v>
      </c>
      <c r="M677">
        <v>0</v>
      </c>
      <c r="N677">
        <v>2275</v>
      </c>
      <c r="O677">
        <v>0.12</v>
      </c>
      <c r="P677">
        <v>4550</v>
      </c>
      <c r="Q677">
        <v>546</v>
      </c>
      <c r="R677">
        <v>5096</v>
      </c>
      <c r="S677" t="s">
        <v>1360</v>
      </c>
      <c r="T677" t="s">
        <v>1361</v>
      </c>
      <c r="U677" s="4">
        <v>45409</v>
      </c>
      <c r="V677" s="4">
        <v>45410</v>
      </c>
      <c r="W677" t="b">
        <v>0</v>
      </c>
      <c r="Z677" t="s">
        <v>1388</v>
      </c>
      <c r="AA677" t="s">
        <v>1387</v>
      </c>
      <c r="AB677" t="s">
        <v>1391</v>
      </c>
    </row>
    <row r="678" spans="1:28" x14ac:dyDescent="0.3">
      <c r="A678" t="s">
        <v>1115</v>
      </c>
      <c r="B678" s="6">
        <v>45326.511805555558</v>
      </c>
      <c r="C678" t="s">
        <v>135</v>
      </c>
      <c r="D678" t="s">
        <v>1182</v>
      </c>
      <c r="E678" t="s">
        <v>1207</v>
      </c>
      <c r="F678" t="s">
        <v>1143</v>
      </c>
      <c r="G678" t="s">
        <v>1172</v>
      </c>
      <c r="H678" t="s">
        <v>1188</v>
      </c>
      <c r="I678" t="s">
        <v>1232</v>
      </c>
      <c r="J678" t="s">
        <v>1233</v>
      </c>
      <c r="K678">
        <v>3</v>
      </c>
      <c r="L678">
        <v>1850</v>
      </c>
      <c r="M678">
        <v>0</v>
      </c>
      <c r="N678">
        <v>1850</v>
      </c>
      <c r="O678">
        <v>0.05</v>
      </c>
      <c r="P678">
        <v>5550</v>
      </c>
      <c r="Q678">
        <v>277.5</v>
      </c>
      <c r="R678">
        <v>5827.5</v>
      </c>
      <c r="S678" t="s">
        <v>1363</v>
      </c>
      <c r="T678" t="s">
        <v>1369</v>
      </c>
      <c r="W678" t="b">
        <v>0</v>
      </c>
      <c r="Z678" t="s">
        <v>1376</v>
      </c>
      <c r="AA678" t="s">
        <v>1397</v>
      </c>
      <c r="AB678" t="s">
        <v>1380</v>
      </c>
    </row>
    <row r="679" spans="1:28" x14ac:dyDescent="0.3">
      <c r="A679" t="s">
        <v>1122</v>
      </c>
      <c r="B679" s="6">
        <v>45681.484027777777</v>
      </c>
      <c r="C679" t="s">
        <v>200</v>
      </c>
      <c r="D679" t="s">
        <v>1182</v>
      </c>
      <c r="E679" t="s">
        <v>1183</v>
      </c>
      <c r="F679" t="s">
        <v>1143</v>
      </c>
      <c r="G679" t="s">
        <v>1167</v>
      </c>
      <c r="H679" t="s">
        <v>1263</v>
      </c>
      <c r="I679" t="s">
        <v>1346</v>
      </c>
      <c r="J679" t="s">
        <v>1347</v>
      </c>
      <c r="K679">
        <v>1</v>
      </c>
      <c r="L679">
        <v>19784</v>
      </c>
      <c r="M679">
        <v>0.15</v>
      </c>
      <c r="N679">
        <v>16816.400000000001</v>
      </c>
      <c r="O679">
        <v>0.05</v>
      </c>
      <c r="P679">
        <v>16816.400000000001</v>
      </c>
      <c r="Q679">
        <v>840.81999999999994</v>
      </c>
      <c r="R679">
        <v>17657.22</v>
      </c>
      <c r="S679" t="s">
        <v>1360</v>
      </c>
      <c r="T679" t="s">
        <v>1361</v>
      </c>
      <c r="U679" s="4">
        <v>45681</v>
      </c>
      <c r="V679" s="4">
        <v>45686</v>
      </c>
      <c r="W679" t="b">
        <v>0</v>
      </c>
      <c r="Z679" t="s">
        <v>1388</v>
      </c>
      <c r="AA679" t="s">
        <v>1377</v>
      </c>
      <c r="AB679" t="s">
        <v>1380</v>
      </c>
    </row>
    <row r="680" spans="1:28" x14ac:dyDescent="0.3">
      <c r="A680" t="s">
        <v>1123</v>
      </c>
      <c r="B680" s="6">
        <v>45610.42083333333</v>
      </c>
      <c r="C680" t="s">
        <v>669</v>
      </c>
      <c r="D680" t="s">
        <v>1157</v>
      </c>
      <c r="E680" t="s">
        <v>1181</v>
      </c>
      <c r="F680" t="s">
        <v>1143</v>
      </c>
      <c r="G680" t="s">
        <v>1167</v>
      </c>
      <c r="H680" t="s">
        <v>1208</v>
      </c>
      <c r="I680" t="s">
        <v>1291</v>
      </c>
      <c r="J680" t="s">
        <v>1292</v>
      </c>
      <c r="K680">
        <v>1</v>
      </c>
      <c r="L680">
        <v>30991</v>
      </c>
      <c r="M680">
        <v>0.05</v>
      </c>
      <c r="N680">
        <v>29441.45</v>
      </c>
      <c r="O680">
        <v>0.18</v>
      </c>
      <c r="P680">
        <v>29441.45</v>
      </c>
      <c r="Q680">
        <v>5299.4609999999993</v>
      </c>
      <c r="R680">
        <v>34740.910999999993</v>
      </c>
      <c r="S680" t="s">
        <v>1365</v>
      </c>
      <c r="T680" t="s">
        <v>1361</v>
      </c>
      <c r="U680" s="4">
        <v>45611</v>
      </c>
      <c r="V680" s="4">
        <v>45615</v>
      </c>
      <c r="W680" t="b">
        <v>0</v>
      </c>
      <c r="Z680" t="s">
        <v>1392</v>
      </c>
      <c r="AA680" t="s">
        <v>1399</v>
      </c>
      <c r="AB680" t="s">
        <v>1393</v>
      </c>
    </row>
    <row r="681" spans="1:28" x14ac:dyDescent="0.3">
      <c r="A681" t="s">
        <v>1124</v>
      </c>
      <c r="B681" s="6">
        <v>45428.517361111109</v>
      </c>
      <c r="C681" t="s">
        <v>179</v>
      </c>
      <c r="D681" t="s">
        <v>1141</v>
      </c>
      <c r="E681" t="s">
        <v>1239</v>
      </c>
      <c r="F681" t="s">
        <v>1143</v>
      </c>
      <c r="G681" t="s">
        <v>1177</v>
      </c>
      <c r="H681" t="s">
        <v>1195</v>
      </c>
      <c r="I681" t="s">
        <v>1218</v>
      </c>
      <c r="J681" t="s">
        <v>1219</v>
      </c>
      <c r="K681">
        <v>2</v>
      </c>
      <c r="L681">
        <v>1687</v>
      </c>
      <c r="M681">
        <v>0</v>
      </c>
      <c r="N681">
        <v>1687</v>
      </c>
      <c r="O681">
        <v>0.12</v>
      </c>
      <c r="P681">
        <v>3374</v>
      </c>
      <c r="Q681">
        <v>404.88</v>
      </c>
      <c r="R681">
        <v>3778.88</v>
      </c>
      <c r="S681" t="s">
        <v>1362</v>
      </c>
      <c r="T681" t="s">
        <v>1369</v>
      </c>
      <c r="W681" t="b">
        <v>0</v>
      </c>
      <c r="Z681" t="s">
        <v>1379</v>
      </c>
      <c r="AA681" t="s">
        <v>1400</v>
      </c>
      <c r="AB681" t="s">
        <v>1383</v>
      </c>
    </row>
    <row r="682" spans="1:28" x14ac:dyDescent="0.3">
      <c r="A682" t="s">
        <v>1127</v>
      </c>
      <c r="B682" s="6">
        <v>45390.532638888886</v>
      </c>
      <c r="C682" t="s">
        <v>304</v>
      </c>
      <c r="D682" t="s">
        <v>1157</v>
      </c>
      <c r="E682" t="s">
        <v>1181</v>
      </c>
      <c r="F682" t="s">
        <v>1143</v>
      </c>
      <c r="G682" t="s">
        <v>1144</v>
      </c>
      <c r="H682" t="s">
        <v>1145</v>
      </c>
      <c r="I682" t="s">
        <v>1151</v>
      </c>
      <c r="J682" t="s">
        <v>1152</v>
      </c>
      <c r="K682">
        <v>2</v>
      </c>
      <c r="L682">
        <v>11325</v>
      </c>
      <c r="M682">
        <v>0.1</v>
      </c>
      <c r="N682">
        <v>10192.5</v>
      </c>
      <c r="O682">
        <v>0.05</v>
      </c>
      <c r="P682">
        <v>20385</v>
      </c>
      <c r="Q682">
        <v>1019.25</v>
      </c>
      <c r="R682">
        <v>21404.25</v>
      </c>
      <c r="S682" t="s">
        <v>1360</v>
      </c>
      <c r="T682" t="s">
        <v>1369</v>
      </c>
      <c r="W682" t="b">
        <v>0</v>
      </c>
      <c r="Z682" t="s">
        <v>1388</v>
      </c>
      <c r="AA682" t="s">
        <v>1377</v>
      </c>
      <c r="AB682" t="s">
        <v>1389</v>
      </c>
    </row>
    <row r="683" spans="1:28" x14ac:dyDescent="0.3">
      <c r="A683" t="s">
        <v>1129</v>
      </c>
      <c r="B683" s="6">
        <v>45454.494444444441</v>
      </c>
      <c r="C683" t="s">
        <v>185</v>
      </c>
      <c r="D683" t="s">
        <v>1153</v>
      </c>
      <c r="E683" t="s">
        <v>1154</v>
      </c>
      <c r="F683" t="s">
        <v>1143</v>
      </c>
      <c r="G683" t="s">
        <v>1172</v>
      </c>
      <c r="H683" t="s">
        <v>1188</v>
      </c>
      <c r="I683" t="s">
        <v>1258</v>
      </c>
      <c r="J683" t="s">
        <v>1259</v>
      </c>
      <c r="K683">
        <v>3</v>
      </c>
      <c r="L683">
        <v>9809</v>
      </c>
      <c r="M683">
        <v>0.2</v>
      </c>
      <c r="N683">
        <v>7847.2000000000007</v>
      </c>
      <c r="O683">
        <v>0.12</v>
      </c>
      <c r="P683">
        <v>23541.599999999999</v>
      </c>
      <c r="Q683">
        <v>2824.9920000000002</v>
      </c>
      <c r="R683">
        <v>26366.592000000001</v>
      </c>
      <c r="S683" t="s">
        <v>1362</v>
      </c>
      <c r="T683" t="s">
        <v>1361</v>
      </c>
      <c r="U683" s="4">
        <v>45455</v>
      </c>
      <c r="V683" s="4">
        <v>45457</v>
      </c>
      <c r="W683" t="b">
        <v>0</v>
      </c>
      <c r="Z683" t="s">
        <v>1376</v>
      </c>
      <c r="AA683" t="s">
        <v>1394</v>
      </c>
      <c r="AB683" t="s">
        <v>1383</v>
      </c>
    </row>
    <row r="684" spans="1:28" x14ac:dyDescent="0.3">
      <c r="A684" t="s">
        <v>1131</v>
      </c>
      <c r="B684" s="6">
        <v>45342.540972222225</v>
      </c>
      <c r="C684" t="s">
        <v>95</v>
      </c>
      <c r="D684" t="s">
        <v>1182</v>
      </c>
      <c r="E684" t="s">
        <v>1207</v>
      </c>
      <c r="F684" t="s">
        <v>1143</v>
      </c>
      <c r="G684" t="s">
        <v>1163</v>
      </c>
      <c r="H684" t="s">
        <v>1224</v>
      </c>
      <c r="I684" t="s">
        <v>1243</v>
      </c>
      <c r="J684" t="s">
        <v>1244</v>
      </c>
      <c r="K684">
        <v>2</v>
      </c>
      <c r="L684">
        <v>965</v>
      </c>
      <c r="M684">
        <v>0</v>
      </c>
      <c r="N684">
        <v>965</v>
      </c>
      <c r="O684">
        <v>0.18</v>
      </c>
      <c r="P684">
        <v>1930</v>
      </c>
      <c r="Q684">
        <v>347.4</v>
      </c>
      <c r="R684">
        <v>2277.4</v>
      </c>
      <c r="S684" t="s">
        <v>1363</v>
      </c>
      <c r="T684" t="s">
        <v>1368</v>
      </c>
      <c r="U684" s="4">
        <v>45342</v>
      </c>
      <c r="W684" t="b">
        <v>0</v>
      </c>
      <c r="Z684" t="s">
        <v>1388</v>
      </c>
      <c r="AA684" t="s">
        <v>1397</v>
      </c>
      <c r="AB684" t="s">
        <v>1395</v>
      </c>
    </row>
    <row r="685" spans="1:28" x14ac:dyDescent="0.3">
      <c r="A685" t="s">
        <v>5</v>
      </c>
      <c r="B685" s="6">
        <v>45452.568749999999</v>
      </c>
      <c r="C685" t="s">
        <v>6</v>
      </c>
      <c r="D685" t="s">
        <v>1148</v>
      </c>
      <c r="E685" t="s">
        <v>1149</v>
      </c>
      <c r="F685" t="s">
        <v>1150</v>
      </c>
      <c r="G685" t="s">
        <v>1144</v>
      </c>
      <c r="H685" t="s">
        <v>1145</v>
      </c>
      <c r="I685" t="s">
        <v>1151</v>
      </c>
      <c r="J685" t="s">
        <v>1152</v>
      </c>
      <c r="K685">
        <v>3</v>
      </c>
      <c r="L685">
        <v>9949</v>
      </c>
      <c r="M685">
        <v>0.15</v>
      </c>
      <c r="N685">
        <v>8456.65</v>
      </c>
      <c r="O685">
        <v>0.18</v>
      </c>
      <c r="P685">
        <v>25369.95</v>
      </c>
      <c r="Q685">
        <v>4566.5909999999994</v>
      </c>
      <c r="R685">
        <v>29936.541000000001</v>
      </c>
      <c r="S685" t="s">
        <v>1362</v>
      </c>
      <c r="T685" t="s">
        <v>1361</v>
      </c>
      <c r="U685" s="4">
        <v>45453</v>
      </c>
      <c r="V685" s="4">
        <v>45456</v>
      </c>
      <c r="W685" t="b">
        <v>0</v>
      </c>
      <c r="Z685" t="s">
        <v>1379</v>
      </c>
      <c r="AA685" t="s">
        <v>1377</v>
      </c>
      <c r="AB685" t="s">
        <v>1380</v>
      </c>
    </row>
    <row r="686" spans="1:28" x14ac:dyDescent="0.3">
      <c r="A686" t="s">
        <v>9</v>
      </c>
      <c r="B686" s="6">
        <v>45318.476388888892</v>
      </c>
      <c r="C686" t="s">
        <v>10</v>
      </c>
      <c r="D686" t="s">
        <v>1157</v>
      </c>
      <c r="E686" t="s">
        <v>1158</v>
      </c>
      <c r="F686" t="s">
        <v>1150</v>
      </c>
      <c r="G686" t="s">
        <v>1144</v>
      </c>
      <c r="H686" t="s">
        <v>1159</v>
      </c>
      <c r="I686" t="s">
        <v>1160</v>
      </c>
      <c r="J686" t="s">
        <v>1161</v>
      </c>
      <c r="K686">
        <v>3</v>
      </c>
      <c r="L686">
        <v>5201</v>
      </c>
      <c r="M686">
        <v>0</v>
      </c>
      <c r="N686">
        <v>5201</v>
      </c>
      <c r="O686">
        <v>0.05</v>
      </c>
      <c r="P686">
        <v>15603</v>
      </c>
      <c r="Q686">
        <v>780.15000000000009</v>
      </c>
      <c r="R686">
        <v>16383.15</v>
      </c>
      <c r="S686" t="s">
        <v>1360</v>
      </c>
      <c r="T686" t="s">
        <v>1361</v>
      </c>
      <c r="U686" s="4">
        <v>45319</v>
      </c>
      <c r="V686" s="4">
        <v>45320</v>
      </c>
      <c r="W686" t="b">
        <v>0</v>
      </c>
      <c r="Z686" t="s">
        <v>1384</v>
      </c>
      <c r="AA686" t="s">
        <v>1385</v>
      </c>
      <c r="AB686" t="s">
        <v>1383</v>
      </c>
    </row>
    <row r="687" spans="1:28" x14ac:dyDescent="0.3">
      <c r="A687" t="s">
        <v>13</v>
      </c>
      <c r="B687" s="6">
        <v>45358.463888888888</v>
      </c>
      <c r="C687" t="s">
        <v>14</v>
      </c>
      <c r="D687" t="s">
        <v>1153</v>
      </c>
      <c r="E687" t="s">
        <v>1162</v>
      </c>
      <c r="F687" t="s">
        <v>1150</v>
      </c>
      <c r="G687" t="s">
        <v>1167</v>
      </c>
      <c r="H687" t="s">
        <v>1168</v>
      </c>
      <c r="I687" t="s">
        <v>1169</v>
      </c>
      <c r="J687" t="s">
        <v>1170</v>
      </c>
      <c r="K687">
        <v>2</v>
      </c>
      <c r="L687">
        <v>59543</v>
      </c>
      <c r="M687">
        <v>0.05</v>
      </c>
      <c r="N687">
        <v>56565.85</v>
      </c>
      <c r="O687">
        <v>0.12</v>
      </c>
      <c r="P687">
        <v>113131.7</v>
      </c>
      <c r="Q687">
        <v>13575.804</v>
      </c>
      <c r="R687">
        <v>126707.504</v>
      </c>
      <c r="S687" t="s">
        <v>1360</v>
      </c>
      <c r="T687" t="s">
        <v>1361</v>
      </c>
      <c r="U687" s="4">
        <v>45359</v>
      </c>
      <c r="V687" s="4">
        <v>45361</v>
      </c>
      <c r="W687" t="b">
        <v>0</v>
      </c>
      <c r="Z687" t="s">
        <v>1388</v>
      </c>
      <c r="AA687" t="s">
        <v>1377</v>
      </c>
      <c r="AB687" t="s">
        <v>1378</v>
      </c>
    </row>
    <row r="688" spans="1:28" x14ac:dyDescent="0.3">
      <c r="A688" t="s">
        <v>25</v>
      </c>
      <c r="B688" s="6">
        <v>45368.400694444441</v>
      </c>
      <c r="C688" t="s">
        <v>26</v>
      </c>
      <c r="D688" t="s">
        <v>1153</v>
      </c>
      <c r="E688" t="s">
        <v>1191</v>
      </c>
      <c r="F688" t="s">
        <v>1150</v>
      </c>
      <c r="G688" t="s">
        <v>1177</v>
      </c>
      <c r="H688" t="s">
        <v>1192</v>
      </c>
      <c r="I688" t="s">
        <v>1193</v>
      </c>
      <c r="J688" t="s">
        <v>1194</v>
      </c>
      <c r="K688">
        <v>2</v>
      </c>
      <c r="L688">
        <v>570</v>
      </c>
      <c r="M688">
        <v>0.05</v>
      </c>
      <c r="N688">
        <v>541.5</v>
      </c>
      <c r="O688">
        <v>0.12</v>
      </c>
      <c r="P688">
        <v>1083</v>
      </c>
      <c r="Q688">
        <v>129.96</v>
      </c>
      <c r="R688">
        <v>1212.96</v>
      </c>
      <c r="S688" t="s">
        <v>1362</v>
      </c>
      <c r="T688" t="s">
        <v>1361</v>
      </c>
      <c r="U688" s="4">
        <v>45369</v>
      </c>
      <c r="V688" s="4">
        <v>45372</v>
      </c>
      <c r="W688" t="b">
        <v>0</v>
      </c>
      <c r="Z688" t="s">
        <v>1384</v>
      </c>
      <c r="AA688" t="s">
        <v>1394</v>
      </c>
      <c r="AB688" t="s">
        <v>1378</v>
      </c>
    </row>
    <row r="689" spans="1:28" x14ac:dyDescent="0.3">
      <c r="A689" t="s">
        <v>35</v>
      </c>
      <c r="B689" s="6">
        <v>45602.525000000001</v>
      </c>
      <c r="C689" t="s">
        <v>36</v>
      </c>
      <c r="D689" t="s">
        <v>1182</v>
      </c>
      <c r="E689" t="s">
        <v>1207</v>
      </c>
      <c r="F689" t="s">
        <v>1150</v>
      </c>
      <c r="G689" t="s">
        <v>1167</v>
      </c>
      <c r="H689" t="s">
        <v>1208</v>
      </c>
      <c r="I689" t="s">
        <v>1209</v>
      </c>
      <c r="J689" t="s">
        <v>1210</v>
      </c>
      <c r="K689">
        <v>3</v>
      </c>
      <c r="L689">
        <v>38376</v>
      </c>
      <c r="M689">
        <v>0</v>
      </c>
      <c r="N689">
        <v>38376</v>
      </c>
      <c r="O689">
        <v>0.12</v>
      </c>
      <c r="P689">
        <v>115128</v>
      </c>
      <c r="Q689">
        <v>13815.36</v>
      </c>
      <c r="R689">
        <v>128943.36</v>
      </c>
      <c r="S689" t="s">
        <v>1360</v>
      </c>
      <c r="T689" t="s">
        <v>1368</v>
      </c>
      <c r="U689" s="4">
        <v>45604</v>
      </c>
      <c r="W689" t="b">
        <v>0</v>
      </c>
      <c r="Z689" t="s">
        <v>1379</v>
      </c>
      <c r="AA689" t="s">
        <v>1385</v>
      </c>
      <c r="AB689" t="s">
        <v>1378</v>
      </c>
    </row>
    <row r="690" spans="1:28" x14ac:dyDescent="0.3">
      <c r="A690" t="s">
        <v>46</v>
      </c>
      <c r="B690" s="6">
        <v>45733.446527777778</v>
      </c>
      <c r="C690" t="s">
        <v>47</v>
      </c>
      <c r="D690" t="s">
        <v>1182</v>
      </c>
      <c r="E690" t="s">
        <v>1183</v>
      </c>
      <c r="F690" t="s">
        <v>1150</v>
      </c>
      <c r="G690" t="s">
        <v>1163</v>
      </c>
      <c r="H690" t="s">
        <v>1224</v>
      </c>
      <c r="I690" t="s">
        <v>1225</v>
      </c>
      <c r="J690" t="s">
        <v>1226</v>
      </c>
      <c r="K690">
        <v>3</v>
      </c>
      <c r="L690">
        <v>746</v>
      </c>
      <c r="M690">
        <v>0</v>
      </c>
      <c r="N690">
        <v>746</v>
      </c>
      <c r="O690">
        <v>0.12</v>
      </c>
      <c r="P690">
        <v>2238</v>
      </c>
      <c r="Q690">
        <v>268.56</v>
      </c>
      <c r="R690">
        <v>2506.56</v>
      </c>
      <c r="S690" t="s">
        <v>1366</v>
      </c>
      <c r="T690" t="s">
        <v>1361</v>
      </c>
      <c r="U690" s="4">
        <v>45733</v>
      </c>
      <c r="V690" s="4">
        <v>45734</v>
      </c>
      <c r="W690" t="b">
        <v>0</v>
      </c>
      <c r="Z690" t="s">
        <v>1390</v>
      </c>
      <c r="AA690" t="s">
        <v>1400</v>
      </c>
      <c r="AB690" t="s">
        <v>1393</v>
      </c>
    </row>
    <row r="691" spans="1:28" x14ac:dyDescent="0.3">
      <c r="A691" t="s">
        <v>49</v>
      </c>
      <c r="B691" s="6">
        <v>45364.500694444447</v>
      </c>
      <c r="C691" t="s">
        <v>22</v>
      </c>
      <c r="D691" t="s">
        <v>1182</v>
      </c>
      <c r="E691" t="s">
        <v>1183</v>
      </c>
      <c r="F691" t="s">
        <v>1150</v>
      </c>
      <c r="G691" t="s">
        <v>1167</v>
      </c>
      <c r="H691" t="s">
        <v>1211</v>
      </c>
      <c r="I691" t="s">
        <v>1212</v>
      </c>
      <c r="J691" t="s">
        <v>1213</v>
      </c>
      <c r="K691">
        <v>1</v>
      </c>
      <c r="L691">
        <v>37296</v>
      </c>
      <c r="M691">
        <v>0</v>
      </c>
      <c r="N691">
        <v>37296</v>
      </c>
      <c r="O691">
        <v>0.12</v>
      </c>
      <c r="P691">
        <v>37296</v>
      </c>
      <c r="Q691">
        <v>4475.5200000000004</v>
      </c>
      <c r="R691">
        <v>41771.519999999997</v>
      </c>
      <c r="S691" t="s">
        <v>1360</v>
      </c>
      <c r="T691" t="s">
        <v>1364</v>
      </c>
      <c r="U691" s="4">
        <v>45366</v>
      </c>
      <c r="W691" t="b">
        <v>1</v>
      </c>
      <c r="X691" s="4">
        <v>45378</v>
      </c>
      <c r="Y691" s="4">
        <v>45378</v>
      </c>
      <c r="Z691" t="s">
        <v>1388</v>
      </c>
      <c r="AA691" t="s">
        <v>1397</v>
      </c>
      <c r="AB691" t="s">
        <v>1380</v>
      </c>
    </row>
    <row r="692" spans="1:28" x14ac:dyDescent="0.3">
      <c r="A692" t="s">
        <v>54</v>
      </c>
      <c r="B692" s="6">
        <v>45698.57708333333</v>
      </c>
      <c r="C692" t="s">
        <v>55</v>
      </c>
      <c r="D692" t="s">
        <v>1157</v>
      </c>
      <c r="E692" t="s">
        <v>1158</v>
      </c>
      <c r="F692" t="s">
        <v>1150</v>
      </c>
      <c r="G692" t="s">
        <v>1172</v>
      </c>
      <c r="H692" t="s">
        <v>1229</v>
      </c>
      <c r="I692" t="s">
        <v>1230</v>
      </c>
      <c r="J692" t="s">
        <v>1231</v>
      </c>
      <c r="K692">
        <v>3</v>
      </c>
      <c r="L692">
        <v>6814</v>
      </c>
      <c r="M692">
        <v>0.15</v>
      </c>
      <c r="N692">
        <v>5791.9</v>
      </c>
      <c r="O692">
        <v>0.18</v>
      </c>
      <c r="P692">
        <v>17375.7</v>
      </c>
      <c r="Q692">
        <v>3127.6259999999988</v>
      </c>
      <c r="R692">
        <v>20503.326000000001</v>
      </c>
      <c r="S692" t="s">
        <v>1366</v>
      </c>
      <c r="T692" t="s">
        <v>1367</v>
      </c>
      <c r="U692" s="4">
        <v>45700</v>
      </c>
      <c r="W692" t="b">
        <v>0</v>
      </c>
      <c r="Z692" t="s">
        <v>1392</v>
      </c>
      <c r="AA692" t="s">
        <v>1397</v>
      </c>
      <c r="AB692" t="s">
        <v>1378</v>
      </c>
    </row>
    <row r="693" spans="1:28" x14ac:dyDescent="0.3">
      <c r="A693" t="s">
        <v>60</v>
      </c>
      <c r="B693" s="6">
        <v>45352.57708333333</v>
      </c>
      <c r="C693" t="s">
        <v>61</v>
      </c>
      <c r="D693" t="s">
        <v>1153</v>
      </c>
      <c r="E693" t="s">
        <v>1176</v>
      </c>
      <c r="F693" t="s">
        <v>1150</v>
      </c>
      <c r="G693" t="s">
        <v>1177</v>
      </c>
      <c r="H693" t="s">
        <v>1236</v>
      </c>
      <c r="I693" t="s">
        <v>1237</v>
      </c>
      <c r="J693" t="s">
        <v>1238</v>
      </c>
      <c r="K693">
        <v>1</v>
      </c>
      <c r="L693">
        <v>1193</v>
      </c>
      <c r="M693">
        <v>0.05</v>
      </c>
      <c r="N693">
        <v>1133.3499999999999</v>
      </c>
      <c r="O693">
        <v>0.12</v>
      </c>
      <c r="P693">
        <v>1133.3499999999999</v>
      </c>
      <c r="Q693">
        <v>136.00200000000001</v>
      </c>
      <c r="R693">
        <v>1269.3520000000001</v>
      </c>
      <c r="S693" t="s">
        <v>1363</v>
      </c>
      <c r="T693" t="s">
        <v>1361</v>
      </c>
      <c r="U693" s="4">
        <v>45354</v>
      </c>
      <c r="V693" s="4">
        <v>45358</v>
      </c>
      <c r="W693" t="b">
        <v>0</v>
      </c>
      <c r="Z693" t="s">
        <v>1376</v>
      </c>
      <c r="AA693" t="s">
        <v>1394</v>
      </c>
      <c r="AB693" t="s">
        <v>1383</v>
      </c>
    </row>
    <row r="694" spans="1:28" x14ac:dyDescent="0.3">
      <c r="A694" t="s">
        <v>66</v>
      </c>
      <c r="B694" s="6">
        <v>45501.443055555559</v>
      </c>
      <c r="C694" t="s">
        <v>67</v>
      </c>
      <c r="D694" t="s">
        <v>1148</v>
      </c>
      <c r="E694" t="s">
        <v>1149</v>
      </c>
      <c r="F694" t="s">
        <v>1150</v>
      </c>
      <c r="G694" t="s">
        <v>1163</v>
      </c>
      <c r="H694" t="s">
        <v>1184</v>
      </c>
      <c r="I694" t="s">
        <v>1245</v>
      </c>
      <c r="J694" t="s">
        <v>1246</v>
      </c>
      <c r="K694">
        <v>2</v>
      </c>
      <c r="L694">
        <v>893</v>
      </c>
      <c r="M694">
        <v>0.15</v>
      </c>
      <c r="N694">
        <v>759.05</v>
      </c>
      <c r="O694">
        <v>0.18</v>
      </c>
      <c r="P694">
        <v>1518.1</v>
      </c>
      <c r="Q694">
        <v>273.25799999999998</v>
      </c>
      <c r="R694">
        <v>1791.3579999999999</v>
      </c>
      <c r="S694" t="s">
        <v>1366</v>
      </c>
      <c r="T694" t="s">
        <v>1361</v>
      </c>
      <c r="U694" s="4">
        <v>45503</v>
      </c>
      <c r="V694" s="4">
        <v>45507</v>
      </c>
      <c r="W694" t="b">
        <v>0</v>
      </c>
      <c r="Z694" t="s">
        <v>1392</v>
      </c>
      <c r="AA694" t="s">
        <v>1394</v>
      </c>
      <c r="AB694" t="s">
        <v>1389</v>
      </c>
    </row>
    <row r="695" spans="1:28" x14ac:dyDescent="0.3">
      <c r="A695" t="s">
        <v>70</v>
      </c>
      <c r="B695" s="6">
        <v>45637.599999999999</v>
      </c>
      <c r="C695" t="s">
        <v>71</v>
      </c>
      <c r="D695" t="s">
        <v>1157</v>
      </c>
      <c r="E695" t="s">
        <v>1249</v>
      </c>
      <c r="F695" t="s">
        <v>1150</v>
      </c>
      <c r="G695" t="s">
        <v>1172</v>
      </c>
      <c r="H695" t="s">
        <v>1198</v>
      </c>
      <c r="I695" t="s">
        <v>1250</v>
      </c>
      <c r="J695" t="s">
        <v>1251</v>
      </c>
      <c r="K695">
        <v>3</v>
      </c>
      <c r="L695">
        <v>6459</v>
      </c>
      <c r="M695">
        <v>0.1</v>
      </c>
      <c r="N695">
        <v>5813.1</v>
      </c>
      <c r="O695">
        <v>0.12</v>
      </c>
      <c r="P695">
        <v>17439.3</v>
      </c>
      <c r="Q695">
        <v>2092.7159999999999</v>
      </c>
      <c r="R695">
        <v>19532.016</v>
      </c>
      <c r="S695" t="s">
        <v>1365</v>
      </c>
      <c r="T695" t="s">
        <v>1368</v>
      </c>
      <c r="U695" s="4">
        <v>45639</v>
      </c>
      <c r="W695" t="b">
        <v>0</v>
      </c>
      <c r="Z695" t="s">
        <v>1376</v>
      </c>
      <c r="AA695" t="s">
        <v>1399</v>
      </c>
      <c r="AB695" t="s">
        <v>1380</v>
      </c>
    </row>
    <row r="696" spans="1:28" x14ac:dyDescent="0.3">
      <c r="A696" t="s">
        <v>76</v>
      </c>
      <c r="B696" s="6">
        <v>45756.611805555556</v>
      </c>
      <c r="C696" t="s">
        <v>77</v>
      </c>
      <c r="D696" t="s">
        <v>1182</v>
      </c>
      <c r="E696" t="s">
        <v>1256</v>
      </c>
      <c r="F696" t="s">
        <v>1150</v>
      </c>
      <c r="G696" t="s">
        <v>1144</v>
      </c>
      <c r="H696" t="s">
        <v>1214</v>
      </c>
      <c r="I696" t="s">
        <v>1252</v>
      </c>
      <c r="J696" t="s">
        <v>1253</v>
      </c>
      <c r="K696">
        <v>1</v>
      </c>
      <c r="L696">
        <v>11507</v>
      </c>
      <c r="M696">
        <v>0</v>
      </c>
      <c r="N696">
        <v>11507</v>
      </c>
      <c r="O696">
        <v>0.12</v>
      </c>
      <c r="P696">
        <v>11507</v>
      </c>
      <c r="Q696">
        <v>1380.84</v>
      </c>
      <c r="R696">
        <v>12887.84</v>
      </c>
      <c r="S696" t="s">
        <v>1363</v>
      </c>
      <c r="T696" t="s">
        <v>1361</v>
      </c>
      <c r="U696" s="4">
        <v>45757</v>
      </c>
      <c r="V696" s="4">
        <v>45759</v>
      </c>
      <c r="W696" t="b">
        <v>0</v>
      </c>
      <c r="Z696" t="s">
        <v>1376</v>
      </c>
      <c r="AA696" t="s">
        <v>1385</v>
      </c>
      <c r="AB696" t="s">
        <v>1393</v>
      </c>
    </row>
    <row r="697" spans="1:28" x14ac:dyDescent="0.3">
      <c r="A697" t="s">
        <v>82</v>
      </c>
      <c r="B697" s="6">
        <v>45421.498611111114</v>
      </c>
      <c r="C697" t="s">
        <v>83</v>
      </c>
      <c r="D697" t="s">
        <v>1141</v>
      </c>
      <c r="E697" t="s">
        <v>1239</v>
      </c>
      <c r="F697" t="s">
        <v>1150</v>
      </c>
      <c r="G697" t="s">
        <v>1177</v>
      </c>
      <c r="H697" t="s">
        <v>1178</v>
      </c>
      <c r="I697" t="s">
        <v>1179</v>
      </c>
      <c r="J697" t="s">
        <v>1180</v>
      </c>
      <c r="K697">
        <v>1</v>
      </c>
      <c r="L697">
        <v>646</v>
      </c>
      <c r="M697">
        <v>0.15</v>
      </c>
      <c r="N697">
        <v>549.1</v>
      </c>
      <c r="O697">
        <v>0.12</v>
      </c>
      <c r="P697">
        <v>549.1</v>
      </c>
      <c r="Q697">
        <v>65.891999999999996</v>
      </c>
      <c r="R697">
        <v>614.99199999999996</v>
      </c>
      <c r="S697" t="s">
        <v>1363</v>
      </c>
      <c r="T697" t="s">
        <v>1361</v>
      </c>
      <c r="U697" s="4">
        <v>45423</v>
      </c>
      <c r="V697" s="4">
        <v>45426</v>
      </c>
      <c r="W697" t="b">
        <v>0</v>
      </c>
      <c r="Z697" t="s">
        <v>1396</v>
      </c>
      <c r="AA697" t="s">
        <v>1394</v>
      </c>
      <c r="AB697" t="s">
        <v>1391</v>
      </c>
    </row>
    <row r="698" spans="1:28" x14ac:dyDescent="0.3">
      <c r="A698" t="s">
        <v>89</v>
      </c>
      <c r="B698" s="6">
        <v>45631.53125</v>
      </c>
      <c r="C698" t="s">
        <v>71</v>
      </c>
      <c r="D698" t="s">
        <v>1157</v>
      </c>
      <c r="E698" t="s">
        <v>1249</v>
      </c>
      <c r="F698" t="s">
        <v>1150</v>
      </c>
      <c r="G698" t="s">
        <v>1177</v>
      </c>
      <c r="H698" t="s">
        <v>1178</v>
      </c>
      <c r="I698" t="s">
        <v>1220</v>
      </c>
      <c r="J698" t="s">
        <v>1221</v>
      </c>
      <c r="K698">
        <v>1</v>
      </c>
      <c r="L698">
        <v>820</v>
      </c>
      <c r="M698">
        <v>0.15</v>
      </c>
      <c r="N698">
        <v>697</v>
      </c>
      <c r="O698">
        <v>0.05</v>
      </c>
      <c r="P698">
        <v>697</v>
      </c>
      <c r="Q698">
        <v>34.85</v>
      </c>
      <c r="R698">
        <v>731.85</v>
      </c>
      <c r="S698" t="s">
        <v>1362</v>
      </c>
      <c r="T698" t="s">
        <v>1361</v>
      </c>
      <c r="U698" s="4">
        <v>45632</v>
      </c>
      <c r="V698" s="4">
        <v>45636</v>
      </c>
      <c r="W698" t="b">
        <v>0</v>
      </c>
      <c r="Z698" t="s">
        <v>1382</v>
      </c>
      <c r="AA698" t="s">
        <v>1385</v>
      </c>
      <c r="AB698" t="s">
        <v>1378</v>
      </c>
    </row>
    <row r="699" spans="1:28" x14ac:dyDescent="0.3">
      <c r="A699" t="s">
        <v>99</v>
      </c>
      <c r="B699" s="6">
        <v>45324.50277777778</v>
      </c>
      <c r="C699" t="s">
        <v>26</v>
      </c>
      <c r="D699" t="s">
        <v>1153</v>
      </c>
      <c r="E699" t="s">
        <v>1191</v>
      </c>
      <c r="F699" t="s">
        <v>1150</v>
      </c>
      <c r="G699" t="s">
        <v>1167</v>
      </c>
      <c r="H699" t="s">
        <v>1263</v>
      </c>
      <c r="I699" t="s">
        <v>1274</v>
      </c>
      <c r="J699" t="s">
        <v>1275</v>
      </c>
      <c r="K699">
        <v>1</v>
      </c>
      <c r="L699">
        <v>9186</v>
      </c>
      <c r="M699">
        <v>0.15</v>
      </c>
      <c r="N699">
        <v>7808.0999999999995</v>
      </c>
      <c r="O699">
        <v>0.12</v>
      </c>
      <c r="P699">
        <v>7808.0999999999995</v>
      </c>
      <c r="Q699">
        <v>936.97199999999987</v>
      </c>
      <c r="R699">
        <v>8745.0720000000001</v>
      </c>
      <c r="S699" t="s">
        <v>1365</v>
      </c>
      <c r="T699" t="s">
        <v>1369</v>
      </c>
      <c r="W699" t="b">
        <v>0</v>
      </c>
      <c r="Z699" t="s">
        <v>1382</v>
      </c>
      <c r="AA699" t="s">
        <v>1400</v>
      </c>
      <c r="AB699" t="s">
        <v>1389</v>
      </c>
    </row>
    <row r="700" spans="1:28" x14ac:dyDescent="0.3">
      <c r="A700" t="s">
        <v>100</v>
      </c>
      <c r="B700" s="6">
        <v>45513.40625</v>
      </c>
      <c r="C700" t="s">
        <v>75</v>
      </c>
      <c r="D700" t="s">
        <v>1182</v>
      </c>
      <c r="E700" t="s">
        <v>1183</v>
      </c>
      <c r="F700" t="s">
        <v>1150</v>
      </c>
      <c r="G700" t="s">
        <v>1144</v>
      </c>
      <c r="H700" t="s">
        <v>1145</v>
      </c>
      <c r="I700" t="s">
        <v>1146</v>
      </c>
      <c r="J700" t="s">
        <v>1147</v>
      </c>
      <c r="K700">
        <v>1</v>
      </c>
      <c r="L700">
        <v>14379</v>
      </c>
      <c r="M700">
        <v>0</v>
      </c>
      <c r="N700">
        <v>14379</v>
      </c>
      <c r="O700">
        <v>0.12</v>
      </c>
      <c r="P700">
        <v>14379</v>
      </c>
      <c r="Q700">
        <v>1725.48</v>
      </c>
      <c r="R700">
        <v>16104.48</v>
      </c>
      <c r="S700" t="s">
        <v>1360</v>
      </c>
      <c r="T700" t="s">
        <v>1368</v>
      </c>
      <c r="U700" s="4">
        <v>45514</v>
      </c>
      <c r="W700" t="b">
        <v>0</v>
      </c>
      <c r="Z700" t="s">
        <v>1379</v>
      </c>
      <c r="AA700" t="s">
        <v>1377</v>
      </c>
      <c r="AB700" t="s">
        <v>1393</v>
      </c>
    </row>
    <row r="701" spans="1:28" x14ac:dyDescent="0.3">
      <c r="A701" t="s">
        <v>113</v>
      </c>
      <c r="B701" s="6">
        <v>45543.490277777775</v>
      </c>
      <c r="C701" t="s">
        <v>26</v>
      </c>
      <c r="D701" t="s">
        <v>1153</v>
      </c>
      <c r="E701" t="s">
        <v>1191</v>
      </c>
      <c r="F701" t="s">
        <v>1150</v>
      </c>
      <c r="G701" t="s">
        <v>1163</v>
      </c>
      <c r="H701" t="s">
        <v>1240</v>
      </c>
      <c r="I701" t="s">
        <v>1281</v>
      </c>
      <c r="J701" t="s">
        <v>1282</v>
      </c>
      <c r="K701">
        <v>1</v>
      </c>
      <c r="L701">
        <v>1127</v>
      </c>
      <c r="M701">
        <v>0.05</v>
      </c>
      <c r="N701">
        <v>1070.6500000000001</v>
      </c>
      <c r="O701">
        <v>0.05</v>
      </c>
      <c r="P701">
        <v>1070.6500000000001</v>
      </c>
      <c r="Q701">
        <v>53.532499999999999</v>
      </c>
      <c r="R701">
        <v>1124.1824999999999</v>
      </c>
      <c r="S701" t="s">
        <v>1365</v>
      </c>
      <c r="T701" t="s">
        <v>1368</v>
      </c>
      <c r="U701" s="4">
        <v>45544</v>
      </c>
      <c r="W701" t="b">
        <v>0</v>
      </c>
      <c r="Z701" t="s">
        <v>1396</v>
      </c>
      <c r="AA701" t="s">
        <v>1387</v>
      </c>
      <c r="AB701" t="s">
        <v>1380</v>
      </c>
    </row>
    <row r="702" spans="1:28" x14ac:dyDescent="0.3">
      <c r="A702" t="s">
        <v>126</v>
      </c>
      <c r="B702" s="6">
        <v>45644.586805555555</v>
      </c>
      <c r="C702" t="s">
        <v>115</v>
      </c>
      <c r="D702" t="s">
        <v>1157</v>
      </c>
      <c r="E702" t="s">
        <v>1249</v>
      </c>
      <c r="F702" t="s">
        <v>1150</v>
      </c>
      <c r="G702" t="s">
        <v>1163</v>
      </c>
      <c r="H702" t="s">
        <v>1224</v>
      </c>
      <c r="I702" t="s">
        <v>1225</v>
      </c>
      <c r="J702" t="s">
        <v>1226</v>
      </c>
      <c r="K702">
        <v>2</v>
      </c>
      <c r="L702">
        <v>178</v>
      </c>
      <c r="M702">
        <v>0</v>
      </c>
      <c r="N702">
        <v>178</v>
      </c>
      <c r="O702">
        <v>0.05</v>
      </c>
      <c r="P702">
        <v>356</v>
      </c>
      <c r="Q702">
        <v>17.8</v>
      </c>
      <c r="R702">
        <v>373.8</v>
      </c>
      <c r="S702" t="s">
        <v>1365</v>
      </c>
      <c r="T702" t="s">
        <v>1361</v>
      </c>
      <c r="U702" s="4">
        <v>45646</v>
      </c>
      <c r="V702" s="4">
        <v>45647</v>
      </c>
      <c r="W702" t="b">
        <v>0</v>
      </c>
      <c r="Z702" t="s">
        <v>1392</v>
      </c>
      <c r="AA702" t="s">
        <v>1394</v>
      </c>
      <c r="AB702" t="s">
        <v>1391</v>
      </c>
    </row>
    <row r="703" spans="1:28" x14ac:dyDescent="0.3">
      <c r="A703" t="s">
        <v>127</v>
      </c>
      <c r="B703" s="6">
        <v>45356.563888888886</v>
      </c>
      <c r="C703" t="s">
        <v>128</v>
      </c>
      <c r="D703" t="s">
        <v>1182</v>
      </c>
      <c r="E703" t="s">
        <v>1183</v>
      </c>
      <c r="F703" t="s">
        <v>1150</v>
      </c>
      <c r="G703" t="s">
        <v>1177</v>
      </c>
      <c r="H703" t="s">
        <v>1236</v>
      </c>
      <c r="I703" t="s">
        <v>1237</v>
      </c>
      <c r="J703" t="s">
        <v>1238</v>
      </c>
      <c r="K703">
        <v>1</v>
      </c>
      <c r="L703">
        <v>443</v>
      </c>
      <c r="M703">
        <v>0.15</v>
      </c>
      <c r="N703">
        <v>376.55</v>
      </c>
      <c r="O703">
        <v>0.12</v>
      </c>
      <c r="P703">
        <v>376.55</v>
      </c>
      <c r="Q703">
        <v>45.186</v>
      </c>
      <c r="R703">
        <v>421.73599999999999</v>
      </c>
      <c r="S703" t="s">
        <v>1360</v>
      </c>
      <c r="T703" t="s">
        <v>1361</v>
      </c>
      <c r="U703" s="4">
        <v>45357</v>
      </c>
      <c r="V703" s="4">
        <v>45359</v>
      </c>
      <c r="W703" t="b">
        <v>0</v>
      </c>
      <c r="Z703" t="s">
        <v>1398</v>
      </c>
      <c r="AA703" t="s">
        <v>1399</v>
      </c>
      <c r="AB703" t="s">
        <v>1395</v>
      </c>
    </row>
    <row r="704" spans="1:28" x14ac:dyDescent="0.3">
      <c r="A704" t="s">
        <v>136</v>
      </c>
      <c r="B704" s="6">
        <v>45354.597916666666</v>
      </c>
      <c r="C704" t="s">
        <v>137</v>
      </c>
      <c r="D704" t="s">
        <v>1182</v>
      </c>
      <c r="E704" t="s">
        <v>1183</v>
      </c>
      <c r="F704" t="s">
        <v>1150</v>
      </c>
      <c r="G704" t="s">
        <v>1172</v>
      </c>
      <c r="H704" t="s">
        <v>1229</v>
      </c>
      <c r="I704" t="s">
        <v>1295</v>
      </c>
      <c r="J704" t="s">
        <v>1296</v>
      </c>
      <c r="K704">
        <v>4</v>
      </c>
      <c r="L704">
        <v>9276</v>
      </c>
      <c r="M704">
        <v>0.15</v>
      </c>
      <c r="N704">
        <v>7884.5999999999995</v>
      </c>
      <c r="O704">
        <v>0.12</v>
      </c>
      <c r="P704">
        <v>31538.400000000001</v>
      </c>
      <c r="Q704">
        <v>3784.6080000000002</v>
      </c>
      <c r="R704">
        <v>35323.007999999987</v>
      </c>
      <c r="S704" t="s">
        <v>1363</v>
      </c>
      <c r="T704" t="s">
        <v>1361</v>
      </c>
      <c r="U704" s="4">
        <v>45355</v>
      </c>
      <c r="V704" s="4">
        <v>45358</v>
      </c>
      <c r="W704" t="b">
        <v>0</v>
      </c>
      <c r="Z704" t="s">
        <v>1396</v>
      </c>
      <c r="AA704" t="s">
        <v>1397</v>
      </c>
      <c r="AB704" t="s">
        <v>1380</v>
      </c>
    </row>
    <row r="705" spans="1:28" x14ac:dyDescent="0.3">
      <c r="A705" t="s">
        <v>138</v>
      </c>
      <c r="B705" s="6">
        <v>45761.55</v>
      </c>
      <c r="C705" t="s">
        <v>139</v>
      </c>
      <c r="D705" t="s">
        <v>1148</v>
      </c>
      <c r="E705" t="s">
        <v>1262</v>
      </c>
      <c r="F705" t="s">
        <v>1150</v>
      </c>
      <c r="G705" t="s">
        <v>1163</v>
      </c>
      <c r="H705" t="s">
        <v>1184</v>
      </c>
      <c r="I705" t="s">
        <v>1245</v>
      </c>
      <c r="J705" t="s">
        <v>1246</v>
      </c>
      <c r="K705">
        <v>1</v>
      </c>
      <c r="L705">
        <v>906</v>
      </c>
      <c r="M705">
        <v>0</v>
      </c>
      <c r="N705">
        <v>906</v>
      </c>
      <c r="O705">
        <v>0.18</v>
      </c>
      <c r="P705">
        <v>906</v>
      </c>
      <c r="Q705">
        <v>163.08000000000001</v>
      </c>
      <c r="R705">
        <v>1069.08</v>
      </c>
      <c r="S705" t="s">
        <v>1366</v>
      </c>
      <c r="T705" t="s">
        <v>1361</v>
      </c>
      <c r="U705" s="4">
        <v>45762</v>
      </c>
      <c r="V705" s="4">
        <v>45764</v>
      </c>
      <c r="W705" t="b">
        <v>0</v>
      </c>
      <c r="Z705" t="s">
        <v>1386</v>
      </c>
      <c r="AA705" t="s">
        <v>1394</v>
      </c>
      <c r="AB705" t="s">
        <v>1393</v>
      </c>
    </row>
    <row r="706" spans="1:28" x14ac:dyDescent="0.3">
      <c r="A706" t="s">
        <v>140</v>
      </c>
      <c r="B706" s="6">
        <v>45449.375</v>
      </c>
      <c r="C706" t="s">
        <v>141</v>
      </c>
      <c r="D706" t="s">
        <v>1141</v>
      </c>
      <c r="E706" t="s">
        <v>1227</v>
      </c>
      <c r="F706" t="s">
        <v>1150</v>
      </c>
      <c r="G706" t="s">
        <v>1172</v>
      </c>
      <c r="H706" t="s">
        <v>1173</v>
      </c>
      <c r="I706" t="s">
        <v>1222</v>
      </c>
      <c r="J706" t="s">
        <v>1223</v>
      </c>
      <c r="K706">
        <v>3</v>
      </c>
      <c r="L706">
        <v>1719</v>
      </c>
      <c r="M706">
        <v>0</v>
      </c>
      <c r="N706">
        <v>1719</v>
      </c>
      <c r="O706">
        <v>0.12</v>
      </c>
      <c r="P706">
        <v>5157</v>
      </c>
      <c r="Q706">
        <v>618.84</v>
      </c>
      <c r="R706">
        <v>5775.84</v>
      </c>
      <c r="S706" t="s">
        <v>1363</v>
      </c>
      <c r="T706" t="s">
        <v>1361</v>
      </c>
      <c r="U706" s="4">
        <v>45451</v>
      </c>
      <c r="V706" s="4">
        <v>45456</v>
      </c>
      <c r="W706" t="b">
        <v>0</v>
      </c>
      <c r="Z706" t="s">
        <v>1384</v>
      </c>
      <c r="AA706" t="s">
        <v>1397</v>
      </c>
      <c r="AB706" t="s">
        <v>1391</v>
      </c>
    </row>
    <row r="707" spans="1:28" x14ac:dyDescent="0.3">
      <c r="A707" t="s">
        <v>147</v>
      </c>
      <c r="B707" s="6">
        <v>45459.506944444445</v>
      </c>
      <c r="C707" t="s">
        <v>148</v>
      </c>
      <c r="D707" t="s">
        <v>1153</v>
      </c>
      <c r="E707" t="s">
        <v>1162</v>
      </c>
      <c r="F707" t="s">
        <v>1150</v>
      </c>
      <c r="G707" t="s">
        <v>1144</v>
      </c>
      <c r="H707" t="s">
        <v>1269</v>
      </c>
      <c r="I707" t="s">
        <v>1270</v>
      </c>
      <c r="J707" t="s">
        <v>1271</v>
      </c>
      <c r="K707">
        <v>1</v>
      </c>
      <c r="L707">
        <v>3960</v>
      </c>
      <c r="M707">
        <v>0.1</v>
      </c>
      <c r="N707">
        <v>3564</v>
      </c>
      <c r="O707">
        <v>0.18</v>
      </c>
      <c r="P707">
        <v>3564</v>
      </c>
      <c r="Q707">
        <v>641.52</v>
      </c>
      <c r="R707">
        <v>4205.5200000000004</v>
      </c>
      <c r="S707" t="s">
        <v>1363</v>
      </c>
      <c r="T707" t="s">
        <v>1361</v>
      </c>
      <c r="U707" s="4">
        <v>45459</v>
      </c>
      <c r="V707" s="4">
        <v>45461</v>
      </c>
      <c r="W707" t="b">
        <v>0</v>
      </c>
      <c r="Z707" t="s">
        <v>1379</v>
      </c>
      <c r="AA707" t="s">
        <v>1399</v>
      </c>
      <c r="AB707" t="s">
        <v>1380</v>
      </c>
    </row>
    <row r="708" spans="1:28" x14ac:dyDescent="0.3">
      <c r="A708" t="s">
        <v>154</v>
      </c>
      <c r="B708" s="6">
        <v>45714.445833333331</v>
      </c>
      <c r="C708" t="s">
        <v>155</v>
      </c>
      <c r="D708" t="s">
        <v>1157</v>
      </c>
      <c r="E708" t="s">
        <v>1158</v>
      </c>
      <c r="F708" t="s">
        <v>1150</v>
      </c>
      <c r="G708" t="s">
        <v>1167</v>
      </c>
      <c r="H708" t="s">
        <v>1208</v>
      </c>
      <c r="I708" t="s">
        <v>1291</v>
      </c>
      <c r="J708" t="s">
        <v>1292</v>
      </c>
      <c r="K708">
        <v>4</v>
      </c>
      <c r="L708">
        <v>6916</v>
      </c>
      <c r="M708">
        <v>0</v>
      </c>
      <c r="N708">
        <v>6916</v>
      </c>
      <c r="O708">
        <v>0.12</v>
      </c>
      <c r="P708">
        <v>27664</v>
      </c>
      <c r="Q708">
        <v>3319.68</v>
      </c>
      <c r="R708">
        <v>30983.68</v>
      </c>
      <c r="S708" t="s">
        <v>1365</v>
      </c>
      <c r="T708" t="s">
        <v>1364</v>
      </c>
      <c r="U708" s="4">
        <v>45716</v>
      </c>
      <c r="W708" t="b">
        <v>1</v>
      </c>
      <c r="X708" s="4">
        <v>45724</v>
      </c>
      <c r="Y708" s="4">
        <v>45724</v>
      </c>
      <c r="Z708" t="s">
        <v>1376</v>
      </c>
      <c r="AA708" t="s">
        <v>1397</v>
      </c>
      <c r="AB708" t="s">
        <v>1395</v>
      </c>
    </row>
    <row r="709" spans="1:28" x14ac:dyDescent="0.3">
      <c r="A709" t="s">
        <v>157</v>
      </c>
      <c r="B709" s="6">
        <v>45733.477083333331</v>
      </c>
      <c r="C709" t="s">
        <v>158</v>
      </c>
      <c r="D709" t="s">
        <v>1182</v>
      </c>
      <c r="E709" t="s">
        <v>1257</v>
      </c>
      <c r="F709" t="s">
        <v>1150</v>
      </c>
      <c r="G709" t="s">
        <v>1172</v>
      </c>
      <c r="H709" t="s">
        <v>1173</v>
      </c>
      <c r="I709" t="s">
        <v>1174</v>
      </c>
      <c r="J709" t="s">
        <v>1175</v>
      </c>
      <c r="K709">
        <v>3</v>
      </c>
      <c r="L709">
        <v>7020</v>
      </c>
      <c r="M709">
        <v>0</v>
      </c>
      <c r="N709">
        <v>7020</v>
      </c>
      <c r="O709">
        <v>0.12</v>
      </c>
      <c r="P709">
        <v>21060</v>
      </c>
      <c r="Q709">
        <v>2527.1999999999998</v>
      </c>
      <c r="R709">
        <v>23587.200000000001</v>
      </c>
      <c r="S709" t="s">
        <v>1360</v>
      </c>
      <c r="T709" t="s">
        <v>1361</v>
      </c>
      <c r="U709" s="4">
        <v>45735</v>
      </c>
      <c r="V709" s="4">
        <v>45737</v>
      </c>
      <c r="W709" t="b">
        <v>0</v>
      </c>
      <c r="Z709" t="s">
        <v>1398</v>
      </c>
      <c r="AA709" t="s">
        <v>1399</v>
      </c>
      <c r="AB709" t="s">
        <v>1389</v>
      </c>
    </row>
    <row r="710" spans="1:28" x14ac:dyDescent="0.3">
      <c r="A710" t="s">
        <v>162</v>
      </c>
      <c r="B710" s="6">
        <v>45630.575694444444</v>
      </c>
      <c r="C710" t="s">
        <v>160</v>
      </c>
      <c r="D710" t="s">
        <v>1157</v>
      </c>
      <c r="E710" t="s">
        <v>1201</v>
      </c>
      <c r="F710" t="s">
        <v>1150</v>
      </c>
      <c r="G710" t="s">
        <v>1167</v>
      </c>
      <c r="H710" t="s">
        <v>1211</v>
      </c>
      <c r="I710" t="s">
        <v>1299</v>
      </c>
      <c r="J710" t="s">
        <v>1300</v>
      </c>
      <c r="K710">
        <v>1</v>
      </c>
      <c r="L710">
        <v>22997</v>
      </c>
      <c r="M710">
        <v>0.15</v>
      </c>
      <c r="N710">
        <v>19547.45</v>
      </c>
      <c r="O710">
        <v>0.12</v>
      </c>
      <c r="P710">
        <v>19547.45</v>
      </c>
      <c r="Q710">
        <v>2345.694</v>
      </c>
      <c r="R710">
        <v>21893.144</v>
      </c>
      <c r="S710" t="s">
        <v>1365</v>
      </c>
      <c r="T710" t="s">
        <v>1361</v>
      </c>
      <c r="U710" s="4">
        <v>45630</v>
      </c>
      <c r="V710" s="4">
        <v>45632</v>
      </c>
      <c r="W710" t="b">
        <v>0</v>
      </c>
      <c r="Z710" t="s">
        <v>1384</v>
      </c>
      <c r="AA710" t="s">
        <v>1385</v>
      </c>
      <c r="AB710" t="s">
        <v>1378</v>
      </c>
    </row>
    <row r="711" spans="1:28" x14ac:dyDescent="0.3">
      <c r="A711" t="s">
        <v>167</v>
      </c>
      <c r="B711" s="6">
        <v>45659.570833333331</v>
      </c>
      <c r="C711" t="s">
        <v>45</v>
      </c>
      <c r="D711" t="s">
        <v>1141</v>
      </c>
      <c r="E711" t="s">
        <v>1142</v>
      </c>
      <c r="F711" t="s">
        <v>1150</v>
      </c>
      <c r="G711" t="s">
        <v>1144</v>
      </c>
      <c r="H711" t="s">
        <v>1145</v>
      </c>
      <c r="I711" t="s">
        <v>1155</v>
      </c>
      <c r="J711" t="s">
        <v>1156</v>
      </c>
      <c r="K711">
        <v>3</v>
      </c>
      <c r="L711">
        <v>11960</v>
      </c>
      <c r="M711">
        <v>0</v>
      </c>
      <c r="N711">
        <v>11960</v>
      </c>
      <c r="O711">
        <v>0.18</v>
      </c>
      <c r="P711">
        <v>35880</v>
      </c>
      <c r="Q711">
        <v>6458.4</v>
      </c>
      <c r="R711">
        <v>42338.400000000001</v>
      </c>
      <c r="S711" t="s">
        <v>1360</v>
      </c>
      <c r="T711" t="s">
        <v>1361</v>
      </c>
      <c r="U711" s="4">
        <v>45659</v>
      </c>
      <c r="V711" s="4">
        <v>45664</v>
      </c>
      <c r="W711" t="b">
        <v>0</v>
      </c>
      <c r="Z711" t="s">
        <v>1379</v>
      </c>
      <c r="AA711" t="s">
        <v>1385</v>
      </c>
      <c r="AB711" t="s">
        <v>1380</v>
      </c>
    </row>
    <row r="712" spans="1:28" x14ac:dyDescent="0.3">
      <c r="A712" t="s">
        <v>170</v>
      </c>
      <c r="B712" s="6">
        <v>45651.517361111109</v>
      </c>
      <c r="C712" t="s">
        <v>171</v>
      </c>
      <c r="D712" t="s">
        <v>1182</v>
      </c>
      <c r="E712" t="s">
        <v>1207</v>
      </c>
      <c r="F712" t="s">
        <v>1150</v>
      </c>
      <c r="G712" t="s">
        <v>1177</v>
      </c>
      <c r="H712" t="s">
        <v>1178</v>
      </c>
      <c r="I712" t="s">
        <v>1179</v>
      </c>
      <c r="J712" t="s">
        <v>1180</v>
      </c>
      <c r="K712">
        <v>1</v>
      </c>
      <c r="L712">
        <v>1280</v>
      </c>
      <c r="M712">
        <v>0</v>
      </c>
      <c r="N712">
        <v>1280</v>
      </c>
      <c r="O712">
        <v>0.18</v>
      </c>
      <c r="P712">
        <v>1280</v>
      </c>
      <c r="Q712">
        <v>230.4</v>
      </c>
      <c r="R712">
        <v>1510.4</v>
      </c>
      <c r="S712" t="s">
        <v>1362</v>
      </c>
      <c r="T712" t="s">
        <v>1361</v>
      </c>
      <c r="U712" s="4">
        <v>45653</v>
      </c>
      <c r="V712" s="4">
        <v>45656</v>
      </c>
      <c r="W712" t="b">
        <v>0</v>
      </c>
      <c r="Z712" t="s">
        <v>1376</v>
      </c>
      <c r="AA712" t="s">
        <v>1387</v>
      </c>
      <c r="AB712" t="s">
        <v>1389</v>
      </c>
    </row>
    <row r="713" spans="1:28" x14ac:dyDescent="0.3">
      <c r="A713" t="s">
        <v>180</v>
      </c>
      <c r="B713" s="6">
        <v>45437.591666666667</v>
      </c>
      <c r="C713" t="s">
        <v>181</v>
      </c>
      <c r="D713" t="s">
        <v>1153</v>
      </c>
      <c r="E713" t="s">
        <v>1191</v>
      </c>
      <c r="F713" t="s">
        <v>1150</v>
      </c>
      <c r="G713" t="s">
        <v>1163</v>
      </c>
      <c r="H713" t="s">
        <v>1224</v>
      </c>
      <c r="I713" t="s">
        <v>1243</v>
      </c>
      <c r="J713" t="s">
        <v>1244</v>
      </c>
      <c r="K713">
        <v>4</v>
      </c>
      <c r="L713">
        <v>227</v>
      </c>
      <c r="M713">
        <v>0</v>
      </c>
      <c r="N713">
        <v>227</v>
      </c>
      <c r="O713">
        <v>0.05</v>
      </c>
      <c r="P713">
        <v>908</v>
      </c>
      <c r="Q713">
        <v>45.400000000000013</v>
      </c>
      <c r="R713">
        <v>953.4</v>
      </c>
      <c r="S713" t="s">
        <v>1366</v>
      </c>
      <c r="T713" t="s">
        <v>1361</v>
      </c>
      <c r="U713" s="4">
        <v>45439</v>
      </c>
      <c r="V713" s="4">
        <v>45443</v>
      </c>
      <c r="W713" t="b">
        <v>0</v>
      </c>
      <c r="Z713" t="s">
        <v>1388</v>
      </c>
      <c r="AA713" t="s">
        <v>1385</v>
      </c>
      <c r="AB713" t="s">
        <v>1395</v>
      </c>
    </row>
    <row r="714" spans="1:28" x14ac:dyDescent="0.3">
      <c r="A714" t="s">
        <v>187</v>
      </c>
      <c r="B714" s="6">
        <v>45462.508333333331</v>
      </c>
      <c r="C714" t="s">
        <v>61</v>
      </c>
      <c r="D714" t="s">
        <v>1153</v>
      </c>
      <c r="E714" t="s">
        <v>1176</v>
      </c>
      <c r="F714" t="s">
        <v>1150</v>
      </c>
      <c r="G714" t="s">
        <v>1144</v>
      </c>
      <c r="H714" t="s">
        <v>1276</v>
      </c>
      <c r="I714" t="s">
        <v>1307</v>
      </c>
      <c r="J714" t="s">
        <v>1308</v>
      </c>
      <c r="K714">
        <v>1</v>
      </c>
      <c r="L714">
        <v>10444</v>
      </c>
      <c r="M714">
        <v>0.05</v>
      </c>
      <c r="N714">
        <v>9921.7999999999993</v>
      </c>
      <c r="O714">
        <v>0.18</v>
      </c>
      <c r="P714">
        <v>9921.7999999999993</v>
      </c>
      <c r="Q714">
        <v>1785.924</v>
      </c>
      <c r="R714">
        <v>11707.724</v>
      </c>
      <c r="S714" t="s">
        <v>1365</v>
      </c>
      <c r="T714" t="s">
        <v>1361</v>
      </c>
      <c r="U714" s="4">
        <v>45462</v>
      </c>
      <c r="V714" s="4">
        <v>45464</v>
      </c>
      <c r="W714" t="b">
        <v>0</v>
      </c>
      <c r="Z714" t="s">
        <v>1398</v>
      </c>
      <c r="AA714" t="s">
        <v>1385</v>
      </c>
      <c r="AB714" t="s">
        <v>1378</v>
      </c>
    </row>
    <row r="715" spans="1:28" x14ac:dyDescent="0.3">
      <c r="A715" t="s">
        <v>194</v>
      </c>
      <c r="B715" s="6">
        <v>45447.550694444442</v>
      </c>
      <c r="C715" t="s">
        <v>195</v>
      </c>
      <c r="D715" t="s">
        <v>1148</v>
      </c>
      <c r="E715" t="s">
        <v>1149</v>
      </c>
      <c r="F715" t="s">
        <v>1150</v>
      </c>
      <c r="G715" t="s">
        <v>1167</v>
      </c>
      <c r="H715" t="s">
        <v>1168</v>
      </c>
      <c r="I715" t="s">
        <v>1169</v>
      </c>
      <c r="J715" t="s">
        <v>1170</v>
      </c>
      <c r="K715">
        <v>2</v>
      </c>
      <c r="L715">
        <v>24733</v>
      </c>
      <c r="M715">
        <v>0</v>
      </c>
      <c r="N715">
        <v>24733</v>
      </c>
      <c r="O715">
        <v>0.12</v>
      </c>
      <c r="P715">
        <v>49466</v>
      </c>
      <c r="Q715">
        <v>5935.92</v>
      </c>
      <c r="R715">
        <v>55401.919999999998</v>
      </c>
      <c r="S715" t="s">
        <v>1365</v>
      </c>
      <c r="T715" t="s">
        <v>1361</v>
      </c>
      <c r="U715" s="4">
        <v>45447</v>
      </c>
      <c r="V715" s="4">
        <v>45451</v>
      </c>
      <c r="W715" t="b">
        <v>0</v>
      </c>
      <c r="Z715" t="s">
        <v>1382</v>
      </c>
      <c r="AA715" t="s">
        <v>1397</v>
      </c>
      <c r="AB715" t="s">
        <v>1395</v>
      </c>
    </row>
    <row r="716" spans="1:28" x14ac:dyDescent="0.3">
      <c r="A716" t="s">
        <v>198</v>
      </c>
      <c r="B716" s="6">
        <v>45405.506249999999</v>
      </c>
      <c r="C716" t="s">
        <v>128</v>
      </c>
      <c r="D716" t="s">
        <v>1182</v>
      </c>
      <c r="E716" t="s">
        <v>1183</v>
      </c>
      <c r="F716" t="s">
        <v>1150</v>
      </c>
      <c r="G716" t="s">
        <v>1144</v>
      </c>
      <c r="H716" t="s">
        <v>1145</v>
      </c>
      <c r="I716" t="s">
        <v>1151</v>
      </c>
      <c r="J716" t="s">
        <v>1152</v>
      </c>
      <c r="K716">
        <v>2</v>
      </c>
      <c r="L716">
        <v>6121</v>
      </c>
      <c r="M716">
        <v>0.05</v>
      </c>
      <c r="N716">
        <v>5814.95</v>
      </c>
      <c r="O716">
        <v>0.18</v>
      </c>
      <c r="P716">
        <v>11629.9</v>
      </c>
      <c r="Q716">
        <v>2093.3820000000001</v>
      </c>
      <c r="R716">
        <v>13723.281999999999</v>
      </c>
      <c r="S716" t="s">
        <v>1360</v>
      </c>
      <c r="T716" t="s">
        <v>1368</v>
      </c>
      <c r="U716" s="4">
        <v>45406</v>
      </c>
      <c r="W716" t="b">
        <v>0</v>
      </c>
      <c r="Z716" t="s">
        <v>1384</v>
      </c>
      <c r="AA716" t="s">
        <v>1400</v>
      </c>
      <c r="AB716" t="s">
        <v>1380</v>
      </c>
    </row>
    <row r="717" spans="1:28" x14ac:dyDescent="0.3">
      <c r="A717" t="s">
        <v>201</v>
      </c>
      <c r="B717" s="6">
        <v>45315.547222222223</v>
      </c>
      <c r="C717" t="s">
        <v>195</v>
      </c>
      <c r="D717" t="s">
        <v>1148</v>
      </c>
      <c r="E717" t="s">
        <v>1149</v>
      </c>
      <c r="F717" t="s">
        <v>1150</v>
      </c>
      <c r="G717" t="s">
        <v>1167</v>
      </c>
      <c r="H717" t="s">
        <v>1211</v>
      </c>
      <c r="I717" t="s">
        <v>1212</v>
      </c>
      <c r="J717" t="s">
        <v>1213</v>
      </c>
      <c r="K717">
        <v>1</v>
      </c>
      <c r="L717">
        <v>23009</v>
      </c>
      <c r="M717">
        <v>0</v>
      </c>
      <c r="N717">
        <v>23009</v>
      </c>
      <c r="O717">
        <v>0.18</v>
      </c>
      <c r="P717">
        <v>23009</v>
      </c>
      <c r="Q717">
        <v>4141.62</v>
      </c>
      <c r="R717">
        <v>27150.62</v>
      </c>
      <c r="S717" t="s">
        <v>1360</v>
      </c>
      <c r="T717" t="s">
        <v>1361</v>
      </c>
      <c r="U717" s="4">
        <v>45317</v>
      </c>
      <c r="V717" s="4">
        <v>45318</v>
      </c>
      <c r="W717" t="b">
        <v>0</v>
      </c>
      <c r="Z717" t="s">
        <v>1388</v>
      </c>
      <c r="AA717" t="s">
        <v>1400</v>
      </c>
      <c r="AB717" t="s">
        <v>1391</v>
      </c>
    </row>
    <row r="718" spans="1:28" x14ac:dyDescent="0.3">
      <c r="A718" t="s">
        <v>203</v>
      </c>
      <c r="B718" s="6">
        <v>45675.71875</v>
      </c>
      <c r="C718" t="s">
        <v>115</v>
      </c>
      <c r="D718" t="s">
        <v>1157</v>
      </c>
      <c r="E718" t="s">
        <v>1249</v>
      </c>
      <c r="F718" t="s">
        <v>1150</v>
      </c>
      <c r="G718" t="s">
        <v>1177</v>
      </c>
      <c r="H718" t="s">
        <v>1236</v>
      </c>
      <c r="I718" t="s">
        <v>1237</v>
      </c>
      <c r="J718" t="s">
        <v>1238</v>
      </c>
      <c r="K718">
        <v>1</v>
      </c>
      <c r="L718">
        <v>2024</v>
      </c>
      <c r="M718">
        <v>0.05</v>
      </c>
      <c r="N718">
        <v>1922.8</v>
      </c>
      <c r="O718">
        <v>0.18</v>
      </c>
      <c r="P718">
        <v>1922.8</v>
      </c>
      <c r="Q718">
        <v>346.10399999999998</v>
      </c>
      <c r="R718">
        <v>2268.904</v>
      </c>
      <c r="S718" t="s">
        <v>1366</v>
      </c>
      <c r="T718" t="s">
        <v>1361</v>
      </c>
      <c r="U718" s="4">
        <v>45676</v>
      </c>
      <c r="V718" s="4">
        <v>45677</v>
      </c>
      <c r="W718" t="b">
        <v>0</v>
      </c>
      <c r="Z718" t="s">
        <v>1398</v>
      </c>
      <c r="AA718" t="s">
        <v>1385</v>
      </c>
      <c r="AB718" t="s">
        <v>1395</v>
      </c>
    </row>
    <row r="719" spans="1:28" x14ac:dyDescent="0.3">
      <c r="A719" t="s">
        <v>205</v>
      </c>
      <c r="B719" s="6">
        <v>45662.449305555558</v>
      </c>
      <c r="C719" t="s">
        <v>206</v>
      </c>
      <c r="D719" t="s">
        <v>1153</v>
      </c>
      <c r="E719" t="s">
        <v>1191</v>
      </c>
      <c r="F719" t="s">
        <v>1150</v>
      </c>
      <c r="G719" t="s">
        <v>1163</v>
      </c>
      <c r="H719" t="s">
        <v>1184</v>
      </c>
      <c r="I719" t="s">
        <v>1260</v>
      </c>
      <c r="J719" t="s">
        <v>1261</v>
      </c>
      <c r="K719">
        <v>2</v>
      </c>
      <c r="L719">
        <v>1158</v>
      </c>
      <c r="M719">
        <v>0.15</v>
      </c>
      <c r="N719">
        <v>984.3</v>
      </c>
      <c r="O719">
        <v>0.12</v>
      </c>
      <c r="P719">
        <v>1968.6</v>
      </c>
      <c r="Q719">
        <v>236.232</v>
      </c>
      <c r="R719">
        <v>2204.8319999999999</v>
      </c>
      <c r="S719" t="s">
        <v>1366</v>
      </c>
      <c r="T719" t="s">
        <v>1364</v>
      </c>
      <c r="U719" s="4">
        <v>45664</v>
      </c>
      <c r="W719" t="b">
        <v>1</v>
      </c>
      <c r="X719" s="4">
        <v>45681</v>
      </c>
      <c r="Y719" s="4">
        <v>45681</v>
      </c>
      <c r="Z719" t="s">
        <v>1386</v>
      </c>
      <c r="AA719" t="s">
        <v>1385</v>
      </c>
      <c r="AB719" t="s">
        <v>1378</v>
      </c>
    </row>
    <row r="720" spans="1:28" x14ac:dyDescent="0.3">
      <c r="A720" t="s">
        <v>215</v>
      </c>
      <c r="B720" s="6">
        <v>45653.609027777777</v>
      </c>
      <c r="C720" t="s">
        <v>216</v>
      </c>
      <c r="D720" t="s">
        <v>1157</v>
      </c>
      <c r="E720" t="s">
        <v>1201</v>
      </c>
      <c r="F720" t="s">
        <v>1150</v>
      </c>
      <c r="G720" t="s">
        <v>1172</v>
      </c>
      <c r="H720" t="s">
        <v>1198</v>
      </c>
      <c r="I720" t="s">
        <v>1250</v>
      </c>
      <c r="J720" t="s">
        <v>1251</v>
      </c>
      <c r="K720">
        <v>2</v>
      </c>
      <c r="L720">
        <v>9730</v>
      </c>
      <c r="M720">
        <v>0.05</v>
      </c>
      <c r="N720">
        <v>9243.5</v>
      </c>
      <c r="O720">
        <v>0.18</v>
      </c>
      <c r="P720">
        <v>18487</v>
      </c>
      <c r="Q720">
        <v>3327.66</v>
      </c>
      <c r="R720">
        <v>21814.66</v>
      </c>
      <c r="S720" t="s">
        <v>1362</v>
      </c>
      <c r="T720" t="s">
        <v>1361</v>
      </c>
      <c r="U720" s="4">
        <v>45653</v>
      </c>
      <c r="V720" s="4">
        <v>45657</v>
      </c>
      <c r="W720" t="b">
        <v>0</v>
      </c>
      <c r="Z720" t="s">
        <v>1382</v>
      </c>
      <c r="AA720" t="s">
        <v>1397</v>
      </c>
      <c r="AB720" t="s">
        <v>1389</v>
      </c>
    </row>
    <row r="721" spans="1:28" x14ac:dyDescent="0.3">
      <c r="A721" t="s">
        <v>217</v>
      </c>
      <c r="B721" s="6">
        <v>45432.673611111109</v>
      </c>
      <c r="C721" t="s">
        <v>218</v>
      </c>
      <c r="D721" t="s">
        <v>1153</v>
      </c>
      <c r="E721" t="s">
        <v>1191</v>
      </c>
      <c r="F721" t="s">
        <v>1150</v>
      </c>
      <c r="G721" t="s">
        <v>1163</v>
      </c>
      <c r="H721" t="s">
        <v>1266</v>
      </c>
      <c r="I721" t="s">
        <v>1267</v>
      </c>
      <c r="J721" t="s">
        <v>1268</v>
      </c>
      <c r="K721">
        <v>1</v>
      </c>
      <c r="L721">
        <v>703</v>
      </c>
      <c r="M721">
        <v>0</v>
      </c>
      <c r="N721">
        <v>703</v>
      </c>
      <c r="O721">
        <v>0.12</v>
      </c>
      <c r="P721">
        <v>703</v>
      </c>
      <c r="Q721">
        <v>84.36</v>
      </c>
      <c r="R721">
        <v>787.36</v>
      </c>
      <c r="S721" t="s">
        <v>1363</v>
      </c>
      <c r="T721" t="s">
        <v>1367</v>
      </c>
      <c r="U721" s="4">
        <v>45432</v>
      </c>
      <c r="W721" t="b">
        <v>0</v>
      </c>
      <c r="Z721" t="s">
        <v>1384</v>
      </c>
      <c r="AA721" t="s">
        <v>1399</v>
      </c>
      <c r="AB721" t="s">
        <v>1395</v>
      </c>
    </row>
    <row r="722" spans="1:28" x14ac:dyDescent="0.3">
      <c r="A722" t="s">
        <v>220</v>
      </c>
      <c r="B722" s="6">
        <v>45719.53402777778</v>
      </c>
      <c r="C722" t="s">
        <v>105</v>
      </c>
      <c r="D722" t="s">
        <v>1182</v>
      </c>
      <c r="E722" t="s">
        <v>1207</v>
      </c>
      <c r="F722" t="s">
        <v>1150</v>
      </c>
      <c r="G722" t="s">
        <v>1144</v>
      </c>
      <c r="H722" t="s">
        <v>1276</v>
      </c>
      <c r="I722" t="s">
        <v>1286</v>
      </c>
      <c r="J722" t="s">
        <v>1287</v>
      </c>
      <c r="K722">
        <v>1</v>
      </c>
      <c r="L722">
        <v>9046</v>
      </c>
      <c r="M722">
        <v>0</v>
      </c>
      <c r="N722">
        <v>9046</v>
      </c>
      <c r="O722">
        <v>0.12</v>
      </c>
      <c r="P722">
        <v>9046</v>
      </c>
      <c r="Q722">
        <v>1085.52</v>
      </c>
      <c r="R722">
        <v>10131.52</v>
      </c>
      <c r="S722" t="s">
        <v>1363</v>
      </c>
      <c r="T722" t="s">
        <v>1361</v>
      </c>
      <c r="U722" s="4">
        <v>45720</v>
      </c>
      <c r="V722" s="4">
        <v>45723</v>
      </c>
      <c r="W722" t="b">
        <v>0</v>
      </c>
      <c r="Z722" t="s">
        <v>1382</v>
      </c>
      <c r="AA722" t="s">
        <v>1397</v>
      </c>
      <c r="AB722" t="s">
        <v>1395</v>
      </c>
    </row>
    <row r="723" spans="1:28" x14ac:dyDescent="0.3">
      <c r="A723" t="s">
        <v>222</v>
      </c>
      <c r="B723" s="6">
        <v>45640.619444444441</v>
      </c>
      <c r="C723" t="s">
        <v>223</v>
      </c>
      <c r="D723" t="s">
        <v>1148</v>
      </c>
      <c r="E723" t="s">
        <v>1149</v>
      </c>
      <c r="F723" t="s">
        <v>1150</v>
      </c>
      <c r="G723" t="s">
        <v>1172</v>
      </c>
      <c r="H723" t="s">
        <v>1229</v>
      </c>
      <c r="I723" t="s">
        <v>1230</v>
      </c>
      <c r="J723" t="s">
        <v>1231</v>
      </c>
      <c r="K723">
        <v>1</v>
      </c>
      <c r="L723">
        <v>5481</v>
      </c>
      <c r="M723">
        <v>0.05</v>
      </c>
      <c r="N723">
        <v>5206.95</v>
      </c>
      <c r="O723">
        <v>0.12</v>
      </c>
      <c r="P723">
        <v>5206.95</v>
      </c>
      <c r="Q723">
        <v>624.83399999999995</v>
      </c>
      <c r="R723">
        <v>5831.7839999999997</v>
      </c>
      <c r="S723" t="s">
        <v>1366</v>
      </c>
      <c r="T723" t="s">
        <v>1361</v>
      </c>
      <c r="U723" s="4">
        <v>45640</v>
      </c>
      <c r="V723" s="4">
        <v>45643</v>
      </c>
      <c r="W723" t="b">
        <v>0</v>
      </c>
      <c r="Z723" t="s">
        <v>1392</v>
      </c>
      <c r="AA723" t="s">
        <v>1394</v>
      </c>
      <c r="AB723" t="s">
        <v>1391</v>
      </c>
    </row>
    <row r="724" spans="1:28" x14ac:dyDescent="0.3">
      <c r="A724" t="s">
        <v>232</v>
      </c>
      <c r="B724" s="6">
        <v>45335.681250000001</v>
      </c>
      <c r="C724" t="s">
        <v>233</v>
      </c>
      <c r="D724" t="s">
        <v>1153</v>
      </c>
      <c r="E724" t="s">
        <v>1154</v>
      </c>
      <c r="F724" t="s">
        <v>1150</v>
      </c>
      <c r="G724" t="s">
        <v>1163</v>
      </c>
      <c r="H724" t="s">
        <v>1224</v>
      </c>
      <c r="I724" t="s">
        <v>1316</v>
      </c>
      <c r="J724" t="s">
        <v>1317</v>
      </c>
      <c r="K724">
        <v>3</v>
      </c>
      <c r="L724">
        <v>623</v>
      </c>
      <c r="M724">
        <v>0</v>
      </c>
      <c r="N724">
        <v>623</v>
      </c>
      <c r="O724">
        <v>0.18</v>
      </c>
      <c r="P724">
        <v>1869</v>
      </c>
      <c r="Q724">
        <v>336.42</v>
      </c>
      <c r="R724">
        <v>2205.42</v>
      </c>
      <c r="S724" t="s">
        <v>1362</v>
      </c>
      <c r="T724" t="s">
        <v>1361</v>
      </c>
      <c r="U724" s="4">
        <v>45336</v>
      </c>
      <c r="V724" s="4">
        <v>45337</v>
      </c>
      <c r="W724" t="b">
        <v>0</v>
      </c>
      <c r="Z724" t="s">
        <v>1396</v>
      </c>
      <c r="AA724" t="s">
        <v>1400</v>
      </c>
      <c r="AB724" t="s">
        <v>1380</v>
      </c>
    </row>
    <row r="725" spans="1:28" x14ac:dyDescent="0.3">
      <c r="A725" t="s">
        <v>234</v>
      </c>
      <c r="B725" s="6">
        <v>45691.489583333336</v>
      </c>
      <c r="C725" t="s">
        <v>235</v>
      </c>
      <c r="D725" t="s">
        <v>1157</v>
      </c>
      <c r="E725" t="s">
        <v>1158</v>
      </c>
      <c r="F725" t="s">
        <v>1150</v>
      </c>
      <c r="G725" t="s">
        <v>1163</v>
      </c>
      <c r="H725" t="s">
        <v>1164</v>
      </c>
      <c r="I725" t="s">
        <v>1318</v>
      </c>
      <c r="J725" t="s">
        <v>1319</v>
      </c>
      <c r="K725">
        <v>2</v>
      </c>
      <c r="L725">
        <v>310</v>
      </c>
      <c r="M725">
        <v>0.05</v>
      </c>
      <c r="N725">
        <v>294.5</v>
      </c>
      <c r="O725">
        <v>0.18</v>
      </c>
      <c r="P725">
        <v>589</v>
      </c>
      <c r="Q725">
        <v>106.02</v>
      </c>
      <c r="R725">
        <v>695.02</v>
      </c>
      <c r="S725" t="s">
        <v>1363</v>
      </c>
      <c r="T725" t="s">
        <v>1361</v>
      </c>
      <c r="U725" s="4">
        <v>45692</v>
      </c>
      <c r="V725" s="4">
        <v>45697</v>
      </c>
      <c r="W725" t="b">
        <v>0</v>
      </c>
      <c r="Z725" t="s">
        <v>1379</v>
      </c>
      <c r="AA725" t="s">
        <v>1394</v>
      </c>
      <c r="AB725" t="s">
        <v>1393</v>
      </c>
    </row>
    <row r="726" spans="1:28" x14ac:dyDescent="0.3">
      <c r="A726" t="s">
        <v>246</v>
      </c>
      <c r="B726" s="6">
        <v>45305.689583333333</v>
      </c>
      <c r="C726" t="s">
        <v>247</v>
      </c>
      <c r="D726" t="s">
        <v>1141</v>
      </c>
      <c r="E726" t="s">
        <v>1227</v>
      </c>
      <c r="F726" t="s">
        <v>1150</v>
      </c>
      <c r="G726" t="s">
        <v>1172</v>
      </c>
      <c r="H726" t="s">
        <v>1188</v>
      </c>
      <c r="I726" t="s">
        <v>1258</v>
      </c>
      <c r="J726" t="s">
        <v>1259</v>
      </c>
      <c r="K726">
        <v>3</v>
      </c>
      <c r="L726">
        <v>7681</v>
      </c>
      <c r="M726">
        <v>0.05</v>
      </c>
      <c r="N726">
        <v>7296.95</v>
      </c>
      <c r="O726">
        <v>0.18</v>
      </c>
      <c r="P726">
        <v>21890.85</v>
      </c>
      <c r="Q726">
        <v>3940.3530000000001</v>
      </c>
      <c r="R726">
        <v>25831.203000000001</v>
      </c>
      <c r="S726" t="s">
        <v>1360</v>
      </c>
      <c r="T726" t="s">
        <v>1361</v>
      </c>
      <c r="U726" s="4">
        <v>45305</v>
      </c>
      <c r="V726" s="4">
        <v>45306</v>
      </c>
      <c r="W726" t="b">
        <v>0</v>
      </c>
      <c r="Z726" t="s">
        <v>1384</v>
      </c>
      <c r="AA726" t="s">
        <v>1385</v>
      </c>
      <c r="AB726" t="s">
        <v>1383</v>
      </c>
    </row>
    <row r="727" spans="1:28" x14ac:dyDescent="0.3">
      <c r="A727" t="s">
        <v>250</v>
      </c>
      <c r="B727" s="6">
        <v>45345.559027777781</v>
      </c>
      <c r="C727" t="s">
        <v>251</v>
      </c>
      <c r="D727" t="s">
        <v>1148</v>
      </c>
      <c r="E727" t="s">
        <v>1171</v>
      </c>
      <c r="F727" t="s">
        <v>1150</v>
      </c>
      <c r="G727" t="s">
        <v>1144</v>
      </c>
      <c r="H727" t="s">
        <v>1214</v>
      </c>
      <c r="I727" t="s">
        <v>1320</v>
      </c>
      <c r="J727" t="s">
        <v>1321</v>
      </c>
      <c r="K727">
        <v>1</v>
      </c>
      <c r="L727">
        <v>2443</v>
      </c>
      <c r="M727">
        <v>0.1</v>
      </c>
      <c r="N727">
        <v>2198.6999999999998</v>
      </c>
      <c r="O727">
        <v>0.05</v>
      </c>
      <c r="P727">
        <v>2198.6999999999998</v>
      </c>
      <c r="Q727">
        <v>109.935</v>
      </c>
      <c r="R727">
        <v>2308.6350000000002</v>
      </c>
      <c r="S727" t="s">
        <v>1360</v>
      </c>
      <c r="T727" t="s">
        <v>1361</v>
      </c>
      <c r="U727" s="4">
        <v>45347</v>
      </c>
      <c r="V727" s="4">
        <v>45352</v>
      </c>
      <c r="W727" t="b">
        <v>0</v>
      </c>
      <c r="Z727" t="s">
        <v>1398</v>
      </c>
      <c r="AA727" t="s">
        <v>1377</v>
      </c>
      <c r="AB727" t="s">
        <v>1393</v>
      </c>
    </row>
    <row r="728" spans="1:28" x14ac:dyDescent="0.3">
      <c r="A728" t="s">
        <v>253</v>
      </c>
      <c r="B728" s="6">
        <v>45668.681250000001</v>
      </c>
      <c r="C728" t="s">
        <v>164</v>
      </c>
      <c r="D728" t="s">
        <v>1157</v>
      </c>
      <c r="E728" t="s">
        <v>1249</v>
      </c>
      <c r="F728" t="s">
        <v>1150</v>
      </c>
      <c r="G728" t="s">
        <v>1177</v>
      </c>
      <c r="H728" t="s">
        <v>1309</v>
      </c>
      <c r="I728" t="s">
        <v>1310</v>
      </c>
      <c r="J728" t="s">
        <v>1311</v>
      </c>
      <c r="K728">
        <v>1</v>
      </c>
      <c r="L728">
        <v>1093</v>
      </c>
      <c r="M728">
        <v>0</v>
      </c>
      <c r="N728">
        <v>1093</v>
      </c>
      <c r="O728">
        <v>0.05</v>
      </c>
      <c r="P728">
        <v>1093</v>
      </c>
      <c r="Q728">
        <v>54.650000000000013</v>
      </c>
      <c r="R728">
        <v>1147.6500000000001</v>
      </c>
      <c r="S728" t="s">
        <v>1360</v>
      </c>
      <c r="T728" t="s">
        <v>1367</v>
      </c>
      <c r="U728" s="4">
        <v>45670</v>
      </c>
      <c r="W728" t="b">
        <v>0</v>
      </c>
      <c r="Z728" t="s">
        <v>1376</v>
      </c>
      <c r="AA728" t="s">
        <v>1397</v>
      </c>
      <c r="AB728" t="s">
        <v>1380</v>
      </c>
    </row>
    <row r="729" spans="1:28" x14ac:dyDescent="0.3">
      <c r="A729" t="s">
        <v>256</v>
      </c>
      <c r="B729" s="6">
        <v>45337.518750000003</v>
      </c>
      <c r="C729" t="s">
        <v>61</v>
      </c>
      <c r="D729" t="s">
        <v>1153</v>
      </c>
      <c r="E729" t="s">
        <v>1176</v>
      </c>
      <c r="F729" t="s">
        <v>1150</v>
      </c>
      <c r="G729" t="s">
        <v>1144</v>
      </c>
      <c r="H729" t="s">
        <v>1276</v>
      </c>
      <c r="I729" t="s">
        <v>1286</v>
      </c>
      <c r="J729" t="s">
        <v>1287</v>
      </c>
      <c r="K729">
        <v>4</v>
      </c>
      <c r="L729">
        <v>11348</v>
      </c>
      <c r="M729">
        <v>0</v>
      </c>
      <c r="N729">
        <v>11348</v>
      </c>
      <c r="O729">
        <v>0.18</v>
      </c>
      <c r="P729">
        <v>45392</v>
      </c>
      <c r="Q729">
        <v>8170.5599999999986</v>
      </c>
      <c r="R729">
        <v>53562.559999999998</v>
      </c>
      <c r="S729" t="s">
        <v>1363</v>
      </c>
      <c r="T729" t="s">
        <v>1368</v>
      </c>
      <c r="U729" s="4">
        <v>45337</v>
      </c>
      <c r="W729" t="b">
        <v>0</v>
      </c>
      <c r="Z729" t="s">
        <v>1379</v>
      </c>
      <c r="AA729" t="s">
        <v>1385</v>
      </c>
      <c r="AB729" t="s">
        <v>1389</v>
      </c>
    </row>
    <row r="730" spans="1:28" x14ac:dyDescent="0.3">
      <c r="A730" t="s">
        <v>258</v>
      </c>
      <c r="B730" s="6">
        <v>45338.620138888888</v>
      </c>
      <c r="C730" t="s">
        <v>259</v>
      </c>
      <c r="D730" t="s">
        <v>1141</v>
      </c>
      <c r="E730" t="s">
        <v>1227</v>
      </c>
      <c r="F730" t="s">
        <v>1150</v>
      </c>
      <c r="G730" t="s">
        <v>1167</v>
      </c>
      <c r="H730" t="s">
        <v>1208</v>
      </c>
      <c r="I730" t="s">
        <v>1322</v>
      </c>
      <c r="J730" t="s">
        <v>1323</v>
      </c>
      <c r="K730">
        <v>2</v>
      </c>
      <c r="L730">
        <v>6557</v>
      </c>
      <c r="M730">
        <v>0</v>
      </c>
      <c r="N730">
        <v>6557</v>
      </c>
      <c r="O730">
        <v>0.18</v>
      </c>
      <c r="P730">
        <v>13114</v>
      </c>
      <c r="Q730">
        <v>2360.52</v>
      </c>
      <c r="R730">
        <v>15474.52</v>
      </c>
      <c r="S730" t="s">
        <v>1362</v>
      </c>
      <c r="T730" t="s">
        <v>1361</v>
      </c>
      <c r="U730" s="4">
        <v>45338</v>
      </c>
      <c r="V730" s="4">
        <v>45343</v>
      </c>
      <c r="W730" t="b">
        <v>0</v>
      </c>
      <c r="Z730" t="s">
        <v>1388</v>
      </c>
      <c r="AA730" t="s">
        <v>1399</v>
      </c>
      <c r="AB730" t="s">
        <v>1389</v>
      </c>
    </row>
    <row r="731" spans="1:28" x14ac:dyDescent="0.3">
      <c r="A731" t="s">
        <v>268</v>
      </c>
      <c r="B731" s="6">
        <v>45643.494444444441</v>
      </c>
      <c r="C731" t="s">
        <v>269</v>
      </c>
      <c r="D731" t="s">
        <v>1141</v>
      </c>
      <c r="E731" t="s">
        <v>1239</v>
      </c>
      <c r="F731" t="s">
        <v>1150</v>
      </c>
      <c r="G731" t="s">
        <v>1163</v>
      </c>
      <c r="H731" t="s">
        <v>1224</v>
      </c>
      <c r="I731" t="s">
        <v>1243</v>
      </c>
      <c r="J731" t="s">
        <v>1244</v>
      </c>
      <c r="K731">
        <v>3</v>
      </c>
      <c r="L731">
        <v>478</v>
      </c>
      <c r="M731">
        <v>0</v>
      </c>
      <c r="N731">
        <v>478</v>
      </c>
      <c r="O731">
        <v>0.18</v>
      </c>
      <c r="P731">
        <v>1434</v>
      </c>
      <c r="Q731">
        <v>258.12</v>
      </c>
      <c r="R731">
        <v>1692.12</v>
      </c>
      <c r="S731" t="s">
        <v>1360</v>
      </c>
      <c r="T731" t="s">
        <v>1361</v>
      </c>
      <c r="U731" s="4">
        <v>45643</v>
      </c>
      <c r="V731" s="4">
        <v>45648</v>
      </c>
      <c r="W731" t="b">
        <v>0</v>
      </c>
      <c r="Z731" t="s">
        <v>1386</v>
      </c>
      <c r="AA731" t="s">
        <v>1394</v>
      </c>
      <c r="AB731" t="s">
        <v>1383</v>
      </c>
    </row>
    <row r="732" spans="1:28" x14ac:dyDescent="0.3">
      <c r="A732" t="s">
        <v>272</v>
      </c>
      <c r="B732" s="6">
        <v>45586.542361111111</v>
      </c>
      <c r="C732" t="s">
        <v>273</v>
      </c>
      <c r="D732" t="s">
        <v>1157</v>
      </c>
      <c r="E732" t="s">
        <v>1158</v>
      </c>
      <c r="F732" t="s">
        <v>1150</v>
      </c>
      <c r="G732" t="s">
        <v>1167</v>
      </c>
      <c r="H732" t="s">
        <v>1288</v>
      </c>
      <c r="I732" t="s">
        <v>1293</v>
      </c>
      <c r="J732" t="s">
        <v>1294</v>
      </c>
      <c r="K732">
        <v>1</v>
      </c>
      <c r="L732">
        <v>39085</v>
      </c>
      <c r="M732">
        <v>0</v>
      </c>
      <c r="N732">
        <v>39085</v>
      </c>
      <c r="O732">
        <v>0.05</v>
      </c>
      <c r="P732">
        <v>39085</v>
      </c>
      <c r="Q732">
        <v>1954.25</v>
      </c>
      <c r="R732">
        <v>41039.25</v>
      </c>
      <c r="S732" t="s">
        <v>1363</v>
      </c>
      <c r="T732" t="s">
        <v>1361</v>
      </c>
      <c r="U732" s="4">
        <v>45588</v>
      </c>
      <c r="V732" s="4">
        <v>45589</v>
      </c>
      <c r="W732" t="b">
        <v>0</v>
      </c>
      <c r="Z732" t="s">
        <v>1398</v>
      </c>
      <c r="AA732" t="s">
        <v>1397</v>
      </c>
      <c r="AB732" t="s">
        <v>1383</v>
      </c>
    </row>
    <row r="733" spans="1:28" x14ac:dyDescent="0.3">
      <c r="A733" t="s">
        <v>276</v>
      </c>
      <c r="B733" s="6">
        <v>45502.499305555553</v>
      </c>
      <c r="C733" t="s">
        <v>4</v>
      </c>
      <c r="D733" t="s">
        <v>1141</v>
      </c>
      <c r="E733" t="s">
        <v>1142</v>
      </c>
      <c r="F733" t="s">
        <v>1150</v>
      </c>
      <c r="G733" t="s">
        <v>1163</v>
      </c>
      <c r="H733" t="s">
        <v>1224</v>
      </c>
      <c r="I733" t="s">
        <v>1225</v>
      </c>
      <c r="J733" t="s">
        <v>1226</v>
      </c>
      <c r="K733">
        <v>1</v>
      </c>
      <c r="L733">
        <v>335</v>
      </c>
      <c r="M733">
        <v>0.05</v>
      </c>
      <c r="N733">
        <v>318.25</v>
      </c>
      <c r="O733">
        <v>0.05</v>
      </c>
      <c r="P733">
        <v>318.25</v>
      </c>
      <c r="Q733">
        <v>15.9125</v>
      </c>
      <c r="R733">
        <v>334.16250000000002</v>
      </c>
      <c r="S733" t="s">
        <v>1360</v>
      </c>
      <c r="T733" t="s">
        <v>1361</v>
      </c>
      <c r="U733" s="4">
        <v>45504</v>
      </c>
      <c r="V733" s="4">
        <v>45508</v>
      </c>
      <c r="W733" t="b">
        <v>0</v>
      </c>
      <c r="Z733" t="s">
        <v>1382</v>
      </c>
      <c r="AA733" t="s">
        <v>1394</v>
      </c>
      <c r="AB733" t="s">
        <v>1389</v>
      </c>
    </row>
    <row r="734" spans="1:28" x14ac:dyDescent="0.3">
      <c r="A734" t="s">
        <v>277</v>
      </c>
      <c r="B734" s="6">
        <v>45301.457638888889</v>
      </c>
      <c r="C734" t="s">
        <v>278</v>
      </c>
      <c r="D734" t="s">
        <v>1148</v>
      </c>
      <c r="E734" t="s">
        <v>1262</v>
      </c>
      <c r="F734" t="s">
        <v>1150</v>
      </c>
      <c r="G734" t="s">
        <v>1172</v>
      </c>
      <c r="H734" t="s">
        <v>1188</v>
      </c>
      <c r="I734" t="s">
        <v>1189</v>
      </c>
      <c r="J734" t="s">
        <v>1190</v>
      </c>
      <c r="K734">
        <v>1</v>
      </c>
      <c r="L734">
        <v>1431</v>
      </c>
      <c r="M734">
        <v>0</v>
      </c>
      <c r="N734">
        <v>1431</v>
      </c>
      <c r="O734">
        <v>0.12</v>
      </c>
      <c r="P734">
        <v>1431</v>
      </c>
      <c r="Q734">
        <v>171.72</v>
      </c>
      <c r="R734">
        <v>1602.72</v>
      </c>
      <c r="S734" t="s">
        <v>1365</v>
      </c>
      <c r="T734" t="s">
        <v>1361</v>
      </c>
      <c r="U734" s="4">
        <v>45301</v>
      </c>
      <c r="V734" s="4">
        <v>45306</v>
      </c>
      <c r="W734" t="b">
        <v>0</v>
      </c>
      <c r="Z734" t="s">
        <v>1396</v>
      </c>
      <c r="AA734" t="s">
        <v>1400</v>
      </c>
      <c r="AB734" t="s">
        <v>1391</v>
      </c>
    </row>
    <row r="735" spans="1:28" x14ac:dyDescent="0.3">
      <c r="A735" t="s">
        <v>284</v>
      </c>
      <c r="B735" s="6">
        <v>45694.448611111111</v>
      </c>
      <c r="C735" t="s">
        <v>42</v>
      </c>
      <c r="D735" t="s">
        <v>1148</v>
      </c>
      <c r="E735" t="s">
        <v>1217</v>
      </c>
      <c r="F735" t="s">
        <v>1150</v>
      </c>
      <c r="G735" t="s">
        <v>1172</v>
      </c>
      <c r="H735" t="s">
        <v>1173</v>
      </c>
      <c r="I735" t="s">
        <v>1222</v>
      </c>
      <c r="J735" t="s">
        <v>1223</v>
      </c>
      <c r="K735">
        <v>3</v>
      </c>
      <c r="L735">
        <v>2914</v>
      </c>
      <c r="M735">
        <v>0.1</v>
      </c>
      <c r="N735">
        <v>2622.6</v>
      </c>
      <c r="O735">
        <v>0.18</v>
      </c>
      <c r="P735">
        <v>7867.7999999999993</v>
      </c>
      <c r="Q735">
        <v>1416.204</v>
      </c>
      <c r="R735">
        <v>9284.003999999999</v>
      </c>
      <c r="S735" t="s">
        <v>1363</v>
      </c>
      <c r="T735" t="s">
        <v>1361</v>
      </c>
      <c r="U735" s="4">
        <v>45696</v>
      </c>
      <c r="V735" s="4">
        <v>45701</v>
      </c>
      <c r="W735" t="b">
        <v>0</v>
      </c>
      <c r="Z735" t="s">
        <v>1398</v>
      </c>
      <c r="AA735" t="s">
        <v>1394</v>
      </c>
      <c r="AB735" t="s">
        <v>1378</v>
      </c>
    </row>
    <row r="736" spans="1:28" x14ac:dyDescent="0.3">
      <c r="A736" t="s">
        <v>289</v>
      </c>
      <c r="B736" s="6">
        <v>45547.571527777778</v>
      </c>
      <c r="C736" t="s">
        <v>290</v>
      </c>
      <c r="D736" t="s">
        <v>1141</v>
      </c>
      <c r="E736" t="s">
        <v>1227</v>
      </c>
      <c r="F736" t="s">
        <v>1150</v>
      </c>
      <c r="G736" t="s">
        <v>1177</v>
      </c>
      <c r="H736" t="s">
        <v>1309</v>
      </c>
      <c r="I736" t="s">
        <v>1328</v>
      </c>
      <c r="J736" t="s">
        <v>1329</v>
      </c>
      <c r="K736">
        <v>1</v>
      </c>
      <c r="L736">
        <v>2284</v>
      </c>
      <c r="M736">
        <v>0.1</v>
      </c>
      <c r="N736">
        <v>2055.6</v>
      </c>
      <c r="O736">
        <v>0.12</v>
      </c>
      <c r="P736">
        <v>2055.6</v>
      </c>
      <c r="Q736">
        <v>246.672</v>
      </c>
      <c r="R736">
        <v>2302.2719999999999</v>
      </c>
      <c r="S736" t="s">
        <v>1363</v>
      </c>
      <c r="T736" t="s">
        <v>1361</v>
      </c>
      <c r="U736" s="4">
        <v>45549</v>
      </c>
      <c r="V736" s="4">
        <v>45551</v>
      </c>
      <c r="W736" t="b">
        <v>0</v>
      </c>
      <c r="Z736" t="s">
        <v>1392</v>
      </c>
      <c r="AA736" t="s">
        <v>1397</v>
      </c>
      <c r="AB736" t="s">
        <v>1391</v>
      </c>
    </row>
    <row r="737" spans="1:28" x14ac:dyDescent="0.3">
      <c r="A737" t="s">
        <v>293</v>
      </c>
      <c r="B737" s="6">
        <v>45725.5</v>
      </c>
      <c r="C737" t="s">
        <v>91</v>
      </c>
      <c r="D737" t="s">
        <v>1182</v>
      </c>
      <c r="E737" t="s">
        <v>1207</v>
      </c>
      <c r="F737" t="s">
        <v>1150</v>
      </c>
      <c r="G737" t="s">
        <v>1177</v>
      </c>
      <c r="H737" t="s">
        <v>1309</v>
      </c>
      <c r="I737" t="s">
        <v>1328</v>
      </c>
      <c r="J737" t="s">
        <v>1329</v>
      </c>
      <c r="K737">
        <v>1</v>
      </c>
      <c r="L737">
        <v>719</v>
      </c>
      <c r="M737">
        <v>0.05</v>
      </c>
      <c r="N737">
        <v>683.05</v>
      </c>
      <c r="O737">
        <v>0.05</v>
      </c>
      <c r="P737">
        <v>683.05</v>
      </c>
      <c r="Q737">
        <v>34.152500000000003</v>
      </c>
      <c r="R737">
        <v>717.20249999999999</v>
      </c>
      <c r="S737" t="s">
        <v>1362</v>
      </c>
      <c r="T737" t="s">
        <v>1361</v>
      </c>
      <c r="U737" s="4">
        <v>45727</v>
      </c>
      <c r="V737" s="4">
        <v>45731</v>
      </c>
      <c r="W737" t="b">
        <v>0</v>
      </c>
      <c r="Z737" t="s">
        <v>1382</v>
      </c>
      <c r="AA737" t="s">
        <v>1397</v>
      </c>
      <c r="AB737" t="s">
        <v>1395</v>
      </c>
    </row>
    <row r="738" spans="1:28" x14ac:dyDescent="0.3">
      <c r="A738" t="s">
        <v>297</v>
      </c>
      <c r="B738" s="6">
        <v>45473.523611111108</v>
      </c>
      <c r="C738" t="s">
        <v>130</v>
      </c>
      <c r="D738" t="s">
        <v>1153</v>
      </c>
      <c r="E738" t="s">
        <v>1176</v>
      </c>
      <c r="F738" t="s">
        <v>1150</v>
      </c>
      <c r="G738" t="s">
        <v>1163</v>
      </c>
      <c r="H738" t="s">
        <v>1266</v>
      </c>
      <c r="I738" t="s">
        <v>1330</v>
      </c>
      <c r="J738" t="s">
        <v>1331</v>
      </c>
      <c r="K738">
        <v>3</v>
      </c>
      <c r="L738">
        <v>548</v>
      </c>
      <c r="M738">
        <v>0.1</v>
      </c>
      <c r="N738">
        <v>493.2</v>
      </c>
      <c r="O738">
        <v>0.18</v>
      </c>
      <c r="P738">
        <v>1479.6</v>
      </c>
      <c r="Q738">
        <v>266.32799999999997</v>
      </c>
      <c r="R738">
        <v>1745.9280000000001</v>
      </c>
      <c r="S738" t="s">
        <v>1363</v>
      </c>
      <c r="T738" t="s">
        <v>1364</v>
      </c>
      <c r="U738" s="4">
        <v>45475</v>
      </c>
      <c r="W738" t="b">
        <v>1</v>
      </c>
      <c r="X738" s="4">
        <v>45480</v>
      </c>
      <c r="Y738" s="4">
        <v>45480</v>
      </c>
      <c r="Z738" t="s">
        <v>1376</v>
      </c>
      <c r="AA738" t="s">
        <v>1377</v>
      </c>
      <c r="AB738" t="s">
        <v>1393</v>
      </c>
    </row>
    <row r="739" spans="1:28" x14ac:dyDescent="0.3">
      <c r="A739" t="s">
        <v>298</v>
      </c>
      <c r="B739" s="6">
        <v>45459.491666666669</v>
      </c>
      <c r="C739" t="s">
        <v>102</v>
      </c>
      <c r="D739" t="s">
        <v>1141</v>
      </c>
      <c r="E739" t="s">
        <v>1239</v>
      </c>
      <c r="F739" t="s">
        <v>1150</v>
      </c>
      <c r="G739" t="s">
        <v>1172</v>
      </c>
      <c r="H739" t="s">
        <v>1188</v>
      </c>
      <c r="I739" t="s">
        <v>1189</v>
      </c>
      <c r="J739" t="s">
        <v>1190</v>
      </c>
      <c r="K739">
        <v>3</v>
      </c>
      <c r="L739">
        <v>4555</v>
      </c>
      <c r="M739">
        <v>0</v>
      </c>
      <c r="N739">
        <v>4555</v>
      </c>
      <c r="O739">
        <v>0.12</v>
      </c>
      <c r="P739">
        <v>13665</v>
      </c>
      <c r="Q739">
        <v>1639.8</v>
      </c>
      <c r="R739">
        <v>15304.8</v>
      </c>
      <c r="S739" t="s">
        <v>1360</v>
      </c>
      <c r="T739" t="s">
        <v>1364</v>
      </c>
      <c r="U739" s="4">
        <v>45461</v>
      </c>
      <c r="W739" t="b">
        <v>1</v>
      </c>
      <c r="X739" s="4">
        <v>45473</v>
      </c>
      <c r="Y739" s="4">
        <v>45473</v>
      </c>
      <c r="Z739" t="s">
        <v>1390</v>
      </c>
      <c r="AA739" t="s">
        <v>1397</v>
      </c>
      <c r="AB739" t="s">
        <v>1395</v>
      </c>
    </row>
    <row r="740" spans="1:28" x14ac:dyDescent="0.3">
      <c r="A740" t="s">
        <v>299</v>
      </c>
      <c r="B740" s="6">
        <v>45559.563888888886</v>
      </c>
      <c r="C740" t="s">
        <v>300</v>
      </c>
      <c r="D740" t="s">
        <v>1157</v>
      </c>
      <c r="E740" t="s">
        <v>1201</v>
      </c>
      <c r="F740" t="s">
        <v>1150</v>
      </c>
      <c r="G740" t="s">
        <v>1172</v>
      </c>
      <c r="H740" t="s">
        <v>1204</v>
      </c>
      <c r="I740" t="s">
        <v>1297</v>
      </c>
      <c r="J740" t="s">
        <v>1298</v>
      </c>
      <c r="K740">
        <v>3</v>
      </c>
      <c r="L740">
        <v>6110</v>
      </c>
      <c r="M740">
        <v>0.1</v>
      </c>
      <c r="N740">
        <v>5499</v>
      </c>
      <c r="O740">
        <v>0.18</v>
      </c>
      <c r="P740">
        <v>16497</v>
      </c>
      <c r="Q740">
        <v>2969.46</v>
      </c>
      <c r="R740">
        <v>19466.46</v>
      </c>
      <c r="S740" t="s">
        <v>1366</v>
      </c>
      <c r="T740" t="s">
        <v>1361</v>
      </c>
      <c r="U740" s="4">
        <v>45559</v>
      </c>
      <c r="V740" s="4">
        <v>45561</v>
      </c>
      <c r="W740" t="b">
        <v>0</v>
      </c>
      <c r="Z740" t="s">
        <v>1398</v>
      </c>
      <c r="AA740" t="s">
        <v>1394</v>
      </c>
      <c r="AB740" t="s">
        <v>1378</v>
      </c>
    </row>
    <row r="741" spans="1:28" x14ac:dyDescent="0.3">
      <c r="A741" t="s">
        <v>301</v>
      </c>
      <c r="B741" s="6">
        <v>45740.671527777777</v>
      </c>
      <c r="C741" t="s">
        <v>63</v>
      </c>
      <c r="D741" t="s">
        <v>1141</v>
      </c>
      <c r="E741" t="s">
        <v>1239</v>
      </c>
      <c r="F741" t="s">
        <v>1150</v>
      </c>
      <c r="G741" t="s">
        <v>1144</v>
      </c>
      <c r="H741" t="s">
        <v>1214</v>
      </c>
      <c r="I741" t="s">
        <v>1320</v>
      </c>
      <c r="J741" t="s">
        <v>1321</v>
      </c>
      <c r="K741">
        <v>1</v>
      </c>
      <c r="L741">
        <v>7181</v>
      </c>
      <c r="M741">
        <v>0.05</v>
      </c>
      <c r="N741">
        <v>6821.95</v>
      </c>
      <c r="O741">
        <v>0.05</v>
      </c>
      <c r="P741">
        <v>6821.95</v>
      </c>
      <c r="Q741">
        <v>341.09750000000003</v>
      </c>
      <c r="R741">
        <v>7163.0474999999997</v>
      </c>
      <c r="S741" t="s">
        <v>1363</v>
      </c>
      <c r="T741" t="s">
        <v>1361</v>
      </c>
      <c r="U741" s="4">
        <v>45740</v>
      </c>
      <c r="V741" s="4">
        <v>45743</v>
      </c>
      <c r="W741" t="b">
        <v>0</v>
      </c>
      <c r="Z741" t="s">
        <v>1382</v>
      </c>
      <c r="AA741" t="s">
        <v>1394</v>
      </c>
      <c r="AB741" t="s">
        <v>1393</v>
      </c>
    </row>
    <row r="742" spans="1:28" x14ac:dyDescent="0.3">
      <c r="A742" t="s">
        <v>302</v>
      </c>
      <c r="B742" s="6">
        <v>45766.595138888886</v>
      </c>
      <c r="C742" t="s">
        <v>47</v>
      </c>
      <c r="D742" t="s">
        <v>1182</v>
      </c>
      <c r="E742" t="s">
        <v>1183</v>
      </c>
      <c r="F742" t="s">
        <v>1150</v>
      </c>
      <c r="G742" t="s">
        <v>1167</v>
      </c>
      <c r="H742" t="s">
        <v>1211</v>
      </c>
      <c r="I742" t="s">
        <v>1212</v>
      </c>
      <c r="J742" t="s">
        <v>1213</v>
      </c>
      <c r="K742">
        <v>2</v>
      </c>
      <c r="L742">
        <v>17353</v>
      </c>
      <c r="M742">
        <v>0</v>
      </c>
      <c r="N742">
        <v>17353</v>
      </c>
      <c r="O742">
        <v>0.12</v>
      </c>
      <c r="P742">
        <v>34706</v>
      </c>
      <c r="Q742">
        <v>4164.72</v>
      </c>
      <c r="R742">
        <v>38870.720000000001</v>
      </c>
      <c r="S742" t="s">
        <v>1363</v>
      </c>
      <c r="T742" t="s">
        <v>1361</v>
      </c>
      <c r="U742" s="4">
        <v>45766</v>
      </c>
      <c r="V742" s="4">
        <v>45769</v>
      </c>
      <c r="W742" t="b">
        <v>0</v>
      </c>
      <c r="Z742" t="s">
        <v>1379</v>
      </c>
      <c r="AA742" t="s">
        <v>1385</v>
      </c>
      <c r="AB742" t="s">
        <v>1393</v>
      </c>
    </row>
    <row r="743" spans="1:28" x14ac:dyDescent="0.3">
      <c r="A743" t="s">
        <v>310</v>
      </c>
      <c r="B743" s="6">
        <v>45341.521527777775</v>
      </c>
      <c r="C743" t="s">
        <v>77</v>
      </c>
      <c r="D743" t="s">
        <v>1182</v>
      </c>
      <c r="E743" t="s">
        <v>1256</v>
      </c>
      <c r="F743" t="s">
        <v>1150</v>
      </c>
      <c r="G743" t="s">
        <v>1167</v>
      </c>
      <c r="H743" t="s">
        <v>1168</v>
      </c>
      <c r="I743" t="s">
        <v>1314</v>
      </c>
      <c r="J743" t="s">
        <v>1315</v>
      </c>
      <c r="K743">
        <v>2</v>
      </c>
      <c r="L743">
        <v>43933</v>
      </c>
      <c r="M743">
        <v>0</v>
      </c>
      <c r="N743">
        <v>43933</v>
      </c>
      <c r="O743">
        <v>0.12</v>
      </c>
      <c r="P743">
        <v>87866</v>
      </c>
      <c r="Q743">
        <v>10543.92</v>
      </c>
      <c r="R743">
        <v>98409.919999999998</v>
      </c>
      <c r="S743" t="s">
        <v>1360</v>
      </c>
      <c r="T743" t="s">
        <v>1369</v>
      </c>
      <c r="W743" t="b">
        <v>0</v>
      </c>
      <c r="Z743" t="s">
        <v>1386</v>
      </c>
      <c r="AA743" t="s">
        <v>1399</v>
      </c>
      <c r="AB743" t="s">
        <v>1378</v>
      </c>
    </row>
    <row r="744" spans="1:28" x14ac:dyDescent="0.3">
      <c r="A744" t="s">
        <v>311</v>
      </c>
      <c r="B744" s="6">
        <v>45661.645833333336</v>
      </c>
      <c r="C744" t="s">
        <v>117</v>
      </c>
      <c r="D744" t="s">
        <v>1141</v>
      </c>
      <c r="E744" t="s">
        <v>1285</v>
      </c>
      <c r="F744" t="s">
        <v>1150</v>
      </c>
      <c r="G744" t="s">
        <v>1163</v>
      </c>
      <c r="H744" t="s">
        <v>1164</v>
      </c>
      <c r="I744" t="s">
        <v>1165</v>
      </c>
      <c r="J744" t="s">
        <v>1166</v>
      </c>
      <c r="K744">
        <v>1</v>
      </c>
      <c r="L744">
        <v>327</v>
      </c>
      <c r="M744">
        <v>0.1</v>
      </c>
      <c r="N744">
        <v>294.3</v>
      </c>
      <c r="O744">
        <v>0.05</v>
      </c>
      <c r="P744">
        <v>294.3</v>
      </c>
      <c r="Q744">
        <v>14.715</v>
      </c>
      <c r="R744">
        <v>309.01499999999999</v>
      </c>
      <c r="S744" t="s">
        <v>1366</v>
      </c>
      <c r="T744" t="s">
        <v>1361</v>
      </c>
      <c r="U744" s="4">
        <v>45661</v>
      </c>
      <c r="V744" s="4">
        <v>45664</v>
      </c>
      <c r="W744" t="b">
        <v>0</v>
      </c>
      <c r="Z744" t="s">
        <v>1384</v>
      </c>
      <c r="AA744" t="s">
        <v>1385</v>
      </c>
      <c r="AB744" t="s">
        <v>1389</v>
      </c>
    </row>
    <row r="745" spans="1:28" x14ac:dyDescent="0.3">
      <c r="A745" t="s">
        <v>312</v>
      </c>
      <c r="B745" s="6">
        <v>45517.60833333333</v>
      </c>
      <c r="C745" t="s">
        <v>313</v>
      </c>
      <c r="D745" t="s">
        <v>1148</v>
      </c>
      <c r="E745" t="s">
        <v>1149</v>
      </c>
      <c r="F745" t="s">
        <v>1150</v>
      </c>
      <c r="G745" t="s">
        <v>1144</v>
      </c>
      <c r="H745" t="s">
        <v>1145</v>
      </c>
      <c r="I745" t="s">
        <v>1151</v>
      </c>
      <c r="J745" t="s">
        <v>1152</v>
      </c>
      <c r="K745">
        <v>3</v>
      </c>
      <c r="L745">
        <v>10983</v>
      </c>
      <c r="M745">
        <v>0.15</v>
      </c>
      <c r="N745">
        <v>9335.5499999999993</v>
      </c>
      <c r="O745">
        <v>0.12</v>
      </c>
      <c r="P745">
        <v>28006.65</v>
      </c>
      <c r="Q745">
        <v>3360.7979999999998</v>
      </c>
      <c r="R745">
        <v>31367.448</v>
      </c>
      <c r="S745" t="s">
        <v>1360</v>
      </c>
      <c r="T745" t="s">
        <v>1369</v>
      </c>
      <c r="W745" t="b">
        <v>0</v>
      </c>
      <c r="Z745" t="s">
        <v>1390</v>
      </c>
      <c r="AA745" t="s">
        <v>1387</v>
      </c>
      <c r="AB745" t="s">
        <v>1383</v>
      </c>
    </row>
    <row r="746" spans="1:28" x14ac:dyDescent="0.3">
      <c r="A746" t="s">
        <v>319</v>
      </c>
      <c r="B746" s="6">
        <v>45499.459722222222</v>
      </c>
      <c r="C746" t="s">
        <v>320</v>
      </c>
      <c r="D746" t="s">
        <v>1153</v>
      </c>
      <c r="E746" t="s">
        <v>1162</v>
      </c>
      <c r="F746" t="s">
        <v>1150</v>
      </c>
      <c r="G746" t="s">
        <v>1144</v>
      </c>
      <c r="H746" t="s">
        <v>1159</v>
      </c>
      <c r="I746" t="s">
        <v>1334</v>
      </c>
      <c r="J746" t="s">
        <v>1335</v>
      </c>
      <c r="K746">
        <v>3</v>
      </c>
      <c r="L746">
        <v>14364</v>
      </c>
      <c r="M746">
        <v>0</v>
      </c>
      <c r="N746">
        <v>14364</v>
      </c>
      <c r="O746">
        <v>0.12</v>
      </c>
      <c r="P746">
        <v>43092</v>
      </c>
      <c r="Q746">
        <v>5171.04</v>
      </c>
      <c r="R746">
        <v>48263.040000000001</v>
      </c>
      <c r="S746" t="s">
        <v>1362</v>
      </c>
      <c r="T746" t="s">
        <v>1361</v>
      </c>
      <c r="U746" s="4">
        <v>45500</v>
      </c>
      <c r="V746" s="4">
        <v>45503</v>
      </c>
      <c r="W746" t="b">
        <v>0</v>
      </c>
      <c r="Z746" t="s">
        <v>1376</v>
      </c>
      <c r="AA746" t="s">
        <v>1397</v>
      </c>
      <c r="AB746" t="s">
        <v>1395</v>
      </c>
    </row>
    <row r="747" spans="1:28" x14ac:dyDescent="0.3">
      <c r="A747" t="s">
        <v>321</v>
      </c>
      <c r="B747" s="6">
        <v>45598.428472222222</v>
      </c>
      <c r="C747" t="s">
        <v>173</v>
      </c>
      <c r="D747" t="s">
        <v>1153</v>
      </c>
      <c r="E747" t="s">
        <v>1176</v>
      </c>
      <c r="F747" t="s">
        <v>1150</v>
      </c>
      <c r="G747" t="s">
        <v>1167</v>
      </c>
      <c r="H747" t="s">
        <v>1263</v>
      </c>
      <c r="I747" t="s">
        <v>1264</v>
      </c>
      <c r="J747" t="s">
        <v>1265</v>
      </c>
      <c r="K747">
        <v>4</v>
      </c>
      <c r="L747">
        <v>17661</v>
      </c>
      <c r="M747">
        <v>0</v>
      </c>
      <c r="N747">
        <v>17661</v>
      </c>
      <c r="O747">
        <v>0.12</v>
      </c>
      <c r="P747">
        <v>70644</v>
      </c>
      <c r="Q747">
        <v>8477.2799999999988</v>
      </c>
      <c r="R747">
        <v>79121.279999999999</v>
      </c>
      <c r="S747" t="s">
        <v>1363</v>
      </c>
      <c r="T747" t="s">
        <v>1361</v>
      </c>
      <c r="U747" s="4">
        <v>45598</v>
      </c>
      <c r="V747" s="4">
        <v>45601</v>
      </c>
      <c r="W747" t="b">
        <v>0</v>
      </c>
      <c r="Z747" t="s">
        <v>1386</v>
      </c>
      <c r="AA747" t="s">
        <v>1377</v>
      </c>
      <c r="AB747" t="s">
        <v>1389</v>
      </c>
    </row>
    <row r="748" spans="1:28" x14ac:dyDescent="0.3">
      <c r="A748" t="s">
        <v>323</v>
      </c>
      <c r="B748" s="6">
        <v>45437.461805555555</v>
      </c>
      <c r="C748" t="s">
        <v>148</v>
      </c>
      <c r="D748" t="s">
        <v>1153</v>
      </c>
      <c r="E748" t="s">
        <v>1162</v>
      </c>
      <c r="F748" t="s">
        <v>1150</v>
      </c>
      <c r="G748" t="s">
        <v>1163</v>
      </c>
      <c r="H748" t="s">
        <v>1266</v>
      </c>
      <c r="I748" t="s">
        <v>1267</v>
      </c>
      <c r="J748" t="s">
        <v>1268</v>
      </c>
      <c r="K748">
        <v>2</v>
      </c>
      <c r="L748">
        <v>493</v>
      </c>
      <c r="M748">
        <v>0</v>
      </c>
      <c r="N748">
        <v>493</v>
      </c>
      <c r="O748">
        <v>0.12</v>
      </c>
      <c r="P748">
        <v>986</v>
      </c>
      <c r="Q748">
        <v>118.32</v>
      </c>
      <c r="R748">
        <v>1104.32</v>
      </c>
      <c r="S748" t="s">
        <v>1360</v>
      </c>
      <c r="T748" t="s">
        <v>1361</v>
      </c>
      <c r="U748" s="4">
        <v>45437</v>
      </c>
      <c r="V748" s="4">
        <v>45439</v>
      </c>
      <c r="W748" t="b">
        <v>0</v>
      </c>
      <c r="Z748" t="s">
        <v>1390</v>
      </c>
      <c r="AA748" t="s">
        <v>1397</v>
      </c>
      <c r="AB748" t="s">
        <v>1383</v>
      </c>
    </row>
    <row r="749" spans="1:28" x14ac:dyDescent="0.3">
      <c r="A749" t="s">
        <v>324</v>
      </c>
      <c r="B749" s="6">
        <v>45660.522222222222</v>
      </c>
      <c r="C749" t="s">
        <v>325</v>
      </c>
      <c r="D749" t="s">
        <v>1153</v>
      </c>
      <c r="E749" t="s">
        <v>1154</v>
      </c>
      <c r="F749" t="s">
        <v>1150</v>
      </c>
      <c r="G749" t="s">
        <v>1144</v>
      </c>
      <c r="H749" t="s">
        <v>1145</v>
      </c>
      <c r="I749" t="s">
        <v>1146</v>
      </c>
      <c r="J749" t="s">
        <v>1147</v>
      </c>
      <c r="K749">
        <v>3</v>
      </c>
      <c r="L749">
        <v>3413</v>
      </c>
      <c r="M749">
        <v>0</v>
      </c>
      <c r="N749">
        <v>3413</v>
      </c>
      <c r="O749">
        <v>0.12</v>
      </c>
      <c r="P749">
        <v>10239</v>
      </c>
      <c r="Q749">
        <v>1228.68</v>
      </c>
      <c r="R749">
        <v>11467.68</v>
      </c>
      <c r="S749" t="s">
        <v>1360</v>
      </c>
      <c r="T749" t="s">
        <v>1361</v>
      </c>
      <c r="U749" s="4">
        <v>45660</v>
      </c>
      <c r="V749" s="4">
        <v>45662</v>
      </c>
      <c r="W749" t="b">
        <v>0</v>
      </c>
      <c r="Z749" t="s">
        <v>1396</v>
      </c>
      <c r="AA749" t="s">
        <v>1387</v>
      </c>
      <c r="AB749" t="s">
        <v>1391</v>
      </c>
    </row>
    <row r="750" spans="1:28" x14ac:dyDescent="0.3">
      <c r="A750" t="s">
        <v>329</v>
      </c>
      <c r="B750" s="6">
        <v>45492.585416666669</v>
      </c>
      <c r="C750" t="s">
        <v>330</v>
      </c>
      <c r="D750" t="s">
        <v>1153</v>
      </c>
      <c r="E750" t="s">
        <v>1162</v>
      </c>
      <c r="F750" t="s">
        <v>1150</v>
      </c>
      <c r="G750" t="s">
        <v>1167</v>
      </c>
      <c r="H750" t="s">
        <v>1168</v>
      </c>
      <c r="I750" t="s">
        <v>1169</v>
      </c>
      <c r="J750" t="s">
        <v>1170</v>
      </c>
      <c r="K750">
        <v>2</v>
      </c>
      <c r="L750">
        <v>48916</v>
      </c>
      <c r="M750">
        <v>0.05</v>
      </c>
      <c r="N750">
        <v>46470.2</v>
      </c>
      <c r="O750">
        <v>0.18</v>
      </c>
      <c r="P750">
        <v>92940.4</v>
      </c>
      <c r="Q750">
        <v>16729.272000000001</v>
      </c>
      <c r="R750">
        <v>109669.67200000001</v>
      </c>
      <c r="S750" t="s">
        <v>1363</v>
      </c>
      <c r="T750" t="s">
        <v>1361</v>
      </c>
      <c r="U750" s="4">
        <v>45494</v>
      </c>
      <c r="V750" s="4">
        <v>45496</v>
      </c>
      <c r="W750" t="b">
        <v>0</v>
      </c>
      <c r="Z750" t="s">
        <v>1388</v>
      </c>
      <c r="AA750" t="s">
        <v>1397</v>
      </c>
      <c r="AB750" t="s">
        <v>1395</v>
      </c>
    </row>
    <row r="751" spans="1:28" x14ac:dyDescent="0.3">
      <c r="A751" t="s">
        <v>331</v>
      </c>
      <c r="B751" s="6">
        <v>45694.472916666666</v>
      </c>
      <c r="C751" t="s">
        <v>259</v>
      </c>
      <c r="D751" t="s">
        <v>1141</v>
      </c>
      <c r="E751" t="s">
        <v>1227</v>
      </c>
      <c r="F751" t="s">
        <v>1150</v>
      </c>
      <c r="G751" t="s">
        <v>1172</v>
      </c>
      <c r="H751" t="s">
        <v>1204</v>
      </c>
      <c r="I751" t="s">
        <v>1234</v>
      </c>
      <c r="J751" t="s">
        <v>1235</v>
      </c>
      <c r="K751">
        <v>3</v>
      </c>
      <c r="L751">
        <v>3380</v>
      </c>
      <c r="M751">
        <v>0</v>
      </c>
      <c r="N751">
        <v>3380</v>
      </c>
      <c r="O751">
        <v>0.18</v>
      </c>
      <c r="P751">
        <v>10140</v>
      </c>
      <c r="Q751">
        <v>1825.2</v>
      </c>
      <c r="R751">
        <v>11965.2</v>
      </c>
      <c r="S751" t="s">
        <v>1366</v>
      </c>
      <c r="T751" t="s">
        <v>1361</v>
      </c>
      <c r="U751" s="4">
        <v>45695</v>
      </c>
      <c r="V751" s="4">
        <v>45696</v>
      </c>
      <c r="W751" t="b">
        <v>0</v>
      </c>
      <c r="Z751" t="s">
        <v>1386</v>
      </c>
      <c r="AA751" t="s">
        <v>1387</v>
      </c>
      <c r="AB751" t="s">
        <v>1378</v>
      </c>
    </row>
    <row r="752" spans="1:28" x14ac:dyDescent="0.3">
      <c r="A752" t="s">
        <v>333</v>
      </c>
      <c r="B752" s="6">
        <v>45393.356249999997</v>
      </c>
      <c r="C752" t="s">
        <v>233</v>
      </c>
      <c r="D752" t="s">
        <v>1153</v>
      </c>
      <c r="E752" t="s">
        <v>1154</v>
      </c>
      <c r="F752" t="s">
        <v>1150</v>
      </c>
      <c r="G752" t="s">
        <v>1167</v>
      </c>
      <c r="H752" t="s">
        <v>1168</v>
      </c>
      <c r="I752" t="s">
        <v>1314</v>
      </c>
      <c r="J752" t="s">
        <v>1315</v>
      </c>
      <c r="K752">
        <v>3</v>
      </c>
      <c r="L752">
        <v>6367</v>
      </c>
      <c r="M752">
        <v>0.1</v>
      </c>
      <c r="N752">
        <v>5730.3</v>
      </c>
      <c r="O752">
        <v>0.05</v>
      </c>
      <c r="P752">
        <v>17190.900000000001</v>
      </c>
      <c r="Q752">
        <v>859.54500000000007</v>
      </c>
      <c r="R752">
        <v>18050.445</v>
      </c>
      <c r="S752" t="s">
        <v>1360</v>
      </c>
      <c r="T752" t="s">
        <v>1361</v>
      </c>
      <c r="U752" s="4">
        <v>45395</v>
      </c>
      <c r="V752" s="4">
        <v>45397</v>
      </c>
      <c r="W752" t="b">
        <v>0</v>
      </c>
      <c r="Z752" t="s">
        <v>1388</v>
      </c>
      <c r="AA752" t="s">
        <v>1377</v>
      </c>
      <c r="AB752" t="s">
        <v>1393</v>
      </c>
    </row>
    <row r="753" spans="1:28" x14ac:dyDescent="0.3">
      <c r="A753" t="s">
        <v>335</v>
      </c>
      <c r="B753" s="6">
        <v>45699.456250000003</v>
      </c>
      <c r="C753" t="s">
        <v>10</v>
      </c>
      <c r="D753" t="s">
        <v>1157</v>
      </c>
      <c r="E753" t="s">
        <v>1158</v>
      </c>
      <c r="F753" t="s">
        <v>1150</v>
      </c>
      <c r="G753" t="s">
        <v>1167</v>
      </c>
      <c r="H753" t="s">
        <v>1288</v>
      </c>
      <c r="I753" t="s">
        <v>1336</v>
      </c>
      <c r="J753" t="s">
        <v>1337</v>
      </c>
      <c r="K753">
        <v>1</v>
      </c>
      <c r="L753">
        <v>50726</v>
      </c>
      <c r="M753">
        <v>0.1</v>
      </c>
      <c r="N753">
        <v>45653.4</v>
      </c>
      <c r="O753">
        <v>0.05</v>
      </c>
      <c r="P753">
        <v>45653.4</v>
      </c>
      <c r="Q753">
        <v>2282.67</v>
      </c>
      <c r="R753">
        <v>47936.07</v>
      </c>
      <c r="S753" t="s">
        <v>1365</v>
      </c>
      <c r="T753" t="s">
        <v>1361</v>
      </c>
      <c r="U753" s="4">
        <v>45701</v>
      </c>
      <c r="V753" s="4">
        <v>45704</v>
      </c>
      <c r="W753" t="b">
        <v>0</v>
      </c>
      <c r="Z753" t="s">
        <v>1390</v>
      </c>
      <c r="AA753" t="s">
        <v>1394</v>
      </c>
      <c r="AB753" t="s">
        <v>1395</v>
      </c>
    </row>
    <row r="754" spans="1:28" x14ac:dyDescent="0.3">
      <c r="A754" t="s">
        <v>342</v>
      </c>
      <c r="B754" s="6">
        <v>45391.572916666664</v>
      </c>
      <c r="C754" t="s">
        <v>343</v>
      </c>
      <c r="D754" t="s">
        <v>1182</v>
      </c>
      <c r="E754" t="s">
        <v>1207</v>
      </c>
      <c r="F754" t="s">
        <v>1150</v>
      </c>
      <c r="G754" t="s">
        <v>1167</v>
      </c>
      <c r="H754" t="s">
        <v>1168</v>
      </c>
      <c r="I754" t="s">
        <v>1169</v>
      </c>
      <c r="J754" t="s">
        <v>1170</v>
      </c>
      <c r="K754">
        <v>2</v>
      </c>
      <c r="L754">
        <v>11937</v>
      </c>
      <c r="M754">
        <v>0</v>
      </c>
      <c r="N754">
        <v>11937</v>
      </c>
      <c r="O754">
        <v>0.18</v>
      </c>
      <c r="P754">
        <v>23874</v>
      </c>
      <c r="Q754">
        <v>4297.32</v>
      </c>
      <c r="R754">
        <v>28171.32</v>
      </c>
      <c r="S754" t="s">
        <v>1360</v>
      </c>
      <c r="T754" t="s">
        <v>1361</v>
      </c>
      <c r="U754" s="4">
        <v>45391</v>
      </c>
      <c r="V754" s="4">
        <v>45392</v>
      </c>
      <c r="W754" t="b">
        <v>0</v>
      </c>
      <c r="Z754" t="s">
        <v>1390</v>
      </c>
      <c r="AA754" t="s">
        <v>1397</v>
      </c>
      <c r="AB754" t="s">
        <v>1383</v>
      </c>
    </row>
    <row r="755" spans="1:28" x14ac:dyDescent="0.3">
      <c r="A755" t="s">
        <v>344</v>
      </c>
      <c r="B755" s="6">
        <v>45671.612500000003</v>
      </c>
      <c r="C755" t="s">
        <v>183</v>
      </c>
      <c r="D755" t="s">
        <v>1182</v>
      </c>
      <c r="E755" t="s">
        <v>1256</v>
      </c>
      <c r="F755" t="s">
        <v>1150</v>
      </c>
      <c r="G755" t="s">
        <v>1167</v>
      </c>
      <c r="H755" t="s">
        <v>1263</v>
      </c>
      <c r="I755" t="s">
        <v>1274</v>
      </c>
      <c r="J755" t="s">
        <v>1275</v>
      </c>
      <c r="K755">
        <v>2</v>
      </c>
      <c r="L755">
        <v>13754</v>
      </c>
      <c r="M755">
        <v>0.1</v>
      </c>
      <c r="N755">
        <v>12378.6</v>
      </c>
      <c r="O755">
        <v>0.18</v>
      </c>
      <c r="P755">
        <v>24757.200000000001</v>
      </c>
      <c r="Q755">
        <v>4456.2960000000003</v>
      </c>
      <c r="R755">
        <v>29213.495999999999</v>
      </c>
      <c r="S755" t="s">
        <v>1365</v>
      </c>
      <c r="T755" t="s">
        <v>1361</v>
      </c>
      <c r="U755" s="4">
        <v>45673</v>
      </c>
      <c r="V755" s="4">
        <v>45677</v>
      </c>
      <c r="W755" t="b">
        <v>0</v>
      </c>
      <c r="Z755" t="s">
        <v>1384</v>
      </c>
      <c r="AA755" t="s">
        <v>1385</v>
      </c>
      <c r="AB755" t="s">
        <v>1389</v>
      </c>
    </row>
    <row r="756" spans="1:28" x14ac:dyDescent="0.3">
      <c r="A756" t="s">
        <v>351</v>
      </c>
      <c r="B756" s="6">
        <v>45384.45208333333</v>
      </c>
      <c r="C756" t="s">
        <v>124</v>
      </c>
      <c r="D756" t="s">
        <v>1153</v>
      </c>
      <c r="E756" t="s">
        <v>1191</v>
      </c>
      <c r="F756" t="s">
        <v>1150</v>
      </c>
      <c r="G756" t="s">
        <v>1167</v>
      </c>
      <c r="H756" t="s">
        <v>1208</v>
      </c>
      <c r="I756" t="s">
        <v>1291</v>
      </c>
      <c r="J756" t="s">
        <v>1292</v>
      </c>
      <c r="K756">
        <v>2</v>
      </c>
      <c r="L756">
        <v>56597</v>
      </c>
      <c r="M756">
        <v>0</v>
      </c>
      <c r="N756">
        <v>56597</v>
      </c>
      <c r="O756">
        <v>0.18</v>
      </c>
      <c r="P756">
        <v>113194</v>
      </c>
      <c r="Q756">
        <v>20374.919999999998</v>
      </c>
      <c r="R756">
        <v>133568.92000000001</v>
      </c>
      <c r="S756" t="s">
        <v>1360</v>
      </c>
      <c r="T756" t="s">
        <v>1361</v>
      </c>
      <c r="U756" s="4">
        <v>45384</v>
      </c>
      <c r="V756" s="4">
        <v>45385</v>
      </c>
      <c r="W756" t="b">
        <v>0</v>
      </c>
      <c r="Z756" t="s">
        <v>1376</v>
      </c>
      <c r="AA756" t="s">
        <v>1387</v>
      </c>
      <c r="AB756" t="s">
        <v>1383</v>
      </c>
    </row>
    <row r="757" spans="1:28" x14ac:dyDescent="0.3">
      <c r="A757" t="s">
        <v>352</v>
      </c>
      <c r="B757" s="6">
        <v>45429.520833333336</v>
      </c>
      <c r="C757" t="s">
        <v>300</v>
      </c>
      <c r="D757" t="s">
        <v>1157</v>
      </c>
      <c r="E757" t="s">
        <v>1201</v>
      </c>
      <c r="F757" t="s">
        <v>1150</v>
      </c>
      <c r="G757" t="s">
        <v>1177</v>
      </c>
      <c r="H757" t="s">
        <v>1195</v>
      </c>
      <c r="I757" t="s">
        <v>1202</v>
      </c>
      <c r="J757" t="s">
        <v>1203</v>
      </c>
      <c r="K757">
        <v>1</v>
      </c>
      <c r="L757">
        <v>1306</v>
      </c>
      <c r="M757">
        <v>0</v>
      </c>
      <c r="N757">
        <v>1306</v>
      </c>
      <c r="O757">
        <v>0.12</v>
      </c>
      <c r="P757">
        <v>1306</v>
      </c>
      <c r="Q757">
        <v>156.72</v>
      </c>
      <c r="R757">
        <v>1462.72</v>
      </c>
      <c r="S757" t="s">
        <v>1366</v>
      </c>
      <c r="T757" t="s">
        <v>1361</v>
      </c>
      <c r="U757" s="4">
        <v>45429</v>
      </c>
      <c r="V757" s="4">
        <v>45430</v>
      </c>
      <c r="W757" t="b">
        <v>0</v>
      </c>
      <c r="Z757" t="s">
        <v>1398</v>
      </c>
      <c r="AA757" t="s">
        <v>1385</v>
      </c>
      <c r="AB757" t="s">
        <v>1383</v>
      </c>
    </row>
    <row r="758" spans="1:28" x14ac:dyDescent="0.3">
      <c r="A758" t="s">
        <v>353</v>
      </c>
      <c r="B758" s="6">
        <v>45391.580555555556</v>
      </c>
      <c r="C758" t="s">
        <v>354</v>
      </c>
      <c r="D758" t="s">
        <v>1148</v>
      </c>
      <c r="E758" t="s">
        <v>1217</v>
      </c>
      <c r="F758" t="s">
        <v>1150</v>
      </c>
      <c r="G758" t="s">
        <v>1144</v>
      </c>
      <c r="H758" t="s">
        <v>1145</v>
      </c>
      <c r="I758" t="s">
        <v>1146</v>
      </c>
      <c r="J758" t="s">
        <v>1147</v>
      </c>
      <c r="K758">
        <v>1</v>
      </c>
      <c r="L758">
        <v>2044</v>
      </c>
      <c r="M758">
        <v>0</v>
      </c>
      <c r="N758">
        <v>2044</v>
      </c>
      <c r="O758">
        <v>0.12</v>
      </c>
      <c r="P758">
        <v>2044</v>
      </c>
      <c r="Q758">
        <v>245.28</v>
      </c>
      <c r="R758">
        <v>2289.2800000000002</v>
      </c>
      <c r="S758" t="s">
        <v>1362</v>
      </c>
      <c r="T758" t="s">
        <v>1361</v>
      </c>
      <c r="U758" s="4">
        <v>45391</v>
      </c>
      <c r="V758" s="4">
        <v>45394</v>
      </c>
      <c r="W758" t="b">
        <v>0</v>
      </c>
      <c r="Z758" t="s">
        <v>1392</v>
      </c>
      <c r="AA758" t="s">
        <v>1385</v>
      </c>
      <c r="AB758" t="s">
        <v>1393</v>
      </c>
    </row>
    <row r="759" spans="1:28" x14ac:dyDescent="0.3">
      <c r="A759" t="s">
        <v>355</v>
      </c>
      <c r="B759" s="6">
        <v>45621.581250000003</v>
      </c>
      <c r="C759" t="s">
        <v>325</v>
      </c>
      <c r="D759" t="s">
        <v>1153</v>
      </c>
      <c r="E759" t="s">
        <v>1154</v>
      </c>
      <c r="F759" t="s">
        <v>1150</v>
      </c>
      <c r="G759" t="s">
        <v>1144</v>
      </c>
      <c r="H759" t="s">
        <v>1159</v>
      </c>
      <c r="I759" t="s">
        <v>1334</v>
      </c>
      <c r="J759" t="s">
        <v>1335</v>
      </c>
      <c r="K759">
        <v>1</v>
      </c>
      <c r="L759">
        <v>1339</v>
      </c>
      <c r="M759">
        <v>0.05</v>
      </c>
      <c r="N759">
        <v>1272.05</v>
      </c>
      <c r="O759">
        <v>0.12</v>
      </c>
      <c r="P759">
        <v>1272.05</v>
      </c>
      <c r="Q759">
        <v>152.64599999999999</v>
      </c>
      <c r="R759">
        <v>1424.6959999999999</v>
      </c>
      <c r="S759" t="s">
        <v>1360</v>
      </c>
      <c r="T759" t="s">
        <v>1361</v>
      </c>
      <c r="U759" s="4">
        <v>45623</v>
      </c>
      <c r="V759" s="4">
        <v>45624</v>
      </c>
      <c r="W759" t="b">
        <v>0</v>
      </c>
      <c r="Z759" t="s">
        <v>1392</v>
      </c>
      <c r="AA759" t="s">
        <v>1377</v>
      </c>
      <c r="AB759" t="s">
        <v>1383</v>
      </c>
    </row>
    <row r="760" spans="1:28" x14ac:dyDescent="0.3">
      <c r="A760" t="s">
        <v>358</v>
      </c>
      <c r="B760" s="6">
        <v>45439.455555555556</v>
      </c>
      <c r="C760" t="s">
        <v>115</v>
      </c>
      <c r="D760" t="s">
        <v>1157</v>
      </c>
      <c r="E760" t="s">
        <v>1249</v>
      </c>
      <c r="F760" t="s">
        <v>1150</v>
      </c>
      <c r="G760" t="s">
        <v>1172</v>
      </c>
      <c r="H760" t="s">
        <v>1229</v>
      </c>
      <c r="I760" t="s">
        <v>1230</v>
      </c>
      <c r="J760" t="s">
        <v>1231</v>
      </c>
      <c r="K760">
        <v>3</v>
      </c>
      <c r="L760">
        <v>1079</v>
      </c>
      <c r="M760">
        <v>0.1</v>
      </c>
      <c r="N760">
        <v>971.1</v>
      </c>
      <c r="O760">
        <v>0.12</v>
      </c>
      <c r="P760">
        <v>2913.3</v>
      </c>
      <c r="Q760">
        <v>349.596</v>
      </c>
      <c r="R760">
        <v>3262.8960000000002</v>
      </c>
      <c r="S760" t="s">
        <v>1363</v>
      </c>
      <c r="T760" t="s">
        <v>1361</v>
      </c>
      <c r="U760" s="4">
        <v>45440</v>
      </c>
      <c r="V760" s="4">
        <v>45442</v>
      </c>
      <c r="W760" t="b">
        <v>0</v>
      </c>
      <c r="Z760" t="s">
        <v>1379</v>
      </c>
      <c r="AA760" t="s">
        <v>1400</v>
      </c>
      <c r="AB760" t="s">
        <v>1393</v>
      </c>
    </row>
    <row r="761" spans="1:28" x14ac:dyDescent="0.3">
      <c r="A761" t="s">
        <v>360</v>
      </c>
      <c r="B761" s="6">
        <v>45458.543055555558</v>
      </c>
      <c r="C761" t="s">
        <v>40</v>
      </c>
      <c r="D761" t="s">
        <v>1141</v>
      </c>
      <c r="E761" t="s">
        <v>1142</v>
      </c>
      <c r="F761" t="s">
        <v>1150</v>
      </c>
      <c r="G761" t="s">
        <v>1167</v>
      </c>
      <c r="H761" t="s">
        <v>1168</v>
      </c>
      <c r="I761" t="s">
        <v>1169</v>
      </c>
      <c r="J761" t="s">
        <v>1170</v>
      </c>
      <c r="K761">
        <v>2</v>
      </c>
      <c r="L761">
        <v>57774</v>
      </c>
      <c r="M761">
        <v>0</v>
      </c>
      <c r="N761">
        <v>57774</v>
      </c>
      <c r="O761">
        <v>0.18</v>
      </c>
      <c r="P761">
        <v>115548</v>
      </c>
      <c r="Q761">
        <v>20798.64</v>
      </c>
      <c r="R761">
        <v>136346.64000000001</v>
      </c>
      <c r="S761" t="s">
        <v>1366</v>
      </c>
      <c r="T761" t="s">
        <v>1361</v>
      </c>
      <c r="U761" s="4">
        <v>45460</v>
      </c>
      <c r="V761" s="4">
        <v>45464</v>
      </c>
      <c r="W761" t="b">
        <v>0</v>
      </c>
      <c r="Z761" t="s">
        <v>1386</v>
      </c>
      <c r="AA761" t="s">
        <v>1385</v>
      </c>
      <c r="AB761" t="s">
        <v>1380</v>
      </c>
    </row>
    <row r="762" spans="1:28" x14ac:dyDescent="0.3">
      <c r="A762" t="s">
        <v>364</v>
      </c>
      <c r="B762" s="6">
        <v>45617.476388888892</v>
      </c>
      <c r="C762" t="s">
        <v>111</v>
      </c>
      <c r="D762" t="s">
        <v>1153</v>
      </c>
      <c r="E762" t="s">
        <v>1162</v>
      </c>
      <c r="F762" t="s">
        <v>1150</v>
      </c>
      <c r="G762" t="s">
        <v>1163</v>
      </c>
      <c r="H762" t="s">
        <v>1224</v>
      </c>
      <c r="I762" t="s">
        <v>1225</v>
      </c>
      <c r="J762" t="s">
        <v>1226</v>
      </c>
      <c r="K762">
        <v>2</v>
      </c>
      <c r="L762">
        <v>584</v>
      </c>
      <c r="M762">
        <v>0.2</v>
      </c>
      <c r="N762">
        <v>467.2</v>
      </c>
      <c r="O762">
        <v>0.18</v>
      </c>
      <c r="P762">
        <v>934.40000000000009</v>
      </c>
      <c r="Q762">
        <v>168.19200000000001</v>
      </c>
      <c r="R762">
        <v>1102.5920000000001</v>
      </c>
      <c r="S762" t="s">
        <v>1362</v>
      </c>
      <c r="T762" t="s">
        <v>1361</v>
      </c>
      <c r="U762" s="4">
        <v>45619</v>
      </c>
      <c r="V762" s="4">
        <v>45624</v>
      </c>
      <c r="W762" t="b">
        <v>0</v>
      </c>
      <c r="Z762" t="s">
        <v>1376</v>
      </c>
      <c r="AA762" t="s">
        <v>1385</v>
      </c>
      <c r="AB762" t="s">
        <v>1393</v>
      </c>
    </row>
    <row r="763" spans="1:28" x14ac:dyDescent="0.3">
      <c r="A763" t="s">
        <v>365</v>
      </c>
      <c r="B763" s="6">
        <v>45391.459027777775</v>
      </c>
      <c r="C763" t="s">
        <v>366</v>
      </c>
      <c r="D763" t="s">
        <v>1157</v>
      </c>
      <c r="E763" t="s">
        <v>1249</v>
      </c>
      <c r="F763" t="s">
        <v>1150</v>
      </c>
      <c r="G763" t="s">
        <v>1177</v>
      </c>
      <c r="H763" t="s">
        <v>1236</v>
      </c>
      <c r="I763" t="s">
        <v>1338</v>
      </c>
      <c r="J763" t="s">
        <v>1339</v>
      </c>
      <c r="K763">
        <v>4</v>
      </c>
      <c r="L763">
        <v>2690</v>
      </c>
      <c r="M763">
        <v>0.05</v>
      </c>
      <c r="N763">
        <v>2555.5</v>
      </c>
      <c r="O763">
        <v>0.18</v>
      </c>
      <c r="P763">
        <v>10222</v>
      </c>
      <c r="Q763">
        <v>1839.96</v>
      </c>
      <c r="R763">
        <v>12061.96</v>
      </c>
      <c r="S763" t="s">
        <v>1363</v>
      </c>
      <c r="T763" t="s">
        <v>1368</v>
      </c>
      <c r="U763" s="4">
        <v>45392</v>
      </c>
      <c r="W763" t="b">
        <v>0</v>
      </c>
      <c r="Z763" t="s">
        <v>1388</v>
      </c>
      <c r="AA763" t="s">
        <v>1385</v>
      </c>
      <c r="AB763" t="s">
        <v>1393</v>
      </c>
    </row>
    <row r="764" spans="1:28" x14ac:dyDescent="0.3">
      <c r="A764" t="s">
        <v>377</v>
      </c>
      <c r="B764" s="6">
        <v>45308.521527777775</v>
      </c>
      <c r="C764" t="s">
        <v>378</v>
      </c>
      <c r="D764" t="s">
        <v>1157</v>
      </c>
      <c r="E764" t="s">
        <v>1158</v>
      </c>
      <c r="F764" t="s">
        <v>1150</v>
      </c>
      <c r="G764" t="s">
        <v>1144</v>
      </c>
      <c r="H764" t="s">
        <v>1214</v>
      </c>
      <c r="I764" t="s">
        <v>1252</v>
      </c>
      <c r="J764" t="s">
        <v>1253</v>
      </c>
      <c r="K764">
        <v>1</v>
      </c>
      <c r="L764">
        <v>9871</v>
      </c>
      <c r="M764">
        <v>0.05</v>
      </c>
      <c r="N764">
        <v>9377.4499999999989</v>
      </c>
      <c r="O764">
        <v>0.12</v>
      </c>
      <c r="P764">
        <v>9377.4499999999989</v>
      </c>
      <c r="Q764">
        <v>1125.2940000000001</v>
      </c>
      <c r="R764">
        <v>10502.744000000001</v>
      </c>
      <c r="S764" t="s">
        <v>1360</v>
      </c>
      <c r="T764" t="s">
        <v>1361</v>
      </c>
      <c r="U764" s="4">
        <v>45310</v>
      </c>
      <c r="V764" s="4">
        <v>45311</v>
      </c>
      <c r="W764" t="b">
        <v>0</v>
      </c>
      <c r="Z764" t="s">
        <v>1386</v>
      </c>
      <c r="AA764" t="s">
        <v>1399</v>
      </c>
      <c r="AB764" t="s">
        <v>1395</v>
      </c>
    </row>
    <row r="765" spans="1:28" x14ac:dyDescent="0.3">
      <c r="A765" t="s">
        <v>380</v>
      </c>
      <c r="B765" s="6">
        <v>45536.4</v>
      </c>
      <c r="C765" t="s">
        <v>318</v>
      </c>
      <c r="D765" t="s">
        <v>1153</v>
      </c>
      <c r="E765" t="s">
        <v>1176</v>
      </c>
      <c r="F765" t="s">
        <v>1150</v>
      </c>
      <c r="G765" t="s">
        <v>1144</v>
      </c>
      <c r="H765" t="s">
        <v>1276</v>
      </c>
      <c r="I765" t="s">
        <v>1286</v>
      </c>
      <c r="J765" t="s">
        <v>1287</v>
      </c>
      <c r="K765">
        <v>1</v>
      </c>
      <c r="L765">
        <v>12518</v>
      </c>
      <c r="M765">
        <v>0.15</v>
      </c>
      <c r="N765">
        <v>10640.3</v>
      </c>
      <c r="O765">
        <v>0.18</v>
      </c>
      <c r="P765">
        <v>10640.3</v>
      </c>
      <c r="Q765">
        <v>1915.2539999999999</v>
      </c>
      <c r="R765">
        <v>12555.554</v>
      </c>
      <c r="S765" t="s">
        <v>1365</v>
      </c>
      <c r="T765" t="s">
        <v>1361</v>
      </c>
      <c r="U765" s="4">
        <v>45536</v>
      </c>
      <c r="V765" s="4">
        <v>45540</v>
      </c>
      <c r="W765" t="b">
        <v>0</v>
      </c>
      <c r="Z765" t="s">
        <v>1384</v>
      </c>
      <c r="AA765" t="s">
        <v>1399</v>
      </c>
      <c r="AB765" t="s">
        <v>1378</v>
      </c>
    </row>
    <row r="766" spans="1:28" x14ac:dyDescent="0.3">
      <c r="A766" t="s">
        <v>383</v>
      </c>
      <c r="B766" s="6">
        <v>45627.45208333333</v>
      </c>
      <c r="C766" t="s">
        <v>86</v>
      </c>
      <c r="D766" t="s">
        <v>1182</v>
      </c>
      <c r="E766" t="s">
        <v>1207</v>
      </c>
      <c r="F766" t="s">
        <v>1150</v>
      </c>
      <c r="G766" t="s">
        <v>1172</v>
      </c>
      <c r="H766" t="s">
        <v>1204</v>
      </c>
      <c r="I766" t="s">
        <v>1234</v>
      </c>
      <c r="J766" t="s">
        <v>1235</v>
      </c>
      <c r="K766">
        <v>1</v>
      </c>
      <c r="L766">
        <v>2016</v>
      </c>
      <c r="M766">
        <v>0.05</v>
      </c>
      <c r="N766">
        <v>1915.2</v>
      </c>
      <c r="O766">
        <v>0.18</v>
      </c>
      <c r="P766">
        <v>1915.2</v>
      </c>
      <c r="Q766">
        <v>344.73599999999988</v>
      </c>
      <c r="R766">
        <v>2259.9360000000001</v>
      </c>
      <c r="S766" t="s">
        <v>1360</v>
      </c>
      <c r="T766" t="s">
        <v>1361</v>
      </c>
      <c r="U766" s="4">
        <v>45627</v>
      </c>
      <c r="V766" s="4">
        <v>45628</v>
      </c>
      <c r="W766" t="b">
        <v>0</v>
      </c>
      <c r="Z766" t="s">
        <v>1398</v>
      </c>
      <c r="AA766" t="s">
        <v>1385</v>
      </c>
      <c r="AB766" t="s">
        <v>1380</v>
      </c>
    </row>
    <row r="767" spans="1:28" x14ac:dyDescent="0.3">
      <c r="A767" t="s">
        <v>390</v>
      </c>
      <c r="B767" s="6">
        <v>45725.504861111112</v>
      </c>
      <c r="C767" t="s">
        <v>239</v>
      </c>
      <c r="D767" t="s">
        <v>1153</v>
      </c>
      <c r="E767" t="s">
        <v>1162</v>
      </c>
      <c r="F767" t="s">
        <v>1150</v>
      </c>
      <c r="G767" t="s">
        <v>1144</v>
      </c>
      <c r="H767" t="s">
        <v>1145</v>
      </c>
      <c r="I767" t="s">
        <v>1155</v>
      </c>
      <c r="J767" t="s">
        <v>1156</v>
      </c>
      <c r="K767">
        <v>4</v>
      </c>
      <c r="L767">
        <v>13286</v>
      </c>
      <c r="M767">
        <v>0.05</v>
      </c>
      <c r="N767">
        <v>12621.7</v>
      </c>
      <c r="O767">
        <v>0.18</v>
      </c>
      <c r="P767">
        <v>50486.8</v>
      </c>
      <c r="Q767">
        <v>9087.623999999998</v>
      </c>
      <c r="R767">
        <v>59574.423999999992</v>
      </c>
      <c r="S767" t="s">
        <v>1363</v>
      </c>
      <c r="T767" t="s">
        <v>1361</v>
      </c>
      <c r="U767" s="4">
        <v>45725</v>
      </c>
      <c r="V767" s="4">
        <v>45730</v>
      </c>
      <c r="W767" t="b">
        <v>0</v>
      </c>
      <c r="Z767" t="s">
        <v>1382</v>
      </c>
      <c r="AA767" t="s">
        <v>1377</v>
      </c>
      <c r="AB767" t="s">
        <v>1393</v>
      </c>
    </row>
    <row r="768" spans="1:28" x14ac:dyDescent="0.3">
      <c r="A768" t="s">
        <v>397</v>
      </c>
      <c r="B768" s="6">
        <v>45474.537499999999</v>
      </c>
      <c r="C768" t="s">
        <v>59</v>
      </c>
      <c r="D768" t="s">
        <v>1148</v>
      </c>
      <c r="E768" t="s">
        <v>1217</v>
      </c>
      <c r="F768" t="s">
        <v>1150</v>
      </c>
      <c r="G768" t="s">
        <v>1144</v>
      </c>
      <c r="H768" t="s">
        <v>1159</v>
      </c>
      <c r="I768" t="s">
        <v>1272</v>
      </c>
      <c r="J768" t="s">
        <v>1273</v>
      </c>
      <c r="K768">
        <v>1</v>
      </c>
      <c r="L768">
        <v>12161</v>
      </c>
      <c r="M768">
        <v>0.1</v>
      </c>
      <c r="N768">
        <v>10944.9</v>
      </c>
      <c r="O768">
        <v>0.18</v>
      </c>
      <c r="P768">
        <v>10944.9</v>
      </c>
      <c r="Q768">
        <v>1970.0820000000001</v>
      </c>
      <c r="R768">
        <v>12914.982</v>
      </c>
      <c r="S768" t="s">
        <v>1363</v>
      </c>
      <c r="T768" t="s">
        <v>1361</v>
      </c>
      <c r="U768" s="4">
        <v>45475</v>
      </c>
      <c r="V768" s="4">
        <v>45480</v>
      </c>
      <c r="W768" t="b">
        <v>0</v>
      </c>
      <c r="Z768" t="s">
        <v>1390</v>
      </c>
      <c r="AA768" t="s">
        <v>1400</v>
      </c>
      <c r="AB768" t="s">
        <v>1395</v>
      </c>
    </row>
    <row r="769" spans="1:28" x14ac:dyDescent="0.3">
      <c r="A769" t="s">
        <v>404</v>
      </c>
      <c r="B769" s="6">
        <v>45770.645833333336</v>
      </c>
      <c r="C769" t="s">
        <v>55</v>
      </c>
      <c r="D769" t="s">
        <v>1157</v>
      </c>
      <c r="E769" t="s">
        <v>1158</v>
      </c>
      <c r="F769" t="s">
        <v>1150</v>
      </c>
      <c r="G769" t="s">
        <v>1177</v>
      </c>
      <c r="H769" t="s">
        <v>1195</v>
      </c>
      <c r="I769" t="s">
        <v>1202</v>
      </c>
      <c r="J769" t="s">
        <v>1203</v>
      </c>
      <c r="K769">
        <v>1</v>
      </c>
      <c r="L769">
        <v>751</v>
      </c>
      <c r="M769">
        <v>0</v>
      </c>
      <c r="N769">
        <v>751</v>
      </c>
      <c r="O769">
        <v>0.05</v>
      </c>
      <c r="P769">
        <v>751</v>
      </c>
      <c r="Q769">
        <v>37.549999999999997</v>
      </c>
      <c r="R769">
        <v>788.55</v>
      </c>
      <c r="S769" t="s">
        <v>1360</v>
      </c>
      <c r="T769" t="s">
        <v>1369</v>
      </c>
      <c r="W769" t="b">
        <v>0</v>
      </c>
      <c r="Z769" t="s">
        <v>1376</v>
      </c>
      <c r="AA769" t="s">
        <v>1387</v>
      </c>
      <c r="AB769" t="s">
        <v>1378</v>
      </c>
    </row>
    <row r="770" spans="1:28" x14ac:dyDescent="0.3">
      <c r="A770" t="s">
        <v>408</v>
      </c>
      <c r="B770" s="6">
        <v>45332.476388888892</v>
      </c>
      <c r="C770" t="s">
        <v>86</v>
      </c>
      <c r="D770" t="s">
        <v>1182</v>
      </c>
      <c r="E770" t="s">
        <v>1207</v>
      </c>
      <c r="F770" t="s">
        <v>1150</v>
      </c>
      <c r="G770" t="s">
        <v>1167</v>
      </c>
      <c r="H770" t="s">
        <v>1263</v>
      </c>
      <c r="I770" t="s">
        <v>1264</v>
      </c>
      <c r="J770" t="s">
        <v>1265</v>
      </c>
      <c r="K770">
        <v>3</v>
      </c>
      <c r="L770">
        <v>51104</v>
      </c>
      <c r="M770">
        <v>0</v>
      </c>
      <c r="N770">
        <v>51104</v>
      </c>
      <c r="O770">
        <v>0.18</v>
      </c>
      <c r="P770">
        <v>153312</v>
      </c>
      <c r="Q770">
        <v>27596.16</v>
      </c>
      <c r="R770">
        <v>180908.16</v>
      </c>
      <c r="S770" t="s">
        <v>1360</v>
      </c>
      <c r="T770" t="s">
        <v>1368</v>
      </c>
      <c r="U770" s="4">
        <v>45334</v>
      </c>
      <c r="W770" t="b">
        <v>0</v>
      </c>
      <c r="Z770" t="s">
        <v>1388</v>
      </c>
      <c r="AA770" t="s">
        <v>1387</v>
      </c>
      <c r="AB770" t="s">
        <v>1395</v>
      </c>
    </row>
    <row r="771" spans="1:28" x14ac:dyDescent="0.3">
      <c r="A771" t="s">
        <v>413</v>
      </c>
      <c r="B771" s="6">
        <v>45480.573611111111</v>
      </c>
      <c r="C771" t="s">
        <v>208</v>
      </c>
      <c r="D771" t="s">
        <v>1157</v>
      </c>
      <c r="E771" t="s">
        <v>1201</v>
      </c>
      <c r="F771" t="s">
        <v>1150</v>
      </c>
      <c r="G771" t="s">
        <v>1163</v>
      </c>
      <c r="H771" t="s">
        <v>1184</v>
      </c>
      <c r="I771" t="s">
        <v>1245</v>
      </c>
      <c r="J771" t="s">
        <v>1246</v>
      </c>
      <c r="K771">
        <v>1</v>
      </c>
      <c r="L771">
        <v>817</v>
      </c>
      <c r="M771">
        <v>0</v>
      </c>
      <c r="N771">
        <v>817</v>
      </c>
      <c r="O771">
        <v>0.18</v>
      </c>
      <c r="P771">
        <v>817</v>
      </c>
      <c r="Q771">
        <v>147.06</v>
      </c>
      <c r="R771">
        <v>964.06</v>
      </c>
      <c r="S771" t="s">
        <v>1365</v>
      </c>
      <c r="T771" t="s">
        <v>1367</v>
      </c>
      <c r="U771" s="4">
        <v>45482</v>
      </c>
      <c r="W771" t="b">
        <v>0</v>
      </c>
      <c r="Z771" t="s">
        <v>1390</v>
      </c>
      <c r="AA771" t="s">
        <v>1400</v>
      </c>
      <c r="AB771" t="s">
        <v>1395</v>
      </c>
    </row>
    <row r="772" spans="1:28" x14ac:dyDescent="0.3">
      <c r="A772" t="s">
        <v>415</v>
      </c>
      <c r="B772" s="6">
        <v>45555.65347222222</v>
      </c>
      <c r="C772" t="s">
        <v>343</v>
      </c>
      <c r="D772" t="s">
        <v>1182</v>
      </c>
      <c r="E772" t="s">
        <v>1207</v>
      </c>
      <c r="F772" t="s">
        <v>1150</v>
      </c>
      <c r="G772" t="s">
        <v>1172</v>
      </c>
      <c r="H772" t="s">
        <v>1173</v>
      </c>
      <c r="I772" t="s">
        <v>1222</v>
      </c>
      <c r="J772" t="s">
        <v>1223</v>
      </c>
      <c r="K772">
        <v>3</v>
      </c>
      <c r="L772">
        <v>7390</v>
      </c>
      <c r="M772">
        <v>0.15</v>
      </c>
      <c r="N772">
        <v>6281.5</v>
      </c>
      <c r="O772">
        <v>0.12</v>
      </c>
      <c r="P772">
        <v>18844.5</v>
      </c>
      <c r="Q772">
        <v>2261.34</v>
      </c>
      <c r="R772">
        <v>21105.84</v>
      </c>
      <c r="S772" t="s">
        <v>1363</v>
      </c>
      <c r="T772" t="s">
        <v>1361</v>
      </c>
      <c r="U772" s="4">
        <v>45555</v>
      </c>
      <c r="V772" s="4">
        <v>45556</v>
      </c>
      <c r="W772" t="b">
        <v>0</v>
      </c>
      <c r="Z772" t="s">
        <v>1398</v>
      </c>
      <c r="AA772" t="s">
        <v>1400</v>
      </c>
      <c r="AB772" t="s">
        <v>1383</v>
      </c>
    </row>
    <row r="773" spans="1:28" x14ac:dyDescent="0.3">
      <c r="A773" t="s">
        <v>425</v>
      </c>
      <c r="B773" s="6">
        <v>45349.631249999999</v>
      </c>
      <c r="C773" t="s">
        <v>141</v>
      </c>
      <c r="D773" t="s">
        <v>1141</v>
      </c>
      <c r="E773" t="s">
        <v>1227</v>
      </c>
      <c r="F773" t="s">
        <v>1150</v>
      </c>
      <c r="G773" t="s">
        <v>1177</v>
      </c>
      <c r="H773" t="s">
        <v>1309</v>
      </c>
      <c r="I773" t="s">
        <v>1328</v>
      </c>
      <c r="J773" t="s">
        <v>1329</v>
      </c>
      <c r="K773">
        <v>2</v>
      </c>
      <c r="L773">
        <v>1705</v>
      </c>
      <c r="M773">
        <v>0.15</v>
      </c>
      <c r="N773">
        <v>1449.25</v>
      </c>
      <c r="O773">
        <v>0.18</v>
      </c>
      <c r="P773">
        <v>2898.5</v>
      </c>
      <c r="Q773">
        <v>521.73</v>
      </c>
      <c r="R773">
        <v>3420.23</v>
      </c>
      <c r="S773" t="s">
        <v>1360</v>
      </c>
      <c r="T773" t="s">
        <v>1361</v>
      </c>
      <c r="U773" s="4">
        <v>45351</v>
      </c>
      <c r="V773" s="4">
        <v>45352</v>
      </c>
      <c r="W773" t="b">
        <v>0</v>
      </c>
      <c r="Z773" t="s">
        <v>1398</v>
      </c>
      <c r="AA773" t="s">
        <v>1397</v>
      </c>
      <c r="AB773" t="s">
        <v>1389</v>
      </c>
    </row>
    <row r="774" spans="1:28" x14ac:dyDescent="0.3">
      <c r="A774" t="s">
        <v>426</v>
      </c>
      <c r="B774" s="6">
        <v>45557.536111111112</v>
      </c>
      <c r="C774" t="s">
        <v>169</v>
      </c>
      <c r="D774" t="s">
        <v>1148</v>
      </c>
      <c r="E774" t="s">
        <v>1149</v>
      </c>
      <c r="F774" t="s">
        <v>1150</v>
      </c>
      <c r="G774" t="s">
        <v>1177</v>
      </c>
      <c r="H774" t="s">
        <v>1309</v>
      </c>
      <c r="I774" t="s">
        <v>1332</v>
      </c>
      <c r="J774" t="s">
        <v>1333</v>
      </c>
      <c r="K774">
        <v>2</v>
      </c>
      <c r="L774">
        <v>528</v>
      </c>
      <c r="M774">
        <v>0.1</v>
      </c>
      <c r="N774">
        <v>475.2</v>
      </c>
      <c r="O774">
        <v>0.12</v>
      </c>
      <c r="P774">
        <v>950.4</v>
      </c>
      <c r="Q774">
        <v>114.048</v>
      </c>
      <c r="R774">
        <v>1064.4480000000001</v>
      </c>
      <c r="S774" t="s">
        <v>1365</v>
      </c>
      <c r="T774" t="s">
        <v>1361</v>
      </c>
      <c r="U774" s="4">
        <v>45559</v>
      </c>
      <c r="V774" s="4">
        <v>45564</v>
      </c>
      <c r="W774" t="b">
        <v>0</v>
      </c>
      <c r="Z774" t="s">
        <v>1376</v>
      </c>
      <c r="AA774" t="s">
        <v>1385</v>
      </c>
      <c r="AB774" t="s">
        <v>1378</v>
      </c>
    </row>
    <row r="775" spans="1:28" x14ac:dyDescent="0.3">
      <c r="A775" t="s">
        <v>427</v>
      </c>
      <c r="B775" s="6">
        <v>45386.405555555553</v>
      </c>
      <c r="C775" t="s">
        <v>325</v>
      </c>
      <c r="D775" t="s">
        <v>1153</v>
      </c>
      <c r="E775" t="s">
        <v>1154</v>
      </c>
      <c r="F775" t="s">
        <v>1150</v>
      </c>
      <c r="G775" t="s">
        <v>1167</v>
      </c>
      <c r="H775" t="s">
        <v>1211</v>
      </c>
      <c r="I775" t="s">
        <v>1299</v>
      </c>
      <c r="J775" t="s">
        <v>1300</v>
      </c>
      <c r="K775">
        <v>1</v>
      </c>
      <c r="L775">
        <v>31808</v>
      </c>
      <c r="M775">
        <v>0</v>
      </c>
      <c r="N775">
        <v>31808</v>
      </c>
      <c r="O775">
        <v>0.18</v>
      </c>
      <c r="P775">
        <v>31808</v>
      </c>
      <c r="Q775">
        <v>5725.44</v>
      </c>
      <c r="R775">
        <v>37533.440000000002</v>
      </c>
      <c r="S775" t="s">
        <v>1363</v>
      </c>
      <c r="T775" t="s">
        <v>1361</v>
      </c>
      <c r="U775" s="4">
        <v>45388</v>
      </c>
      <c r="V775" s="4">
        <v>45389</v>
      </c>
      <c r="W775" t="b">
        <v>0</v>
      </c>
      <c r="Z775" t="s">
        <v>1396</v>
      </c>
      <c r="AA775" t="s">
        <v>1399</v>
      </c>
      <c r="AB775" t="s">
        <v>1383</v>
      </c>
    </row>
    <row r="776" spans="1:28" x14ac:dyDescent="0.3">
      <c r="A776" t="s">
        <v>434</v>
      </c>
      <c r="B776" s="6">
        <v>45355.638888888891</v>
      </c>
      <c r="C776" t="s">
        <v>143</v>
      </c>
      <c r="D776" t="s">
        <v>1153</v>
      </c>
      <c r="E776" t="s">
        <v>1154</v>
      </c>
      <c r="F776" t="s">
        <v>1150</v>
      </c>
      <c r="G776" t="s">
        <v>1177</v>
      </c>
      <c r="H776" t="s">
        <v>1178</v>
      </c>
      <c r="I776" t="s">
        <v>1220</v>
      </c>
      <c r="J776" t="s">
        <v>1221</v>
      </c>
      <c r="K776">
        <v>1</v>
      </c>
      <c r="L776">
        <v>1845</v>
      </c>
      <c r="M776">
        <v>0.1</v>
      </c>
      <c r="N776">
        <v>1660.5</v>
      </c>
      <c r="O776">
        <v>0.18</v>
      </c>
      <c r="P776">
        <v>1660.5</v>
      </c>
      <c r="Q776">
        <v>298.89</v>
      </c>
      <c r="R776">
        <v>1959.39</v>
      </c>
      <c r="S776" t="s">
        <v>1360</v>
      </c>
      <c r="T776" t="s">
        <v>1361</v>
      </c>
      <c r="U776" s="4">
        <v>45357</v>
      </c>
      <c r="V776" s="4">
        <v>45362</v>
      </c>
      <c r="W776" t="b">
        <v>0</v>
      </c>
      <c r="Z776" t="s">
        <v>1396</v>
      </c>
      <c r="AA776" t="s">
        <v>1400</v>
      </c>
      <c r="AB776" t="s">
        <v>1393</v>
      </c>
    </row>
    <row r="777" spans="1:28" x14ac:dyDescent="0.3">
      <c r="A777" t="s">
        <v>438</v>
      </c>
      <c r="B777" s="6">
        <v>45720.45208333333</v>
      </c>
      <c r="C777" t="s">
        <v>135</v>
      </c>
      <c r="D777" t="s">
        <v>1182</v>
      </c>
      <c r="E777" t="s">
        <v>1207</v>
      </c>
      <c r="F777" t="s">
        <v>1150</v>
      </c>
      <c r="G777" t="s">
        <v>1172</v>
      </c>
      <c r="H777" t="s">
        <v>1204</v>
      </c>
      <c r="I777" t="s">
        <v>1205</v>
      </c>
      <c r="J777" t="s">
        <v>1206</v>
      </c>
      <c r="K777">
        <v>4</v>
      </c>
      <c r="L777">
        <v>7206</v>
      </c>
      <c r="M777">
        <v>0.05</v>
      </c>
      <c r="N777">
        <v>6845.7</v>
      </c>
      <c r="O777">
        <v>0.12</v>
      </c>
      <c r="P777">
        <v>27382.799999999999</v>
      </c>
      <c r="Q777">
        <v>3285.9360000000001</v>
      </c>
      <c r="R777">
        <v>30668.736000000001</v>
      </c>
      <c r="S777" t="s">
        <v>1365</v>
      </c>
      <c r="T777" t="s">
        <v>1361</v>
      </c>
      <c r="U777" s="4">
        <v>45720</v>
      </c>
      <c r="V777" s="4">
        <v>45722</v>
      </c>
      <c r="W777" t="b">
        <v>0</v>
      </c>
      <c r="Z777" t="s">
        <v>1388</v>
      </c>
      <c r="AA777" t="s">
        <v>1385</v>
      </c>
      <c r="AB777" t="s">
        <v>1383</v>
      </c>
    </row>
    <row r="778" spans="1:28" x14ac:dyDescent="0.3">
      <c r="A778" t="s">
        <v>442</v>
      </c>
      <c r="B778" s="6">
        <v>45769.504861111112</v>
      </c>
      <c r="C778" t="s">
        <v>208</v>
      </c>
      <c r="D778" t="s">
        <v>1157</v>
      </c>
      <c r="E778" t="s">
        <v>1201</v>
      </c>
      <c r="F778" t="s">
        <v>1150</v>
      </c>
      <c r="G778" t="s">
        <v>1144</v>
      </c>
      <c r="H778" t="s">
        <v>1159</v>
      </c>
      <c r="I778" t="s">
        <v>1160</v>
      </c>
      <c r="J778" t="s">
        <v>1161</v>
      </c>
      <c r="K778">
        <v>1</v>
      </c>
      <c r="L778">
        <v>11957</v>
      </c>
      <c r="M778">
        <v>0.15</v>
      </c>
      <c r="N778">
        <v>10163.450000000001</v>
      </c>
      <c r="O778">
        <v>0.18</v>
      </c>
      <c r="P778">
        <v>10163.450000000001</v>
      </c>
      <c r="Q778">
        <v>1829.421</v>
      </c>
      <c r="R778">
        <v>11992.870999999999</v>
      </c>
      <c r="S778" t="s">
        <v>1365</v>
      </c>
      <c r="T778" t="s">
        <v>1369</v>
      </c>
      <c r="W778" t="b">
        <v>0</v>
      </c>
      <c r="Z778" t="s">
        <v>1392</v>
      </c>
      <c r="AA778" t="s">
        <v>1394</v>
      </c>
      <c r="AB778" t="s">
        <v>1389</v>
      </c>
    </row>
    <row r="779" spans="1:28" x14ac:dyDescent="0.3">
      <c r="A779" t="s">
        <v>453</v>
      </c>
      <c r="B779" s="6">
        <v>45401.491666666669</v>
      </c>
      <c r="C779" t="s">
        <v>216</v>
      </c>
      <c r="D779" t="s">
        <v>1157</v>
      </c>
      <c r="E779" t="s">
        <v>1201</v>
      </c>
      <c r="F779" t="s">
        <v>1150</v>
      </c>
      <c r="G779" t="s">
        <v>1163</v>
      </c>
      <c r="H779" t="s">
        <v>1224</v>
      </c>
      <c r="I779" t="s">
        <v>1316</v>
      </c>
      <c r="J779" t="s">
        <v>1317</v>
      </c>
      <c r="K779">
        <v>1</v>
      </c>
      <c r="L779">
        <v>360</v>
      </c>
      <c r="M779">
        <v>0.05</v>
      </c>
      <c r="N779">
        <v>342</v>
      </c>
      <c r="O779">
        <v>0.18</v>
      </c>
      <c r="P779">
        <v>342</v>
      </c>
      <c r="Q779">
        <v>61.56</v>
      </c>
      <c r="R779">
        <v>403.56</v>
      </c>
      <c r="S779" t="s">
        <v>1360</v>
      </c>
      <c r="T779" t="s">
        <v>1361</v>
      </c>
      <c r="U779" s="4">
        <v>45403</v>
      </c>
      <c r="V779" s="4">
        <v>45408</v>
      </c>
      <c r="W779" t="b">
        <v>0</v>
      </c>
      <c r="Z779" t="s">
        <v>1398</v>
      </c>
      <c r="AA779" t="s">
        <v>1387</v>
      </c>
      <c r="AB779" t="s">
        <v>1389</v>
      </c>
    </row>
    <row r="780" spans="1:28" x14ac:dyDescent="0.3">
      <c r="A780" t="s">
        <v>456</v>
      </c>
      <c r="B780" s="6">
        <v>45465.597916666666</v>
      </c>
      <c r="C780" t="s">
        <v>457</v>
      </c>
      <c r="D780" t="s">
        <v>1157</v>
      </c>
      <c r="E780" t="s">
        <v>1158</v>
      </c>
      <c r="F780" t="s">
        <v>1150</v>
      </c>
      <c r="G780" t="s">
        <v>1172</v>
      </c>
      <c r="H780" t="s">
        <v>1198</v>
      </c>
      <c r="I780" t="s">
        <v>1303</v>
      </c>
      <c r="J780" t="s">
        <v>1304</v>
      </c>
      <c r="K780">
        <v>4</v>
      </c>
      <c r="L780">
        <v>5411</v>
      </c>
      <c r="M780">
        <v>0.2</v>
      </c>
      <c r="N780">
        <v>4328.8</v>
      </c>
      <c r="O780">
        <v>0.12</v>
      </c>
      <c r="P780">
        <v>17315.2</v>
      </c>
      <c r="Q780">
        <v>2077.8240000000001</v>
      </c>
      <c r="R780">
        <v>19393.024000000001</v>
      </c>
      <c r="S780" t="s">
        <v>1363</v>
      </c>
      <c r="T780" t="s">
        <v>1361</v>
      </c>
      <c r="U780" s="4">
        <v>45467</v>
      </c>
      <c r="V780" s="4">
        <v>45470</v>
      </c>
      <c r="W780" t="b">
        <v>0</v>
      </c>
      <c r="Z780" t="s">
        <v>1392</v>
      </c>
      <c r="AA780" t="s">
        <v>1394</v>
      </c>
      <c r="AB780" t="s">
        <v>1391</v>
      </c>
    </row>
    <row r="781" spans="1:28" x14ac:dyDescent="0.3">
      <c r="A781" t="s">
        <v>464</v>
      </c>
      <c r="B781" s="6">
        <v>45666.496527777781</v>
      </c>
      <c r="C781" t="s">
        <v>218</v>
      </c>
      <c r="D781" t="s">
        <v>1153</v>
      </c>
      <c r="E781" t="s">
        <v>1191</v>
      </c>
      <c r="F781" t="s">
        <v>1150</v>
      </c>
      <c r="G781" t="s">
        <v>1144</v>
      </c>
      <c r="H781" t="s">
        <v>1145</v>
      </c>
      <c r="I781" t="s">
        <v>1146</v>
      </c>
      <c r="J781" t="s">
        <v>1147</v>
      </c>
      <c r="K781">
        <v>1</v>
      </c>
      <c r="L781">
        <v>3770</v>
      </c>
      <c r="M781">
        <v>0.15</v>
      </c>
      <c r="N781">
        <v>3204.5</v>
      </c>
      <c r="O781">
        <v>0.12</v>
      </c>
      <c r="P781">
        <v>3204.5</v>
      </c>
      <c r="Q781">
        <v>384.54</v>
      </c>
      <c r="R781">
        <v>3589.04</v>
      </c>
      <c r="S781" t="s">
        <v>1362</v>
      </c>
      <c r="T781" t="s">
        <v>1361</v>
      </c>
      <c r="U781" s="4">
        <v>45667</v>
      </c>
      <c r="V781" s="4">
        <v>45669</v>
      </c>
      <c r="W781" t="b">
        <v>0</v>
      </c>
      <c r="Z781" t="s">
        <v>1384</v>
      </c>
      <c r="AA781" t="s">
        <v>1394</v>
      </c>
      <c r="AB781" t="s">
        <v>1391</v>
      </c>
    </row>
    <row r="782" spans="1:28" x14ac:dyDescent="0.3">
      <c r="A782" t="s">
        <v>475</v>
      </c>
      <c r="B782" s="6">
        <v>45317.462500000001</v>
      </c>
      <c r="C782" t="s">
        <v>65</v>
      </c>
      <c r="D782" t="s">
        <v>1141</v>
      </c>
      <c r="E782" t="s">
        <v>1142</v>
      </c>
      <c r="F782" t="s">
        <v>1150</v>
      </c>
      <c r="G782" t="s">
        <v>1144</v>
      </c>
      <c r="H782" t="s">
        <v>1269</v>
      </c>
      <c r="I782" t="s">
        <v>1270</v>
      </c>
      <c r="J782" t="s">
        <v>1271</v>
      </c>
      <c r="K782">
        <v>3</v>
      </c>
      <c r="L782">
        <v>12490</v>
      </c>
      <c r="M782">
        <v>0.1</v>
      </c>
      <c r="N782">
        <v>11241</v>
      </c>
      <c r="O782">
        <v>0.18</v>
      </c>
      <c r="P782">
        <v>33723</v>
      </c>
      <c r="Q782">
        <v>6070.1399999999994</v>
      </c>
      <c r="R782">
        <v>39793.14</v>
      </c>
      <c r="S782" t="s">
        <v>1365</v>
      </c>
      <c r="T782" t="s">
        <v>1361</v>
      </c>
      <c r="U782" s="4">
        <v>45318</v>
      </c>
      <c r="V782" s="4">
        <v>45319</v>
      </c>
      <c r="W782" t="b">
        <v>0</v>
      </c>
      <c r="Z782" t="s">
        <v>1388</v>
      </c>
      <c r="AA782" t="s">
        <v>1400</v>
      </c>
      <c r="AB782" t="s">
        <v>1383</v>
      </c>
    </row>
    <row r="783" spans="1:28" x14ac:dyDescent="0.3">
      <c r="A783" t="s">
        <v>477</v>
      </c>
      <c r="B783" s="6">
        <v>45333.420138888891</v>
      </c>
      <c r="C783" t="s">
        <v>171</v>
      </c>
      <c r="D783" t="s">
        <v>1182</v>
      </c>
      <c r="E783" t="s">
        <v>1207</v>
      </c>
      <c r="F783" t="s">
        <v>1150</v>
      </c>
      <c r="G783" t="s">
        <v>1172</v>
      </c>
      <c r="H783" t="s">
        <v>1204</v>
      </c>
      <c r="I783" t="s">
        <v>1234</v>
      </c>
      <c r="J783" t="s">
        <v>1235</v>
      </c>
      <c r="K783">
        <v>1</v>
      </c>
      <c r="L783">
        <v>9120</v>
      </c>
      <c r="M783">
        <v>0</v>
      </c>
      <c r="N783">
        <v>9120</v>
      </c>
      <c r="O783">
        <v>0.12</v>
      </c>
      <c r="P783">
        <v>9120</v>
      </c>
      <c r="Q783">
        <v>1094.4000000000001</v>
      </c>
      <c r="R783">
        <v>10214.4</v>
      </c>
      <c r="S783" t="s">
        <v>1362</v>
      </c>
      <c r="T783" t="s">
        <v>1361</v>
      </c>
      <c r="U783" s="4">
        <v>45333</v>
      </c>
      <c r="V783" s="4">
        <v>45334</v>
      </c>
      <c r="W783" t="b">
        <v>0</v>
      </c>
      <c r="Z783" t="s">
        <v>1398</v>
      </c>
      <c r="AA783" t="s">
        <v>1400</v>
      </c>
      <c r="AB783" t="s">
        <v>1393</v>
      </c>
    </row>
    <row r="784" spans="1:28" x14ac:dyDescent="0.3">
      <c r="A784" t="s">
        <v>486</v>
      </c>
      <c r="B784" s="6">
        <v>45768.444444444445</v>
      </c>
      <c r="C784" t="s">
        <v>153</v>
      </c>
      <c r="D784" t="s">
        <v>1141</v>
      </c>
      <c r="E784" t="s">
        <v>1239</v>
      </c>
      <c r="F784" t="s">
        <v>1150</v>
      </c>
      <c r="G784" t="s">
        <v>1167</v>
      </c>
      <c r="H784" t="s">
        <v>1211</v>
      </c>
      <c r="I784" t="s">
        <v>1299</v>
      </c>
      <c r="J784" t="s">
        <v>1300</v>
      </c>
      <c r="K784">
        <v>3</v>
      </c>
      <c r="L784">
        <v>30248</v>
      </c>
      <c r="M784">
        <v>0</v>
      </c>
      <c r="N784">
        <v>30248</v>
      </c>
      <c r="O784">
        <v>0.18</v>
      </c>
      <c r="P784">
        <v>90744</v>
      </c>
      <c r="Q784">
        <v>16333.92</v>
      </c>
      <c r="R784">
        <v>107077.92</v>
      </c>
      <c r="S784" t="s">
        <v>1365</v>
      </c>
      <c r="T784" t="s">
        <v>1364</v>
      </c>
      <c r="U784" s="4">
        <v>45770</v>
      </c>
      <c r="W784" t="b">
        <v>1</v>
      </c>
      <c r="X784" s="4">
        <v>45787</v>
      </c>
      <c r="Y784" s="4">
        <v>45787</v>
      </c>
      <c r="Z784" t="s">
        <v>1382</v>
      </c>
      <c r="AA784" t="s">
        <v>1400</v>
      </c>
      <c r="AB784" t="s">
        <v>1395</v>
      </c>
    </row>
    <row r="785" spans="1:28" x14ac:dyDescent="0.3">
      <c r="A785" t="s">
        <v>487</v>
      </c>
      <c r="B785" s="6">
        <v>45745.662499999999</v>
      </c>
      <c r="C785" t="s">
        <v>330</v>
      </c>
      <c r="D785" t="s">
        <v>1153</v>
      </c>
      <c r="E785" t="s">
        <v>1162</v>
      </c>
      <c r="F785" t="s">
        <v>1150</v>
      </c>
      <c r="G785" t="s">
        <v>1163</v>
      </c>
      <c r="H785" t="s">
        <v>1164</v>
      </c>
      <c r="I785" t="s">
        <v>1165</v>
      </c>
      <c r="J785" t="s">
        <v>1166</v>
      </c>
      <c r="K785">
        <v>1</v>
      </c>
      <c r="L785">
        <v>996</v>
      </c>
      <c r="M785">
        <v>0.15</v>
      </c>
      <c r="N785">
        <v>846.6</v>
      </c>
      <c r="O785">
        <v>0.18</v>
      </c>
      <c r="P785">
        <v>846.6</v>
      </c>
      <c r="Q785">
        <v>152.38800000000001</v>
      </c>
      <c r="R785">
        <v>998.98800000000006</v>
      </c>
      <c r="S785" t="s">
        <v>1363</v>
      </c>
      <c r="T785" t="s">
        <v>1367</v>
      </c>
      <c r="U785" s="4">
        <v>45745</v>
      </c>
      <c r="W785" t="b">
        <v>0</v>
      </c>
      <c r="Z785" t="s">
        <v>1396</v>
      </c>
      <c r="AA785" t="s">
        <v>1387</v>
      </c>
      <c r="AB785" t="s">
        <v>1380</v>
      </c>
    </row>
    <row r="786" spans="1:28" x14ac:dyDescent="0.3">
      <c r="A786" t="s">
        <v>488</v>
      </c>
      <c r="B786" s="6">
        <v>45460.465277777781</v>
      </c>
      <c r="C786" t="s">
        <v>235</v>
      </c>
      <c r="D786" t="s">
        <v>1157</v>
      </c>
      <c r="E786" t="s">
        <v>1158</v>
      </c>
      <c r="F786" t="s">
        <v>1150</v>
      </c>
      <c r="G786" t="s">
        <v>1177</v>
      </c>
      <c r="H786" t="s">
        <v>1192</v>
      </c>
      <c r="I786" t="s">
        <v>1283</v>
      </c>
      <c r="J786" t="s">
        <v>1284</v>
      </c>
      <c r="K786">
        <v>3</v>
      </c>
      <c r="L786">
        <v>2205</v>
      </c>
      <c r="M786">
        <v>0.05</v>
      </c>
      <c r="N786">
        <v>2094.75</v>
      </c>
      <c r="O786">
        <v>0.12</v>
      </c>
      <c r="P786">
        <v>6284.25</v>
      </c>
      <c r="Q786">
        <v>754.11</v>
      </c>
      <c r="R786">
        <v>7038.36</v>
      </c>
      <c r="S786" t="s">
        <v>1363</v>
      </c>
      <c r="T786" t="s">
        <v>1367</v>
      </c>
      <c r="U786" s="4">
        <v>45462</v>
      </c>
      <c r="W786" t="b">
        <v>0</v>
      </c>
      <c r="Z786" t="s">
        <v>1388</v>
      </c>
      <c r="AA786" t="s">
        <v>1385</v>
      </c>
      <c r="AB786" t="s">
        <v>1395</v>
      </c>
    </row>
    <row r="787" spans="1:28" x14ac:dyDescent="0.3">
      <c r="A787" t="s">
        <v>499</v>
      </c>
      <c r="B787" s="6">
        <v>45297.57708333333</v>
      </c>
      <c r="C787" t="s">
        <v>109</v>
      </c>
      <c r="D787" t="s">
        <v>1157</v>
      </c>
      <c r="E787" t="s">
        <v>1181</v>
      </c>
      <c r="F787" t="s">
        <v>1150</v>
      </c>
      <c r="G787" t="s">
        <v>1144</v>
      </c>
      <c r="H787" t="s">
        <v>1276</v>
      </c>
      <c r="I787" t="s">
        <v>1277</v>
      </c>
      <c r="J787" t="s">
        <v>1278</v>
      </c>
      <c r="K787">
        <v>3</v>
      </c>
      <c r="L787">
        <v>4470</v>
      </c>
      <c r="M787">
        <v>0</v>
      </c>
      <c r="N787">
        <v>4470</v>
      </c>
      <c r="O787">
        <v>0.18</v>
      </c>
      <c r="P787">
        <v>13410</v>
      </c>
      <c r="Q787">
        <v>2413.8000000000002</v>
      </c>
      <c r="R787">
        <v>15823.8</v>
      </c>
      <c r="S787" t="s">
        <v>1366</v>
      </c>
      <c r="T787" t="s">
        <v>1361</v>
      </c>
      <c r="U787" s="4">
        <v>45297</v>
      </c>
      <c r="V787" s="4">
        <v>45301</v>
      </c>
      <c r="W787" t="b">
        <v>0</v>
      </c>
      <c r="Z787" t="s">
        <v>1384</v>
      </c>
      <c r="AA787" t="s">
        <v>1397</v>
      </c>
      <c r="AB787" t="s">
        <v>1389</v>
      </c>
    </row>
    <row r="788" spans="1:28" x14ac:dyDescent="0.3">
      <c r="A788" t="s">
        <v>512</v>
      </c>
      <c r="B788" s="6">
        <v>45305.607638888891</v>
      </c>
      <c r="C788" t="s">
        <v>18</v>
      </c>
      <c r="D788" t="s">
        <v>1153</v>
      </c>
      <c r="E788" t="s">
        <v>1176</v>
      </c>
      <c r="F788" t="s">
        <v>1150</v>
      </c>
      <c r="G788" t="s">
        <v>1144</v>
      </c>
      <c r="H788" t="s">
        <v>1269</v>
      </c>
      <c r="I788" t="s">
        <v>1326</v>
      </c>
      <c r="J788" t="s">
        <v>1327</v>
      </c>
      <c r="K788">
        <v>2</v>
      </c>
      <c r="L788">
        <v>14538</v>
      </c>
      <c r="M788">
        <v>0.15</v>
      </c>
      <c r="N788">
        <v>12357.3</v>
      </c>
      <c r="O788">
        <v>0.05</v>
      </c>
      <c r="P788">
        <v>24714.6</v>
      </c>
      <c r="Q788">
        <v>1235.73</v>
      </c>
      <c r="R788">
        <v>25950.33</v>
      </c>
      <c r="S788" t="s">
        <v>1360</v>
      </c>
      <c r="T788" t="s">
        <v>1361</v>
      </c>
      <c r="U788" s="4">
        <v>45306</v>
      </c>
      <c r="V788" s="4">
        <v>45309</v>
      </c>
      <c r="W788" t="b">
        <v>0</v>
      </c>
      <c r="Z788" t="s">
        <v>1388</v>
      </c>
      <c r="AA788" t="s">
        <v>1400</v>
      </c>
      <c r="AB788" t="s">
        <v>1380</v>
      </c>
    </row>
    <row r="789" spans="1:28" x14ac:dyDescent="0.3">
      <c r="A789" t="s">
        <v>514</v>
      </c>
      <c r="B789" s="6">
        <v>45709.534722222219</v>
      </c>
      <c r="C789" t="s">
        <v>109</v>
      </c>
      <c r="D789" t="s">
        <v>1157</v>
      </c>
      <c r="E789" t="s">
        <v>1181</v>
      </c>
      <c r="F789" t="s">
        <v>1150</v>
      </c>
      <c r="G789" t="s">
        <v>1163</v>
      </c>
      <c r="H789" t="s">
        <v>1184</v>
      </c>
      <c r="I789" t="s">
        <v>1245</v>
      </c>
      <c r="J789" t="s">
        <v>1246</v>
      </c>
      <c r="K789">
        <v>3</v>
      </c>
      <c r="L789">
        <v>738</v>
      </c>
      <c r="M789">
        <v>0.1</v>
      </c>
      <c r="N789">
        <v>664.2</v>
      </c>
      <c r="O789">
        <v>0.12</v>
      </c>
      <c r="P789">
        <v>1992.6</v>
      </c>
      <c r="Q789">
        <v>239.11199999999999</v>
      </c>
      <c r="R789">
        <v>2231.712</v>
      </c>
      <c r="S789" t="s">
        <v>1360</v>
      </c>
      <c r="T789" t="s">
        <v>1361</v>
      </c>
      <c r="U789" s="4">
        <v>45711</v>
      </c>
      <c r="V789" s="4">
        <v>45714</v>
      </c>
      <c r="W789" t="b">
        <v>0</v>
      </c>
      <c r="Z789" t="s">
        <v>1386</v>
      </c>
      <c r="AA789" t="s">
        <v>1385</v>
      </c>
      <c r="AB789" t="s">
        <v>1389</v>
      </c>
    </row>
    <row r="790" spans="1:28" x14ac:dyDescent="0.3">
      <c r="A790" t="s">
        <v>517</v>
      </c>
      <c r="B790" s="6">
        <v>45536.626388888886</v>
      </c>
      <c r="C790" t="s">
        <v>36</v>
      </c>
      <c r="D790" t="s">
        <v>1182</v>
      </c>
      <c r="E790" t="s">
        <v>1207</v>
      </c>
      <c r="F790" t="s">
        <v>1150</v>
      </c>
      <c r="G790" t="s">
        <v>1167</v>
      </c>
      <c r="H790" t="s">
        <v>1168</v>
      </c>
      <c r="I790" t="s">
        <v>1312</v>
      </c>
      <c r="J790" t="s">
        <v>1313</v>
      </c>
      <c r="K790">
        <v>1</v>
      </c>
      <c r="L790">
        <v>56037</v>
      </c>
      <c r="M790">
        <v>0.1</v>
      </c>
      <c r="N790">
        <v>50433.3</v>
      </c>
      <c r="O790">
        <v>0.12</v>
      </c>
      <c r="P790">
        <v>50433.3</v>
      </c>
      <c r="Q790">
        <v>6051.9960000000001</v>
      </c>
      <c r="R790">
        <v>56485.296000000002</v>
      </c>
      <c r="S790" t="s">
        <v>1362</v>
      </c>
      <c r="T790" t="s">
        <v>1361</v>
      </c>
      <c r="U790" s="4">
        <v>45537</v>
      </c>
      <c r="V790" s="4">
        <v>45540</v>
      </c>
      <c r="W790" t="b">
        <v>0</v>
      </c>
      <c r="Z790" t="s">
        <v>1398</v>
      </c>
      <c r="AA790" t="s">
        <v>1399</v>
      </c>
      <c r="AB790" t="s">
        <v>1378</v>
      </c>
    </row>
    <row r="791" spans="1:28" x14ac:dyDescent="0.3">
      <c r="A791" t="s">
        <v>529</v>
      </c>
      <c r="B791" s="6">
        <v>45433.465277777781</v>
      </c>
      <c r="C791" t="s">
        <v>36</v>
      </c>
      <c r="D791" t="s">
        <v>1182</v>
      </c>
      <c r="E791" t="s">
        <v>1207</v>
      </c>
      <c r="F791" t="s">
        <v>1150</v>
      </c>
      <c r="G791" t="s">
        <v>1167</v>
      </c>
      <c r="H791" t="s">
        <v>1211</v>
      </c>
      <c r="I791" t="s">
        <v>1212</v>
      </c>
      <c r="J791" t="s">
        <v>1213</v>
      </c>
      <c r="K791">
        <v>1</v>
      </c>
      <c r="L791">
        <v>46965</v>
      </c>
      <c r="M791">
        <v>0.15</v>
      </c>
      <c r="N791">
        <v>39920.25</v>
      </c>
      <c r="O791">
        <v>0.05</v>
      </c>
      <c r="P791">
        <v>39920.25</v>
      </c>
      <c r="Q791">
        <v>1996.0125</v>
      </c>
      <c r="R791">
        <v>41916.262499999997</v>
      </c>
      <c r="S791" t="s">
        <v>1360</v>
      </c>
      <c r="T791" t="s">
        <v>1361</v>
      </c>
      <c r="U791" s="4">
        <v>45433</v>
      </c>
      <c r="V791" s="4">
        <v>45434</v>
      </c>
      <c r="W791" t="b">
        <v>0</v>
      </c>
      <c r="Z791" t="s">
        <v>1382</v>
      </c>
      <c r="AA791" t="s">
        <v>1397</v>
      </c>
      <c r="AB791" t="s">
        <v>1395</v>
      </c>
    </row>
    <row r="792" spans="1:28" x14ac:dyDescent="0.3">
      <c r="A792" t="s">
        <v>530</v>
      </c>
      <c r="B792" s="6">
        <v>45320.503472222219</v>
      </c>
      <c r="C792" t="s">
        <v>387</v>
      </c>
      <c r="D792" t="s">
        <v>1148</v>
      </c>
      <c r="E792" t="s">
        <v>1262</v>
      </c>
      <c r="F792" t="s">
        <v>1150</v>
      </c>
      <c r="G792" t="s">
        <v>1177</v>
      </c>
      <c r="H792" t="s">
        <v>1192</v>
      </c>
      <c r="I792" t="s">
        <v>1283</v>
      </c>
      <c r="J792" t="s">
        <v>1284</v>
      </c>
      <c r="K792">
        <v>5</v>
      </c>
      <c r="L792">
        <v>1097</v>
      </c>
      <c r="M792">
        <v>0.15</v>
      </c>
      <c r="N792">
        <v>932.44999999999993</v>
      </c>
      <c r="O792">
        <v>0.12</v>
      </c>
      <c r="P792">
        <v>4662.25</v>
      </c>
      <c r="Q792">
        <v>559.47</v>
      </c>
      <c r="R792">
        <v>5221.72</v>
      </c>
      <c r="S792" t="s">
        <v>1363</v>
      </c>
      <c r="T792" t="s">
        <v>1367</v>
      </c>
      <c r="U792" s="4">
        <v>45322</v>
      </c>
      <c r="W792" t="b">
        <v>0</v>
      </c>
      <c r="Z792" t="s">
        <v>1390</v>
      </c>
      <c r="AA792" t="s">
        <v>1385</v>
      </c>
      <c r="AB792" t="s">
        <v>1383</v>
      </c>
    </row>
    <row r="793" spans="1:28" x14ac:dyDescent="0.3">
      <c r="A793" t="s">
        <v>532</v>
      </c>
      <c r="B793" s="6">
        <v>45653.571527777778</v>
      </c>
      <c r="C793" t="s">
        <v>135</v>
      </c>
      <c r="D793" t="s">
        <v>1182</v>
      </c>
      <c r="E793" t="s">
        <v>1207</v>
      </c>
      <c r="F793" t="s">
        <v>1150</v>
      </c>
      <c r="G793" t="s">
        <v>1163</v>
      </c>
      <c r="H793" t="s">
        <v>1184</v>
      </c>
      <c r="I793" t="s">
        <v>1245</v>
      </c>
      <c r="J793" t="s">
        <v>1246</v>
      </c>
      <c r="K793">
        <v>3</v>
      </c>
      <c r="L793">
        <v>790</v>
      </c>
      <c r="M793">
        <v>0.05</v>
      </c>
      <c r="N793">
        <v>750.5</v>
      </c>
      <c r="O793">
        <v>0.12</v>
      </c>
      <c r="P793">
        <v>2251.5</v>
      </c>
      <c r="Q793">
        <v>270.18</v>
      </c>
      <c r="R793">
        <v>2521.6799999999998</v>
      </c>
      <c r="S793" t="s">
        <v>1362</v>
      </c>
      <c r="T793" t="s">
        <v>1361</v>
      </c>
      <c r="U793" s="4">
        <v>45654</v>
      </c>
      <c r="V793" s="4">
        <v>45657</v>
      </c>
      <c r="W793" t="b">
        <v>0</v>
      </c>
      <c r="Z793" t="s">
        <v>1382</v>
      </c>
      <c r="AA793" t="s">
        <v>1400</v>
      </c>
      <c r="AB793" t="s">
        <v>1391</v>
      </c>
    </row>
    <row r="794" spans="1:28" x14ac:dyDescent="0.3">
      <c r="A794" t="s">
        <v>540</v>
      </c>
      <c r="B794" s="6">
        <v>45336.54791666667</v>
      </c>
      <c r="C794" t="s">
        <v>343</v>
      </c>
      <c r="D794" t="s">
        <v>1182</v>
      </c>
      <c r="E794" t="s">
        <v>1207</v>
      </c>
      <c r="F794" t="s">
        <v>1150</v>
      </c>
      <c r="G794" t="s">
        <v>1144</v>
      </c>
      <c r="H794" t="s">
        <v>1214</v>
      </c>
      <c r="I794" t="s">
        <v>1215</v>
      </c>
      <c r="J794" t="s">
        <v>1216</v>
      </c>
      <c r="K794">
        <v>2</v>
      </c>
      <c r="L794">
        <v>11782</v>
      </c>
      <c r="M794">
        <v>0.05</v>
      </c>
      <c r="N794">
        <v>11192.9</v>
      </c>
      <c r="O794">
        <v>0.18</v>
      </c>
      <c r="P794">
        <v>22385.8</v>
      </c>
      <c r="Q794">
        <v>4029.444</v>
      </c>
      <c r="R794">
        <v>26415.243999999999</v>
      </c>
      <c r="S794" t="s">
        <v>1365</v>
      </c>
      <c r="T794" t="s">
        <v>1361</v>
      </c>
      <c r="U794" s="4">
        <v>45338</v>
      </c>
      <c r="V794" s="4">
        <v>45342</v>
      </c>
      <c r="W794" t="b">
        <v>0</v>
      </c>
      <c r="Z794" t="s">
        <v>1386</v>
      </c>
      <c r="AA794" t="s">
        <v>1377</v>
      </c>
      <c r="AB794" t="s">
        <v>1378</v>
      </c>
    </row>
    <row r="795" spans="1:28" x14ac:dyDescent="0.3">
      <c r="A795" t="s">
        <v>541</v>
      </c>
      <c r="B795" s="6">
        <v>45537.754166666666</v>
      </c>
      <c r="C795" t="s">
        <v>171</v>
      </c>
      <c r="D795" t="s">
        <v>1182</v>
      </c>
      <c r="E795" t="s">
        <v>1207</v>
      </c>
      <c r="F795" t="s">
        <v>1150</v>
      </c>
      <c r="G795" t="s">
        <v>1167</v>
      </c>
      <c r="H795" t="s">
        <v>1168</v>
      </c>
      <c r="I795" t="s">
        <v>1314</v>
      </c>
      <c r="J795" t="s">
        <v>1315</v>
      </c>
      <c r="K795">
        <v>3</v>
      </c>
      <c r="L795">
        <v>35442</v>
      </c>
      <c r="M795">
        <v>0</v>
      </c>
      <c r="N795">
        <v>35442</v>
      </c>
      <c r="O795">
        <v>0.12</v>
      </c>
      <c r="P795">
        <v>106326</v>
      </c>
      <c r="Q795">
        <v>12759.12</v>
      </c>
      <c r="R795">
        <v>119085.12</v>
      </c>
      <c r="S795" t="s">
        <v>1366</v>
      </c>
      <c r="T795" t="s">
        <v>1361</v>
      </c>
      <c r="U795" s="4">
        <v>45538</v>
      </c>
      <c r="V795" s="4">
        <v>45542</v>
      </c>
      <c r="W795" t="b">
        <v>0</v>
      </c>
      <c r="Z795" t="s">
        <v>1388</v>
      </c>
      <c r="AA795" t="s">
        <v>1387</v>
      </c>
      <c r="AB795" t="s">
        <v>1378</v>
      </c>
    </row>
    <row r="796" spans="1:28" x14ac:dyDescent="0.3">
      <c r="A796" t="s">
        <v>553</v>
      </c>
      <c r="B796" s="6">
        <v>45399.545138888891</v>
      </c>
      <c r="C796" t="s">
        <v>71</v>
      </c>
      <c r="D796" t="s">
        <v>1157</v>
      </c>
      <c r="E796" t="s">
        <v>1249</v>
      </c>
      <c r="F796" t="s">
        <v>1150</v>
      </c>
      <c r="G796" t="s">
        <v>1144</v>
      </c>
      <c r="H796" t="s">
        <v>1159</v>
      </c>
      <c r="I796" t="s">
        <v>1160</v>
      </c>
      <c r="J796" t="s">
        <v>1161</v>
      </c>
      <c r="K796">
        <v>4</v>
      </c>
      <c r="L796">
        <v>13005</v>
      </c>
      <c r="M796">
        <v>0.05</v>
      </c>
      <c r="N796">
        <v>12354.75</v>
      </c>
      <c r="O796">
        <v>0.18</v>
      </c>
      <c r="P796">
        <v>49419</v>
      </c>
      <c r="Q796">
        <v>8895.42</v>
      </c>
      <c r="R796">
        <v>58314.42</v>
      </c>
      <c r="S796" t="s">
        <v>1365</v>
      </c>
      <c r="T796" t="s">
        <v>1361</v>
      </c>
      <c r="U796" s="4">
        <v>45401</v>
      </c>
      <c r="V796" s="4">
        <v>45404</v>
      </c>
      <c r="W796" t="b">
        <v>0</v>
      </c>
      <c r="Z796" t="s">
        <v>1392</v>
      </c>
      <c r="AA796" t="s">
        <v>1377</v>
      </c>
      <c r="AB796" t="s">
        <v>1393</v>
      </c>
    </row>
    <row r="797" spans="1:28" x14ac:dyDescent="0.3">
      <c r="A797" t="s">
        <v>560</v>
      </c>
      <c r="B797" s="6">
        <v>45297.654166666667</v>
      </c>
      <c r="C797" t="s">
        <v>139</v>
      </c>
      <c r="D797" t="s">
        <v>1148</v>
      </c>
      <c r="E797" t="s">
        <v>1262</v>
      </c>
      <c r="F797" t="s">
        <v>1150</v>
      </c>
      <c r="G797" t="s">
        <v>1163</v>
      </c>
      <c r="H797" t="s">
        <v>1224</v>
      </c>
      <c r="I797" t="s">
        <v>1316</v>
      </c>
      <c r="J797" t="s">
        <v>1317</v>
      </c>
      <c r="K797">
        <v>2</v>
      </c>
      <c r="L797">
        <v>509</v>
      </c>
      <c r="M797">
        <v>0</v>
      </c>
      <c r="N797">
        <v>509</v>
      </c>
      <c r="O797">
        <v>0.12</v>
      </c>
      <c r="P797">
        <v>1018</v>
      </c>
      <c r="Q797">
        <v>122.16</v>
      </c>
      <c r="R797">
        <v>1140.1600000000001</v>
      </c>
      <c r="S797" t="s">
        <v>1363</v>
      </c>
      <c r="T797" t="s">
        <v>1361</v>
      </c>
      <c r="U797" s="4">
        <v>45299</v>
      </c>
      <c r="V797" s="4">
        <v>45303</v>
      </c>
      <c r="W797" t="b">
        <v>0</v>
      </c>
      <c r="Z797" t="s">
        <v>1386</v>
      </c>
      <c r="AA797" t="s">
        <v>1394</v>
      </c>
      <c r="AB797" t="s">
        <v>1393</v>
      </c>
    </row>
    <row r="798" spans="1:28" x14ac:dyDescent="0.3">
      <c r="A798" t="s">
        <v>566</v>
      </c>
      <c r="B798" s="6">
        <v>45667.556250000001</v>
      </c>
      <c r="C798" t="s">
        <v>57</v>
      </c>
      <c r="D798" t="s">
        <v>1153</v>
      </c>
      <c r="E798" t="s">
        <v>1176</v>
      </c>
      <c r="F798" t="s">
        <v>1150</v>
      </c>
      <c r="G798" t="s">
        <v>1177</v>
      </c>
      <c r="H798" t="s">
        <v>1178</v>
      </c>
      <c r="I798" t="s">
        <v>1220</v>
      </c>
      <c r="J798" t="s">
        <v>1221</v>
      </c>
      <c r="K798">
        <v>3</v>
      </c>
      <c r="L798">
        <v>1432</v>
      </c>
      <c r="M798">
        <v>0.15</v>
      </c>
      <c r="N798">
        <v>1217.2</v>
      </c>
      <c r="O798">
        <v>0.12</v>
      </c>
      <c r="P798">
        <v>3651.6</v>
      </c>
      <c r="Q798">
        <v>438.19200000000001</v>
      </c>
      <c r="R798">
        <v>4089.7919999999999</v>
      </c>
      <c r="S798" t="s">
        <v>1363</v>
      </c>
      <c r="T798" t="s">
        <v>1361</v>
      </c>
      <c r="U798" s="4">
        <v>45668</v>
      </c>
      <c r="V798" s="4">
        <v>45673</v>
      </c>
      <c r="W798" t="b">
        <v>0</v>
      </c>
      <c r="Z798" t="s">
        <v>1388</v>
      </c>
      <c r="AA798" t="s">
        <v>1394</v>
      </c>
      <c r="AB798" t="s">
        <v>1391</v>
      </c>
    </row>
    <row r="799" spans="1:28" x14ac:dyDescent="0.3">
      <c r="A799" t="s">
        <v>568</v>
      </c>
      <c r="B799" s="6">
        <v>45461.536805555559</v>
      </c>
      <c r="C799" t="s">
        <v>160</v>
      </c>
      <c r="D799" t="s">
        <v>1157</v>
      </c>
      <c r="E799" t="s">
        <v>1201</v>
      </c>
      <c r="F799" t="s">
        <v>1150</v>
      </c>
      <c r="G799" t="s">
        <v>1172</v>
      </c>
      <c r="H799" t="s">
        <v>1173</v>
      </c>
      <c r="I799" t="s">
        <v>1342</v>
      </c>
      <c r="J799" t="s">
        <v>1343</v>
      </c>
      <c r="K799">
        <v>3</v>
      </c>
      <c r="L799">
        <v>4444</v>
      </c>
      <c r="M799">
        <v>0</v>
      </c>
      <c r="N799">
        <v>4444</v>
      </c>
      <c r="O799">
        <v>0.05</v>
      </c>
      <c r="P799">
        <v>13332</v>
      </c>
      <c r="Q799">
        <v>666.6</v>
      </c>
      <c r="R799">
        <v>13998.6</v>
      </c>
      <c r="S799" t="s">
        <v>1366</v>
      </c>
      <c r="T799" t="s">
        <v>1361</v>
      </c>
      <c r="U799" s="4">
        <v>45462</v>
      </c>
      <c r="V799" s="4">
        <v>45466</v>
      </c>
      <c r="W799" t="b">
        <v>0</v>
      </c>
      <c r="Z799" t="s">
        <v>1376</v>
      </c>
      <c r="AA799" t="s">
        <v>1377</v>
      </c>
      <c r="AB799" t="s">
        <v>1395</v>
      </c>
    </row>
    <row r="800" spans="1:28" x14ac:dyDescent="0.3">
      <c r="A800" t="s">
        <v>570</v>
      </c>
      <c r="B800" s="6">
        <v>45742.585416666669</v>
      </c>
      <c r="C800" t="s">
        <v>571</v>
      </c>
      <c r="D800" t="s">
        <v>1157</v>
      </c>
      <c r="E800" t="s">
        <v>1201</v>
      </c>
      <c r="F800" t="s">
        <v>1150</v>
      </c>
      <c r="G800" t="s">
        <v>1163</v>
      </c>
      <c r="H800" t="s">
        <v>1240</v>
      </c>
      <c r="I800" t="s">
        <v>1281</v>
      </c>
      <c r="J800" t="s">
        <v>1282</v>
      </c>
      <c r="K800">
        <v>4</v>
      </c>
      <c r="L800">
        <v>515</v>
      </c>
      <c r="M800">
        <v>0.15</v>
      </c>
      <c r="N800">
        <v>437.75</v>
      </c>
      <c r="O800">
        <v>0.12</v>
      </c>
      <c r="P800">
        <v>1751</v>
      </c>
      <c r="Q800">
        <v>210.12</v>
      </c>
      <c r="R800">
        <v>1961.12</v>
      </c>
      <c r="S800" t="s">
        <v>1363</v>
      </c>
      <c r="T800" t="s">
        <v>1361</v>
      </c>
      <c r="U800" s="4">
        <v>45743</v>
      </c>
      <c r="V800" s="4">
        <v>45744</v>
      </c>
      <c r="W800" t="b">
        <v>0</v>
      </c>
      <c r="Z800" t="s">
        <v>1376</v>
      </c>
      <c r="AA800" t="s">
        <v>1394</v>
      </c>
      <c r="AB800" t="s">
        <v>1380</v>
      </c>
    </row>
    <row r="801" spans="1:28" x14ac:dyDescent="0.3">
      <c r="A801" t="s">
        <v>573</v>
      </c>
      <c r="B801" s="6">
        <v>45687.518750000003</v>
      </c>
      <c r="C801" t="s">
        <v>18</v>
      </c>
      <c r="D801" t="s">
        <v>1153</v>
      </c>
      <c r="E801" t="s">
        <v>1176</v>
      </c>
      <c r="F801" t="s">
        <v>1150</v>
      </c>
      <c r="G801" t="s">
        <v>1144</v>
      </c>
      <c r="H801" t="s">
        <v>1269</v>
      </c>
      <c r="I801" t="s">
        <v>1301</v>
      </c>
      <c r="J801" t="s">
        <v>1302</v>
      </c>
      <c r="K801">
        <v>4</v>
      </c>
      <c r="L801">
        <v>4976</v>
      </c>
      <c r="M801">
        <v>0.05</v>
      </c>
      <c r="N801">
        <v>4727.2</v>
      </c>
      <c r="O801">
        <v>0.05</v>
      </c>
      <c r="P801">
        <v>18908.8</v>
      </c>
      <c r="Q801">
        <v>945.44</v>
      </c>
      <c r="R801">
        <v>19854.240000000002</v>
      </c>
      <c r="S801" t="s">
        <v>1360</v>
      </c>
      <c r="T801" t="s">
        <v>1361</v>
      </c>
      <c r="U801" s="4">
        <v>45688</v>
      </c>
      <c r="V801" s="4">
        <v>45689</v>
      </c>
      <c r="W801" t="b">
        <v>0</v>
      </c>
      <c r="Z801" t="s">
        <v>1396</v>
      </c>
      <c r="AA801" t="s">
        <v>1397</v>
      </c>
      <c r="AB801" t="s">
        <v>1395</v>
      </c>
    </row>
    <row r="802" spans="1:28" x14ac:dyDescent="0.3">
      <c r="A802" t="s">
        <v>575</v>
      </c>
      <c r="B802" s="6">
        <v>45751.572222222225</v>
      </c>
      <c r="C802" t="s">
        <v>231</v>
      </c>
      <c r="D802" t="s">
        <v>1157</v>
      </c>
      <c r="E802" t="s">
        <v>1249</v>
      </c>
      <c r="F802" t="s">
        <v>1150</v>
      </c>
      <c r="G802" t="s">
        <v>1163</v>
      </c>
      <c r="H802" t="s">
        <v>1240</v>
      </c>
      <c r="I802" t="s">
        <v>1241</v>
      </c>
      <c r="J802" t="s">
        <v>1242</v>
      </c>
      <c r="K802">
        <v>3</v>
      </c>
      <c r="L802">
        <v>147</v>
      </c>
      <c r="M802">
        <v>0</v>
      </c>
      <c r="N802">
        <v>147</v>
      </c>
      <c r="O802">
        <v>0.12</v>
      </c>
      <c r="P802">
        <v>441</v>
      </c>
      <c r="Q802">
        <v>52.919999999999987</v>
      </c>
      <c r="R802">
        <v>493.92</v>
      </c>
      <c r="S802" t="s">
        <v>1360</v>
      </c>
      <c r="T802" t="s">
        <v>1361</v>
      </c>
      <c r="U802" s="4">
        <v>45751</v>
      </c>
      <c r="V802" s="4">
        <v>45752</v>
      </c>
      <c r="W802" t="b">
        <v>0</v>
      </c>
      <c r="Z802" t="s">
        <v>1388</v>
      </c>
      <c r="AA802" t="s">
        <v>1387</v>
      </c>
      <c r="AB802" t="s">
        <v>1389</v>
      </c>
    </row>
    <row r="803" spans="1:28" x14ac:dyDescent="0.3">
      <c r="A803" t="s">
        <v>580</v>
      </c>
      <c r="B803" s="6">
        <v>45423.440972222219</v>
      </c>
      <c r="C803" t="s">
        <v>239</v>
      </c>
      <c r="D803" t="s">
        <v>1153</v>
      </c>
      <c r="E803" t="s">
        <v>1162</v>
      </c>
      <c r="F803" t="s">
        <v>1150</v>
      </c>
      <c r="G803" t="s">
        <v>1177</v>
      </c>
      <c r="H803" t="s">
        <v>1236</v>
      </c>
      <c r="I803" t="s">
        <v>1338</v>
      </c>
      <c r="J803" t="s">
        <v>1339</v>
      </c>
      <c r="K803">
        <v>1</v>
      </c>
      <c r="L803">
        <v>942</v>
      </c>
      <c r="M803">
        <v>0.05</v>
      </c>
      <c r="N803">
        <v>894.9</v>
      </c>
      <c r="O803">
        <v>0.12</v>
      </c>
      <c r="P803">
        <v>894.9</v>
      </c>
      <c r="Q803">
        <v>107.38800000000001</v>
      </c>
      <c r="R803">
        <v>1002.288</v>
      </c>
      <c r="S803" t="s">
        <v>1362</v>
      </c>
      <c r="T803" t="s">
        <v>1361</v>
      </c>
      <c r="U803" s="4">
        <v>45425</v>
      </c>
      <c r="V803" s="4">
        <v>45427</v>
      </c>
      <c r="W803" t="b">
        <v>0</v>
      </c>
      <c r="Z803" t="s">
        <v>1384</v>
      </c>
      <c r="AA803" t="s">
        <v>1394</v>
      </c>
      <c r="AB803" t="s">
        <v>1389</v>
      </c>
    </row>
    <row r="804" spans="1:28" x14ac:dyDescent="0.3">
      <c r="A804" t="s">
        <v>582</v>
      </c>
      <c r="B804" s="6">
        <v>45622.567361111112</v>
      </c>
      <c r="C804" t="s">
        <v>469</v>
      </c>
      <c r="D804" t="s">
        <v>1153</v>
      </c>
      <c r="E804" t="s">
        <v>1176</v>
      </c>
      <c r="F804" t="s">
        <v>1150</v>
      </c>
      <c r="G804" t="s">
        <v>1172</v>
      </c>
      <c r="H804" t="s">
        <v>1173</v>
      </c>
      <c r="I804" t="s">
        <v>1342</v>
      </c>
      <c r="J804" t="s">
        <v>1343</v>
      </c>
      <c r="K804">
        <v>3</v>
      </c>
      <c r="L804">
        <v>2964</v>
      </c>
      <c r="M804">
        <v>0</v>
      </c>
      <c r="N804">
        <v>2964</v>
      </c>
      <c r="O804">
        <v>0.18</v>
      </c>
      <c r="P804">
        <v>8892</v>
      </c>
      <c r="Q804">
        <v>1600.56</v>
      </c>
      <c r="R804">
        <v>10492.56</v>
      </c>
      <c r="S804" t="s">
        <v>1363</v>
      </c>
      <c r="T804" t="s">
        <v>1361</v>
      </c>
      <c r="U804" s="4">
        <v>45622</v>
      </c>
      <c r="V804" s="4">
        <v>45626</v>
      </c>
      <c r="W804" t="b">
        <v>0</v>
      </c>
      <c r="Z804" t="s">
        <v>1398</v>
      </c>
      <c r="AA804" t="s">
        <v>1394</v>
      </c>
      <c r="AB804" t="s">
        <v>1383</v>
      </c>
    </row>
    <row r="805" spans="1:28" x14ac:dyDescent="0.3">
      <c r="A805" t="s">
        <v>591</v>
      </c>
      <c r="B805" s="6">
        <v>45771.441666666666</v>
      </c>
      <c r="C805" t="s">
        <v>325</v>
      </c>
      <c r="D805" t="s">
        <v>1153</v>
      </c>
      <c r="E805" t="s">
        <v>1154</v>
      </c>
      <c r="F805" t="s">
        <v>1150</v>
      </c>
      <c r="G805" t="s">
        <v>1167</v>
      </c>
      <c r="H805" t="s">
        <v>1263</v>
      </c>
      <c r="I805" t="s">
        <v>1346</v>
      </c>
      <c r="J805" t="s">
        <v>1347</v>
      </c>
      <c r="K805">
        <v>2</v>
      </c>
      <c r="L805">
        <v>30115</v>
      </c>
      <c r="M805">
        <v>0</v>
      </c>
      <c r="N805">
        <v>30115</v>
      </c>
      <c r="O805">
        <v>0.12</v>
      </c>
      <c r="P805">
        <v>60230</v>
      </c>
      <c r="Q805">
        <v>7227.5999999999995</v>
      </c>
      <c r="R805">
        <v>67457.600000000006</v>
      </c>
      <c r="S805" t="s">
        <v>1365</v>
      </c>
      <c r="T805" t="s">
        <v>1361</v>
      </c>
      <c r="U805" s="4">
        <v>45771</v>
      </c>
      <c r="V805" s="4">
        <v>45776</v>
      </c>
      <c r="W805" t="b">
        <v>0</v>
      </c>
      <c r="Z805" t="s">
        <v>1384</v>
      </c>
      <c r="AA805" t="s">
        <v>1385</v>
      </c>
      <c r="AB805" t="s">
        <v>1389</v>
      </c>
    </row>
    <row r="806" spans="1:28" x14ac:dyDescent="0.3">
      <c r="A806" t="s">
        <v>601</v>
      </c>
      <c r="B806" s="6">
        <v>45554.577777777777</v>
      </c>
      <c r="C806" t="s">
        <v>229</v>
      </c>
      <c r="D806" t="s">
        <v>1148</v>
      </c>
      <c r="E806" t="s">
        <v>1149</v>
      </c>
      <c r="F806" t="s">
        <v>1150</v>
      </c>
      <c r="G806" t="s">
        <v>1177</v>
      </c>
      <c r="H806" t="s">
        <v>1192</v>
      </c>
      <c r="I806" t="s">
        <v>1344</v>
      </c>
      <c r="J806" t="s">
        <v>1345</v>
      </c>
      <c r="K806">
        <v>1</v>
      </c>
      <c r="L806">
        <v>1409</v>
      </c>
      <c r="M806">
        <v>0</v>
      </c>
      <c r="N806">
        <v>1409</v>
      </c>
      <c r="O806">
        <v>0.12</v>
      </c>
      <c r="P806">
        <v>1409</v>
      </c>
      <c r="Q806">
        <v>169.08</v>
      </c>
      <c r="R806">
        <v>1578.08</v>
      </c>
      <c r="S806" t="s">
        <v>1363</v>
      </c>
      <c r="T806" t="s">
        <v>1361</v>
      </c>
      <c r="U806" s="4">
        <v>45555</v>
      </c>
      <c r="V806" s="4">
        <v>45556</v>
      </c>
      <c r="W806" t="b">
        <v>0</v>
      </c>
      <c r="Z806" t="s">
        <v>1386</v>
      </c>
      <c r="AA806" t="s">
        <v>1394</v>
      </c>
      <c r="AB806" t="s">
        <v>1393</v>
      </c>
    </row>
    <row r="807" spans="1:28" x14ac:dyDescent="0.3">
      <c r="A807" t="s">
        <v>607</v>
      </c>
      <c r="B807" s="6">
        <v>45401.650694444441</v>
      </c>
      <c r="C807" t="s">
        <v>105</v>
      </c>
      <c r="D807" t="s">
        <v>1182</v>
      </c>
      <c r="E807" t="s">
        <v>1207</v>
      </c>
      <c r="F807" t="s">
        <v>1150</v>
      </c>
      <c r="G807" t="s">
        <v>1177</v>
      </c>
      <c r="H807" t="s">
        <v>1236</v>
      </c>
      <c r="I807" t="s">
        <v>1338</v>
      </c>
      <c r="J807" t="s">
        <v>1339</v>
      </c>
      <c r="K807">
        <v>2</v>
      </c>
      <c r="L807">
        <v>2996</v>
      </c>
      <c r="M807">
        <v>0.1</v>
      </c>
      <c r="N807">
        <v>2696.4</v>
      </c>
      <c r="O807">
        <v>0.12</v>
      </c>
      <c r="P807">
        <v>5392.8</v>
      </c>
      <c r="Q807">
        <v>647.13599999999997</v>
      </c>
      <c r="R807">
        <v>6039.9359999999997</v>
      </c>
      <c r="S807" t="s">
        <v>1365</v>
      </c>
      <c r="T807" t="s">
        <v>1361</v>
      </c>
      <c r="U807" s="4">
        <v>45402</v>
      </c>
      <c r="V807" s="4">
        <v>45403</v>
      </c>
      <c r="W807" t="b">
        <v>0</v>
      </c>
      <c r="Z807" t="s">
        <v>1390</v>
      </c>
      <c r="AA807" t="s">
        <v>1400</v>
      </c>
      <c r="AB807" t="s">
        <v>1389</v>
      </c>
    </row>
    <row r="808" spans="1:28" x14ac:dyDescent="0.3">
      <c r="A808" t="s">
        <v>613</v>
      </c>
      <c r="B808" s="6">
        <v>45610.697916666664</v>
      </c>
      <c r="C808" t="s">
        <v>614</v>
      </c>
      <c r="D808" t="s">
        <v>1141</v>
      </c>
      <c r="E808" t="s">
        <v>1285</v>
      </c>
      <c r="F808" t="s">
        <v>1150</v>
      </c>
      <c r="G808" t="s">
        <v>1167</v>
      </c>
      <c r="H808" t="s">
        <v>1211</v>
      </c>
      <c r="I808" t="s">
        <v>1212</v>
      </c>
      <c r="J808" t="s">
        <v>1213</v>
      </c>
      <c r="K808">
        <v>1</v>
      </c>
      <c r="L808">
        <v>3928</v>
      </c>
      <c r="M808">
        <v>0</v>
      </c>
      <c r="N808">
        <v>3928</v>
      </c>
      <c r="O808">
        <v>0.18</v>
      </c>
      <c r="P808">
        <v>3928</v>
      </c>
      <c r="Q808">
        <v>707.04</v>
      </c>
      <c r="R808">
        <v>4635.04</v>
      </c>
      <c r="S808" t="s">
        <v>1363</v>
      </c>
      <c r="T808" t="s">
        <v>1361</v>
      </c>
      <c r="U808" s="4">
        <v>45610</v>
      </c>
      <c r="V808" s="4">
        <v>45613</v>
      </c>
      <c r="W808" t="b">
        <v>0</v>
      </c>
      <c r="Z808" t="s">
        <v>1392</v>
      </c>
      <c r="AA808" t="s">
        <v>1385</v>
      </c>
      <c r="AB808" t="s">
        <v>1393</v>
      </c>
    </row>
    <row r="809" spans="1:28" x14ac:dyDescent="0.3">
      <c r="A809" t="s">
        <v>618</v>
      </c>
      <c r="B809" s="6">
        <v>45447.618750000001</v>
      </c>
      <c r="C809" t="s">
        <v>510</v>
      </c>
      <c r="D809" t="s">
        <v>1153</v>
      </c>
      <c r="E809" t="s">
        <v>1191</v>
      </c>
      <c r="F809" t="s">
        <v>1150</v>
      </c>
      <c r="G809" t="s">
        <v>1172</v>
      </c>
      <c r="H809" t="s">
        <v>1198</v>
      </c>
      <c r="I809" t="s">
        <v>1250</v>
      </c>
      <c r="J809" t="s">
        <v>1251</v>
      </c>
      <c r="K809">
        <v>3</v>
      </c>
      <c r="L809">
        <v>3566</v>
      </c>
      <c r="M809">
        <v>0.1</v>
      </c>
      <c r="N809">
        <v>3209.4</v>
      </c>
      <c r="O809">
        <v>0.18</v>
      </c>
      <c r="P809">
        <v>9628.2000000000007</v>
      </c>
      <c r="Q809">
        <v>1733.076</v>
      </c>
      <c r="R809">
        <v>11361.276</v>
      </c>
      <c r="S809" t="s">
        <v>1360</v>
      </c>
      <c r="T809" t="s">
        <v>1369</v>
      </c>
      <c r="W809" t="b">
        <v>0</v>
      </c>
      <c r="Z809" t="s">
        <v>1384</v>
      </c>
      <c r="AA809" t="s">
        <v>1387</v>
      </c>
      <c r="AB809" t="s">
        <v>1393</v>
      </c>
    </row>
    <row r="810" spans="1:28" x14ac:dyDescent="0.3">
      <c r="A810" t="s">
        <v>620</v>
      </c>
      <c r="B810" s="6">
        <v>45426.554166666669</v>
      </c>
      <c r="C810" t="s">
        <v>216</v>
      </c>
      <c r="D810" t="s">
        <v>1157</v>
      </c>
      <c r="E810" t="s">
        <v>1201</v>
      </c>
      <c r="F810" t="s">
        <v>1150</v>
      </c>
      <c r="G810" t="s">
        <v>1167</v>
      </c>
      <c r="H810" t="s">
        <v>1208</v>
      </c>
      <c r="I810" t="s">
        <v>1291</v>
      </c>
      <c r="J810" t="s">
        <v>1292</v>
      </c>
      <c r="K810">
        <v>3</v>
      </c>
      <c r="L810">
        <v>10220</v>
      </c>
      <c r="M810">
        <v>0</v>
      </c>
      <c r="N810">
        <v>10220</v>
      </c>
      <c r="O810">
        <v>0.12</v>
      </c>
      <c r="P810">
        <v>30660</v>
      </c>
      <c r="Q810">
        <v>3679.2</v>
      </c>
      <c r="R810">
        <v>34339.199999999997</v>
      </c>
      <c r="S810" t="s">
        <v>1363</v>
      </c>
      <c r="T810" t="s">
        <v>1361</v>
      </c>
      <c r="U810" s="4">
        <v>45427</v>
      </c>
      <c r="V810" s="4">
        <v>45428</v>
      </c>
      <c r="W810" t="b">
        <v>0</v>
      </c>
      <c r="Z810" t="s">
        <v>1386</v>
      </c>
      <c r="AA810" t="s">
        <v>1385</v>
      </c>
      <c r="AB810" t="s">
        <v>1393</v>
      </c>
    </row>
    <row r="811" spans="1:28" x14ac:dyDescent="0.3">
      <c r="A811" t="s">
        <v>624</v>
      </c>
      <c r="B811" s="6">
        <v>45519.597222222219</v>
      </c>
      <c r="C811" t="s">
        <v>65</v>
      </c>
      <c r="D811" t="s">
        <v>1141</v>
      </c>
      <c r="E811" t="s">
        <v>1142</v>
      </c>
      <c r="F811" t="s">
        <v>1150</v>
      </c>
      <c r="G811" t="s">
        <v>1163</v>
      </c>
      <c r="H811" t="s">
        <v>1224</v>
      </c>
      <c r="I811" t="s">
        <v>1225</v>
      </c>
      <c r="J811" t="s">
        <v>1226</v>
      </c>
      <c r="K811">
        <v>2</v>
      </c>
      <c r="L811">
        <v>490</v>
      </c>
      <c r="M811">
        <v>0</v>
      </c>
      <c r="N811">
        <v>490</v>
      </c>
      <c r="O811">
        <v>0.05</v>
      </c>
      <c r="P811">
        <v>980</v>
      </c>
      <c r="Q811">
        <v>49</v>
      </c>
      <c r="R811">
        <v>1029</v>
      </c>
      <c r="S811" t="s">
        <v>1360</v>
      </c>
      <c r="T811" t="s">
        <v>1368</v>
      </c>
      <c r="U811" s="4">
        <v>45521</v>
      </c>
      <c r="W811" t="b">
        <v>0</v>
      </c>
      <c r="Z811" t="s">
        <v>1390</v>
      </c>
      <c r="AA811" t="s">
        <v>1397</v>
      </c>
      <c r="AB811" t="s">
        <v>1380</v>
      </c>
    </row>
    <row r="812" spans="1:28" x14ac:dyDescent="0.3">
      <c r="A812" t="s">
        <v>625</v>
      </c>
      <c r="B812" s="6">
        <v>45382.588888888888</v>
      </c>
      <c r="C812" t="s">
        <v>313</v>
      </c>
      <c r="D812" t="s">
        <v>1148</v>
      </c>
      <c r="E812" t="s">
        <v>1149</v>
      </c>
      <c r="F812" t="s">
        <v>1150</v>
      </c>
      <c r="G812" t="s">
        <v>1144</v>
      </c>
      <c r="H812" t="s">
        <v>1145</v>
      </c>
      <c r="I812" t="s">
        <v>1155</v>
      </c>
      <c r="J812" t="s">
        <v>1156</v>
      </c>
      <c r="K812">
        <v>2</v>
      </c>
      <c r="L812">
        <v>3041</v>
      </c>
      <c r="M812">
        <v>0</v>
      </c>
      <c r="N812">
        <v>3041</v>
      </c>
      <c r="O812">
        <v>0.12</v>
      </c>
      <c r="P812">
        <v>6082</v>
      </c>
      <c r="Q812">
        <v>729.83999999999992</v>
      </c>
      <c r="R812">
        <v>6811.84</v>
      </c>
      <c r="S812" t="s">
        <v>1363</v>
      </c>
      <c r="T812" t="s">
        <v>1361</v>
      </c>
      <c r="U812" s="4">
        <v>45384</v>
      </c>
      <c r="V812" s="4">
        <v>45388</v>
      </c>
      <c r="W812" t="b">
        <v>0</v>
      </c>
      <c r="Z812" t="s">
        <v>1379</v>
      </c>
      <c r="AA812" t="s">
        <v>1387</v>
      </c>
      <c r="AB812" t="s">
        <v>1393</v>
      </c>
    </row>
    <row r="813" spans="1:28" x14ac:dyDescent="0.3">
      <c r="A813" t="s">
        <v>632</v>
      </c>
      <c r="B813" s="6">
        <v>45681.652777777781</v>
      </c>
      <c r="C813" t="s">
        <v>124</v>
      </c>
      <c r="D813" t="s">
        <v>1153</v>
      </c>
      <c r="E813" t="s">
        <v>1191</v>
      </c>
      <c r="F813" t="s">
        <v>1150</v>
      </c>
      <c r="G813" t="s">
        <v>1163</v>
      </c>
      <c r="H813" t="s">
        <v>1240</v>
      </c>
      <c r="I813" t="s">
        <v>1281</v>
      </c>
      <c r="J813" t="s">
        <v>1282</v>
      </c>
      <c r="K813">
        <v>2</v>
      </c>
      <c r="L813">
        <v>319</v>
      </c>
      <c r="M813">
        <v>0.1</v>
      </c>
      <c r="N813">
        <v>287.10000000000002</v>
      </c>
      <c r="O813">
        <v>0.18</v>
      </c>
      <c r="P813">
        <v>574.20000000000005</v>
      </c>
      <c r="Q813">
        <v>103.35599999999999</v>
      </c>
      <c r="R813">
        <v>677.55600000000004</v>
      </c>
      <c r="S813" t="s">
        <v>1362</v>
      </c>
      <c r="T813" t="s">
        <v>1361</v>
      </c>
      <c r="U813" s="4">
        <v>45681</v>
      </c>
      <c r="V813" s="4">
        <v>45683</v>
      </c>
      <c r="W813" t="b">
        <v>0</v>
      </c>
      <c r="Z813" t="s">
        <v>1376</v>
      </c>
      <c r="AA813" t="s">
        <v>1399</v>
      </c>
      <c r="AB813" t="s">
        <v>1389</v>
      </c>
    </row>
    <row r="814" spans="1:28" x14ac:dyDescent="0.3">
      <c r="A814" t="s">
        <v>635</v>
      </c>
      <c r="B814" s="6">
        <v>45519.658333333333</v>
      </c>
      <c r="C814" t="s">
        <v>241</v>
      </c>
      <c r="D814" t="s">
        <v>1182</v>
      </c>
      <c r="E814" t="s">
        <v>1183</v>
      </c>
      <c r="F814" t="s">
        <v>1150</v>
      </c>
      <c r="G814" t="s">
        <v>1177</v>
      </c>
      <c r="H814" t="s">
        <v>1178</v>
      </c>
      <c r="I814" t="s">
        <v>1220</v>
      </c>
      <c r="J814" t="s">
        <v>1221</v>
      </c>
      <c r="K814">
        <v>3</v>
      </c>
      <c r="L814">
        <v>2460</v>
      </c>
      <c r="M814">
        <v>0.05</v>
      </c>
      <c r="N814">
        <v>2337</v>
      </c>
      <c r="O814">
        <v>0.12</v>
      </c>
      <c r="P814">
        <v>7011</v>
      </c>
      <c r="Q814">
        <v>841.31999999999994</v>
      </c>
      <c r="R814">
        <v>7852.32</v>
      </c>
      <c r="S814" t="s">
        <v>1360</v>
      </c>
      <c r="T814" t="s">
        <v>1361</v>
      </c>
      <c r="U814" s="4">
        <v>45521</v>
      </c>
      <c r="V814" s="4">
        <v>45525</v>
      </c>
      <c r="W814" t="b">
        <v>0</v>
      </c>
      <c r="Z814" t="s">
        <v>1379</v>
      </c>
      <c r="AA814" t="s">
        <v>1385</v>
      </c>
      <c r="AB814" t="s">
        <v>1393</v>
      </c>
    </row>
    <row r="815" spans="1:28" x14ac:dyDescent="0.3">
      <c r="A815" t="s">
        <v>636</v>
      </c>
      <c r="B815" s="6">
        <v>45767.661805555559</v>
      </c>
      <c r="C815" t="s">
        <v>494</v>
      </c>
      <c r="D815" t="s">
        <v>1153</v>
      </c>
      <c r="E815" t="s">
        <v>1191</v>
      </c>
      <c r="F815" t="s">
        <v>1150</v>
      </c>
      <c r="G815" t="s">
        <v>1177</v>
      </c>
      <c r="H815" t="s">
        <v>1195</v>
      </c>
      <c r="I815" t="s">
        <v>1196</v>
      </c>
      <c r="J815" t="s">
        <v>1197</v>
      </c>
      <c r="K815">
        <v>1</v>
      </c>
      <c r="L815">
        <v>2491</v>
      </c>
      <c r="M815">
        <v>0</v>
      </c>
      <c r="N815">
        <v>2491</v>
      </c>
      <c r="O815">
        <v>0.12</v>
      </c>
      <c r="P815">
        <v>2491</v>
      </c>
      <c r="Q815">
        <v>298.92</v>
      </c>
      <c r="R815">
        <v>2789.92</v>
      </c>
      <c r="S815" t="s">
        <v>1360</v>
      </c>
      <c r="T815" t="s">
        <v>1361</v>
      </c>
      <c r="U815" s="4">
        <v>45769</v>
      </c>
      <c r="V815" s="4">
        <v>45774</v>
      </c>
      <c r="W815" t="b">
        <v>0</v>
      </c>
      <c r="Z815" t="s">
        <v>1392</v>
      </c>
      <c r="AA815" t="s">
        <v>1397</v>
      </c>
      <c r="AB815" t="s">
        <v>1378</v>
      </c>
    </row>
    <row r="816" spans="1:28" x14ac:dyDescent="0.3">
      <c r="A816" t="s">
        <v>640</v>
      </c>
      <c r="B816" s="6">
        <v>45750.475694444445</v>
      </c>
      <c r="C816" t="s">
        <v>419</v>
      </c>
      <c r="D816" t="s">
        <v>1153</v>
      </c>
      <c r="E816" t="s">
        <v>1154</v>
      </c>
      <c r="F816" t="s">
        <v>1150</v>
      </c>
      <c r="G816" t="s">
        <v>1167</v>
      </c>
      <c r="H816" t="s">
        <v>1211</v>
      </c>
      <c r="I816" t="s">
        <v>1212</v>
      </c>
      <c r="J816" t="s">
        <v>1213</v>
      </c>
      <c r="K816">
        <v>2</v>
      </c>
      <c r="L816">
        <v>17050</v>
      </c>
      <c r="M816">
        <v>0.2</v>
      </c>
      <c r="N816">
        <v>13640</v>
      </c>
      <c r="O816">
        <v>0.05</v>
      </c>
      <c r="P816">
        <v>27280</v>
      </c>
      <c r="Q816">
        <v>1364</v>
      </c>
      <c r="R816">
        <v>28644</v>
      </c>
      <c r="S816" t="s">
        <v>1360</v>
      </c>
      <c r="T816" t="s">
        <v>1361</v>
      </c>
      <c r="U816" s="4">
        <v>45751</v>
      </c>
      <c r="V816" s="4">
        <v>45752</v>
      </c>
      <c r="W816" t="b">
        <v>0</v>
      </c>
      <c r="Z816" t="s">
        <v>1386</v>
      </c>
      <c r="AA816" t="s">
        <v>1377</v>
      </c>
      <c r="AB816" t="s">
        <v>1383</v>
      </c>
    </row>
    <row r="817" spans="1:28" x14ac:dyDescent="0.3">
      <c r="A817" t="s">
        <v>641</v>
      </c>
      <c r="B817" s="6">
        <v>45518.668749999997</v>
      </c>
      <c r="C817" t="s">
        <v>51</v>
      </c>
      <c r="D817" t="s">
        <v>1141</v>
      </c>
      <c r="E817" t="s">
        <v>1227</v>
      </c>
      <c r="F817" t="s">
        <v>1150</v>
      </c>
      <c r="G817" t="s">
        <v>1144</v>
      </c>
      <c r="H817" t="s">
        <v>1269</v>
      </c>
      <c r="I817" t="s">
        <v>1326</v>
      </c>
      <c r="J817" t="s">
        <v>1327</v>
      </c>
      <c r="K817">
        <v>3</v>
      </c>
      <c r="L817">
        <v>10128</v>
      </c>
      <c r="M817">
        <v>0.05</v>
      </c>
      <c r="N817">
        <v>9621.6</v>
      </c>
      <c r="O817">
        <v>0.12</v>
      </c>
      <c r="P817">
        <v>28864.799999999999</v>
      </c>
      <c r="Q817">
        <v>3463.7759999999998</v>
      </c>
      <c r="R817">
        <v>32328.576000000001</v>
      </c>
      <c r="S817" t="s">
        <v>1360</v>
      </c>
      <c r="T817" t="s">
        <v>1361</v>
      </c>
      <c r="U817" s="4">
        <v>45520</v>
      </c>
      <c r="V817" s="4">
        <v>45525</v>
      </c>
      <c r="W817" t="b">
        <v>0</v>
      </c>
      <c r="Z817" t="s">
        <v>1392</v>
      </c>
      <c r="AA817" t="s">
        <v>1387</v>
      </c>
      <c r="AB817" t="s">
        <v>1380</v>
      </c>
    </row>
    <row r="818" spans="1:28" x14ac:dyDescent="0.3">
      <c r="A818" t="s">
        <v>642</v>
      </c>
      <c r="B818" s="6">
        <v>45647.613888888889</v>
      </c>
      <c r="C818" t="s">
        <v>141</v>
      </c>
      <c r="D818" t="s">
        <v>1141</v>
      </c>
      <c r="E818" t="s">
        <v>1227</v>
      </c>
      <c r="F818" t="s">
        <v>1150</v>
      </c>
      <c r="G818" t="s">
        <v>1144</v>
      </c>
      <c r="H818" t="s">
        <v>1276</v>
      </c>
      <c r="I818" t="s">
        <v>1286</v>
      </c>
      <c r="J818" t="s">
        <v>1287</v>
      </c>
      <c r="K818">
        <v>2</v>
      </c>
      <c r="L818">
        <v>3063</v>
      </c>
      <c r="M818">
        <v>0</v>
      </c>
      <c r="N818">
        <v>3063</v>
      </c>
      <c r="O818">
        <v>0.18</v>
      </c>
      <c r="P818">
        <v>6126</v>
      </c>
      <c r="Q818">
        <v>1102.68</v>
      </c>
      <c r="R818">
        <v>7228.68</v>
      </c>
      <c r="S818" t="s">
        <v>1360</v>
      </c>
      <c r="T818" t="s">
        <v>1361</v>
      </c>
      <c r="U818" s="4">
        <v>45648</v>
      </c>
      <c r="V818" s="4">
        <v>45651</v>
      </c>
      <c r="W818" t="b">
        <v>0</v>
      </c>
      <c r="Z818" t="s">
        <v>1376</v>
      </c>
      <c r="AA818" t="s">
        <v>1377</v>
      </c>
      <c r="AB818" t="s">
        <v>1395</v>
      </c>
    </row>
    <row r="819" spans="1:28" x14ac:dyDescent="0.3">
      <c r="A819" t="s">
        <v>644</v>
      </c>
      <c r="B819" s="6">
        <v>45474.479166666664</v>
      </c>
      <c r="C819" t="s">
        <v>132</v>
      </c>
      <c r="D819" t="s">
        <v>1182</v>
      </c>
      <c r="E819" t="s">
        <v>1257</v>
      </c>
      <c r="F819" t="s">
        <v>1150</v>
      </c>
      <c r="G819" t="s">
        <v>1177</v>
      </c>
      <c r="H819" t="s">
        <v>1309</v>
      </c>
      <c r="I819" t="s">
        <v>1328</v>
      </c>
      <c r="J819" t="s">
        <v>1329</v>
      </c>
      <c r="K819">
        <v>1</v>
      </c>
      <c r="L819">
        <v>979</v>
      </c>
      <c r="M819">
        <v>0.1</v>
      </c>
      <c r="N819">
        <v>881.1</v>
      </c>
      <c r="O819">
        <v>0.12</v>
      </c>
      <c r="P819">
        <v>881.1</v>
      </c>
      <c r="Q819">
        <v>105.732</v>
      </c>
      <c r="R819">
        <v>986.83199999999999</v>
      </c>
      <c r="S819" t="s">
        <v>1366</v>
      </c>
      <c r="T819" t="s">
        <v>1367</v>
      </c>
      <c r="U819" s="4">
        <v>45476</v>
      </c>
      <c r="W819" t="b">
        <v>0</v>
      </c>
      <c r="Z819" t="s">
        <v>1392</v>
      </c>
      <c r="AA819" t="s">
        <v>1394</v>
      </c>
      <c r="AB819" t="s">
        <v>1378</v>
      </c>
    </row>
    <row r="820" spans="1:28" x14ac:dyDescent="0.3">
      <c r="A820" t="s">
        <v>645</v>
      </c>
      <c r="B820" s="6">
        <v>45572.511805555558</v>
      </c>
      <c r="C820" t="s">
        <v>40</v>
      </c>
      <c r="D820" t="s">
        <v>1141</v>
      </c>
      <c r="E820" t="s">
        <v>1142</v>
      </c>
      <c r="F820" t="s">
        <v>1150</v>
      </c>
      <c r="G820" t="s">
        <v>1167</v>
      </c>
      <c r="H820" t="s">
        <v>1208</v>
      </c>
      <c r="I820" t="s">
        <v>1209</v>
      </c>
      <c r="J820" t="s">
        <v>1210</v>
      </c>
      <c r="K820">
        <v>2</v>
      </c>
      <c r="L820">
        <v>23033</v>
      </c>
      <c r="M820">
        <v>0</v>
      </c>
      <c r="N820">
        <v>23033</v>
      </c>
      <c r="O820">
        <v>0.05</v>
      </c>
      <c r="P820">
        <v>46066</v>
      </c>
      <c r="Q820">
        <v>2303.3000000000002</v>
      </c>
      <c r="R820">
        <v>48369.3</v>
      </c>
      <c r="S820" t="s">
        <v>1360</v>
      </c>
      <c r="T820" t="s">
        <v>1361</v>
      </c>
      <c r="U820" s="4">
        <v>45574</v>
      </c>
      <c r="V820" s="4">
        <v>45578</v>
      </c>
      <c r="W820" t="b">
        <v>0</v>
      </c>
      <c r="Z820" t="s">
        <v>1384</v>
      </c>
      <c r="AA820" t="s">
        <v>1399</v>
      </c>
      <c r="AB820" t="s">
        <v>1391</v>
      </c>
    </row>
    <row r="821" spans="1:28" x14ac:dyDescent="0.3">
      <c r="A821" t="s">
        <v>647</v>
      </c>
      <c r="B821" s="6">
        <v>45394.581250000003</v>
      </c>
      <c r="C821" t="s">
        <v>328</v>
      </c>
      <c r="D821" t="s">
        <v>1148</v>
      </c>
      <c r="E821" t="s">
        <v>1149</v>
      </c>
      <c r="F821" t="s">
        <v>1150</v>
      </c>
      <c r="G821" t="s">
        <v>1144</v>
      </c>
      <c r="H821" t="s">
        <v>1159</v>
      </c>
      <c r="I821" t="s">
        <v>1334</v>
      </c>
      <c r="J821" t="s">
        <v>1335</v>
      </c>
      <c r="K821">
        <v>2</v>
      </c>
      <c r="L821">
        <v>5892</v>
      </c>
      <c r="M821">
        <v>0.15</v>
      </c>
      <c r="N821">
        <v>5008.2</v>
      </c>
      <c r="O821">
        <v>0.12</v>
      </c>
      <c r="P821">
        <v>10016.4</v>
      </c>
      <c r="Q821">
        <v>1201.9680000000001</v>
      </c>
      <c r="R821">
        <v>11218.368</v>
      </c>
      <c r="S821" t="s">
        <v>1365</v>
      </c>
      <c r="T821" t="s">
        <v>1361</v>
      </c>
      <c r="U821" s="4">
        <v>45395</v>
      </c>
      <c r="V821" s="4">
        <v>45400</v>
      </c>
      <c r="W821" t="b">
        <v>0</v>
      </c>
      <c r="Z821" t="s">
        <v>1384</v>
      </c>
      <c r="AA821" t="s">
        <v>1377</v>
      </c>
      <c r="AB821" t="s">
        <v>1395</v>
      </c>
    </row>
    <row r="822" spans="1:28" x14ac:dyDescent="0.3">
      <c r="A822" t="s">
        <v>654</v>
      </c>
      <c r="B822" s="6">
        <v>45679.511111111111</v>
      </c>
      <c r="C822" t="s">
        <v>325</v>
      </c>
      <c r="D822" t="s">
        <v>1153</v>
      </c>
      <c r="E822" t="s">
        <v>1154</v>
      </c>
      <c r="F822" t="s">
        <v>1150</v>
      </c>
      <c r="G822" t="s">
        <v>1167</v>
      </c>
      <c r="H822" t="s">
        <v>1211</v>
      </c>
      <c r="I822" t="s">
        <v>1212</v>
      </c>
      <c r="J822" t="s">
        <v>1213</v>
      </c>
      <c r="K822">
        <v>2</v>
      </c>
      <c r="L822">
        <v>59132</v>
      </c>
      <c r="M822">
        <v>0</v>
      </c>
      <c r="N822">
        <v>59132</v>
      </c>
      <c r="O822">
        <v>0.05</v>
      </c>
      <c r="P822">
        <v>118264</v>
      </c>
      <c r="Q822">
        <v>5913.2000000000007</v>
      </c>
      <c r="R822">
        <v>124177.2</v>
      </c>
      <c r="S822" t="s">
        <v>1365</v>
      </c>
      <c r="T822" t="s">
        <v>1361</v>
      </c>
      <c r="U822" s="4">
        <v>45680</v>
      </c>
      <c r="V822" s="4">
        <v>45683</v>
      </c>
      <c r="W822" t="b">
        <v>0</v>
      </c>
      <c r="Z822" t="s">
        <v>1392</v>
      </c>
      <c r="AA822" t="s">
        <v>1387</v>
      </c>
      <c r="AB822" t="s">
        <v>1393</v>
      </c>
    </row>
    <row r="823" spans="1:28" x14ac:dyDescent="0.3">
      <c r="A823" t="s">
        <v>655</v>
      </c>
      <c r="B823" s="6">
        <v>45735.511111111111</v>
      </c>
      <c r="C823" t="s">
        <v>57</v>
      </c>
      <c r="D823" t="s">
        <v>1153</v>
      </c>
      <c r="E823" t="s">
        <v>1176</v>
      </c>
      <c r="F823" t="s">
        <v>1150</v>
      </c>
      <c r="G823" t="s">
        <v>1167</v>
      </c>
      <c r="H823" t="s">
        <v>1211</v>
      </c>
      <c r="I823" t="s">
        <v>1212</v>
      </c>
      <c r="J823" t="s">
        <v>1213</v>
      </c>
      <c r="K823">
        <v>3</v>
      </c>
      <c r="L823">
        <v>39943</v>
      </c>
      <c r="M823">
        <v>0</v>
      </c>
      <c r="N823">
        <v>39943</v>
      </c>
      <c r="O823">
        <v>0.18</v>
      </c>
      <c r="P823">
        <v>119829</v>
      </c>
      <c r="Q823">
        <v>21569.22</v>
      </c>
      <c r="R823">
        <v>141398.22</v>
      </c>
      <c r="S823" t="s">
        <v>1365</v>
      </c>
      <c r="T823" t="s">
        <v>1361</v>
      </c>
      <c r="U823" s="4">
        <v>45737</v>
      </c>
      <c r="V823" s="4">
        <v>45741</v>
      </c>
      <c r="W823" t="b">
        <v>0</v>
      </c>
      <c r="Z823" t="s">
        <v>1382</v>
      </c>
      <c r="AA823" t="s">
        <v>1387</v>
      </c>
      <c r="AB823" t="s">
        <v>1383</v>
      </c>
    </row>
    <row r="824" spans="1:28" x14ac:dyDescent="0.3">
      <c r="A824" t="s">
        <v>656</v>
      </c>
      <c r="B824" s="6">
        <v>45586.577777777777</v>
      </c>
      <c r="C824" t="s">
        <v>227</v>
      </c>
      <c r="D824" t="s">
        <v>1153</v>
      </c>
      <c r="E824" t="s">
        <v>1154</v>
      </c>
      <c r="F824" t="s">
        <v>1150</v>
      </c>
      <c r="G824" t="s">
        <v>1163</v>
      </c>
      <c r="H824" t="s">
        <v>1224</v>
      </c>
      <c r="I824" t="s">
        <v>1243</v>
      </c>
      <c r="J824" t="s">
        <v>1244</v>
      </c>
      <c r="K824">
        <v>3</v>
      </c>
      <c r="L824">
        <v>359</v>
      </c>
      <c r="M824">
        <v>0</v>
      </c>
      <c r="N824">
        <v>359</v>
      </c>
      <c r="O824">
        <v>0.05</v>
      </c>
      <c r="P824">
        <v>1077</v>
      </c>
      <c r="Q824">
        <v>53.85</v>
      </c>
      <c r="R824">
        <v>1130.8499999999999</v>
      </c>
      <c r="S824" t="s">
        <v>1362</v>
      </c>
      <c r="T824" t="s">
        <v>1361</v>
      </c>
      <c r="U824" s="4">
        <v>45587</v>
      </c>
      <c r="V824" s="4">
        <v>45590</v>
      </c>
      <c r="W824" t="b">
        <v>0</v>
      </c>
      <c r="Z824" t="s">
        <v>1384</v>
      </c>
      <c r="AA824" t="s">
        <v>1394</v>
      </c>
      <c r="AB824" t="s">
        <v>1378</v>
      </c>
    </row>
    <row r="825" spans="1:28" x14ac:dyDescent="0.3">
      <c r="A825" t="s">
        <v>660</v>
      </c>
      <c r="B825" s="6">
        <v>45478.604166666664</v>
      </c>
      <c r="C825" t="s">
        <v>65</v>
      </c>
      <c r="D825" t="s">
        <v>1141</v>
      </c>
      <c r="E825" t="s">
        <v>1142</v>
      </c>
      <c r="F825" t="s">
        <v>1150</v>
      </c>
      <c r="G825" t="s">
        <v>1144</v>
      </c>
      <c r="H825" t="s">
        <v>1145</v>
      </c>
      <c r="I825" t="s">
        <v>1155</v>
      </c>
      <c r="J825" t="s">
        <v>1156</v>
      </c>
      <c r="K825">
        <v>2</v>
      </c>
      <c r="L825">
        <v>12770</v>
      </c>
      <c r="M825">
        <v>0</v>
      </c>
      <c r="N825">
        <v>12770</v>
      </c>
      <c r="O825">
        <v>0.05</v>
      </c>
      <c r="P825">
        <v>25540</v>
      </c>
      <c r="Q825">
        <v>1277</v>
      </c>
      <c r="R825">
        <v>26817</v>
      </c>
      <c r="S825" t="s">
        <v>1365</v>
      </c>
      <c r="T825" t="s">
        <v>1361</v>
      </c>
      <c r="U825" s="4">
        <v>45480</v>
      </c>
      <c r="V825" s="4">
        <v>45481</v>
      </c>
      <c r="W825" t="b">
        <v>0</v>
      </c>
      <c r="Z825" t="s">
        <v>1388</v>
      </c>
      <c r="AA825" t="s">
        <v>1387</v>
      </c>
      <c r="AB825" t="s">
        <v>1383</v>
      </c>
    </row>
    <row r="826" spans="1:28" x14ac:dyDescent="0.3">
      <c r="A826" t="s">
        <v>661</v>
      </c>
      <c r="B826" s="6">
        <v>45754.489583333336</v>
      </c>
      <c r="C826" t="s">
        <v>330</v>
      </c>
      <c r="D826" t="s">
        <v>1153</v>
      </c>
      <c r="E826" t="s">
        <v>1162</v>
      </c>
      <c r="F826" t="s">
        <v>1150</v>
      </c>
      <c r="G826" t="s">
        <v>1167</v>
      </c>
      <c r="H826" t="s">
        <v>1168</v>
      </c>
      <c r="I826" t="s">
        <v>1312</v>
      </c>
      <c r="J826" t="s">
        <v>1313</v>
      </c>
      <c r="K826">
        <v>2</v>
      </c>
      <c r="L826">
        <v>36611</v>
      </c>
      <c r="M826">
        <v>0</v>
      </c>
      <c r="N826">
        <v>36611</v>
      </c>
      <c r="O826">
        <v>0.18</v>
      </c>
      <c r="P826">
        <v>73222</v>
      </c>
      <c r="Q826">
        <v>13179.96</v>
      </c>
      <c r="R826">
        <v>86401.959999999992</v>
      </c>
      <c r="S826" t="s">
        <v>1360</v>
      </c>
      <c r="T826" t="s">
        <v>1361</v>
      </c>
      <c r="U826" s="4">
        <v>45755</v>
      </c>
      <c r="V826" s="4">
        <v>45758</v>
      </c>
      <c r="W826" t="b">
        <v>0</v>
      </c>
      <c r="Z826" t="s">
        <v>1392</v>
      </c>
      <c r="AA826" t="s">
        <v>1400</v>
      </c>
      <c r="AB826" t="s">
        <v>1378</v>
      </c>
    </row>
    <row r="827" spans="1:28" x14ac:dyDescent="0.3">
      <c r="A827" t="s">
        <v>662</v>
      </c>
      <c r="B827" s="6">
        <v>45336.537499999999</v>
      </c>
      <c r="C827" t="s">
        <v>519</v>
      </c>
      <c r="D827" t="s">
        <v>1182</v>
      </c>
      <c r="E827" t="s">
        <v>1257</v>
      </c>
      <c r="F827" t="s">
        <v>1150</v>
      </c>
      <c r="G827" t="s">
        <v>1167</v>
      </c>
      <c r="H827" t="s">
        <v>1211</v>
      </c>
      <c r="I827" t="s">
        <v>1299</v>
      </c>
      <c r="J827" t="s">
        <v>1300</v>
      </c>
      <c r="K827">
        <v>3</v>
      </c>
      <c r="L827">
        <v>22583</v>
      </c>
      <c r="M827">
        <v>0</v>
      </c>
      <c r="N827">
        <v>22583</v>
      </c>
      <c r="O827">
        <v>0.05</v>
      </c>
      <c r="P827">
        <v>67749</v>
      </c>
      <c r="Q827">
        <v>3387.45</v>
      </c>
      <c r="R827">
        <v>71136.45</v>
      </c>
      <c r="S827" t="s">
        <v>1360</v>
      </c>
      <c r="T827" t="s">
        <v>1367</v>
      </c>
      <c r="U827" s="4">
        <v>45337</v>
      </c>
      <c r="W827" t="b">
        <v>0</v>
      </c>
      <c r="Z827" t="s">
        <v>1376</v>
      </c>
      <c r="AA827" t="s">
        <v>1387</v>
      </c>
      <c r="AB827" t="s">
        <v>1395</v>
      </c>
    </row>
    <row r="828" spans="1:28" x14ac:dyDescent="0.3">
      <c r="A828" t="s">
        <v>670</v>
      </c>
      <c r="B828" s="6">
        <v>45699.636111111111</v>
      </c>
      <c r="C828" t="s">
        <v>223</v>
      </c>
      <c r="D828" t="s">
        <v>1148</v>
      </c>
      <c r="E828" t="s">
        <v>1149</v>
      </c>
      <c r="F828" t="s">
        <v>1150</v>
      </c>
      <c r="G828" t="s">
        <v>1163</v>
      </c>
      <c r="H828" t="s">
        <v>1240</v>
      </c>
      <c r="I828" t="s">
        <v>1241</v>
      </c>
      <c r="J828" t="s">
        <v>1242</v>
      </c>
      <c r="K828">
        <v>2</v>
      </c>
      <c r="L828">
        <v>558</v>
      </c>
      <c r="M828">
        <v>0.1</v>
      </c>
      <c r="N828">
        <v>502.2</v>
      </c>
      <c r="O828">
        <v>0.12</v>
      </c>
      <c r="P828">
        <v>1004.4</v>
      </c>
      <c r="Q828">
        <v>120.52800000000001</v>
      </c>
      <c r="R828">
        <v>1124.9280000000001</v>
      </c>
      <c r="S828" t="s">
        <v>1365</v>
      </c>
      <c r="T828" t="s">
        <v>1361</v>
      </c>
      <c r="U828" s="4">
        <v>45700</v>
      </c>
      <c r="V828" s="4">
        <v>45703</v>
      </c>
      <c r="W828" t="b">
        <v>0</v>
      </c>
      <c r="Z828" t="s">
        <v>1384</v>
      </c>
      <c r="AA828" t="s">
        <v>1394</v>
      </c>
      <c r="AB828" t="s">
        <v>1383</v>
      </c>
    </row>
    <row r="829" spans="1:28" x14ac:dyDescent="0.3">
      <c r="A829" t="s">
        <v>677</v>
      </c>
      <c r="B829" s="6">
        <v>45636.49722222222</v>
      </c>
      <c r="C829" t="s">
        <v>629</v>
      </c>
      <c r="D829" t="s">
        <v>1153</v>
      </c>
      <c r="E829" t="s">
        <v>1191</v>
      </c>
      <c r="F829" t="s">
        <v>1150</v>
      </c>
      <c r="G829" t="s">
        <v>1177</v>
      </c>
      <c r="H829" t="s">
        <v>1192</v>
      </c>
      <c r="I829" t="s">
        <v>1193</v>
      </c>
      <c r="J829" t="s">
        <v>1194</v>
      </c>
      <c r="K829">
        <v>3</v>
      </c>
      <c r="L829">
        <v>436</v>
      </c>
      <c r="M829">
        <v>0.15</v>
      </c>
      <c r="N829">
        <v>370.6</v>
      </c>
      <c r="O829">
        <v>0.18</v>
      </c>
      <c r="P829">
        <v>1111.8</v>
      </c>
      <c r="Q829">
        <v>200.124</v>
      </c>
      <c r="R829">
        <v>1311.924</v>
      </c>
      <c r="S829" t="s">
        <v>1363</v>
      </c>
      <c r="T829" t="s">
        <v>1361</v>
      </c>
      <c r="U829" s="4">
        <v>45638</v>
      </c>
      <c r="V829" s="4">
        <v>45643</v>
      </c>
      <c r="W829" t="b">
        <v>0</v>
      </c>
      <c r="Z829" t="s">
        <v>1388</v>
      </c>
      <c r="AA829" t="s">
        <v>1394</v>
      </c>
      <c r="AB829" t="s">
        <v>1389</v>
      </c>
    </row>
    <row r="830" spans="1:28" x14ac:dyDescent="0.3">
      <c r="A830" t="s">
        <v>682</v>
      </c>
      <c r="B830" s="6">
        <v>45482.459027777775</v>
      </c>
      <c r="C830" t="s">
        <v>683</v>
      </c>
      <c r="D830" t="s">
        <v>1182</v>
      </c>
      <c r="E830" t="s">
        <v>1257</v>
      </c>
      <c r="F830" t="s">
        <v>1150</v>
      </c>
      <c r="G830" t="s">
        <v>1177</v>
      </c>
      <c r="H830" t="s">
        <v>1192</v>
      </c>
      <c r="I830" t="s">
        <v>1344</v>
      </c>
      <c r="J830" t="s">
        <v>1345</v>
      </c>
      <c r="K830">
        <v>1</v>
      </c>
      <c r="L830">
        <v>2207</v>
      </c>
      <c r="M830">
        <v>0.05</v>
      </c>
      <c r="N830">
        <v>2096.65</v>
      </c>
      <c r="O830">
        <v>0.12</v>
      </c>
      <c r="P830">
        <v>2096.65</v>
      </c>
      <c r="Q830">
        <v>251.59800000000001</v>
      </c>
      <c r="R830">
        <v>2348.248</v>
      </c>
      <c r="S830" t="s">
        <v>1363</v>
      </c>
      <c r="T830" t="s">
        <v>1361</v>
      </c>
      <c r="U830" s="4">
        <v>45483</v>
      </c>
      <c r="V830" s="4">
        <v>45488</v>
      </c>
      <c r="W830" t="b">
        <v>0</v>
      </c>
      <c r="Z830" t="s">
        <v>1386</v>
      </c>
      <c r="AA830" t="s">
        <v>1394</v>
      </c>
      <c r="AB830" t="s">
        <v>1378</v>
      </c>
    </row>
    <row r="831" spans="1:28" x14ac:dyDescent="0.3">
      <c r="A831" t="s">
        <v>684</v>
      </c>
      <c r="B831" s="6">
        <v>45302.500694444447</v>
      </c>
      <c r="C831" t="s">
        <v>313</v>
      </c>
      <c r="D831" t="s">
        <v>1148</v>
      </c>
      <c r="E831" t="s">
        <v>1149</v>
      </c>
      <c r="F831" t="s">
        <v>1150</v>
      </c>
      <c r="G831" t="s">
        <v>1177</v>
      </c>
      <c r="H831" t="s">
        <v>1195</v>
      </c>
      <c r="I831" t="s">
        <v>1218</v>
      </c>
      <c r="J831" t="s">
        <v>1219</v>
      </c>
      <c r="K831">
        <v>2</v>
      </c>
      <c r="L831">
        <v>1849</v>
      </c>
      <c r="M831">
        <v>0.2</v>
      </c>
      <c r="N831">
        <v>1479.2</v>
      </c>
      <c r="O831">
        <v>0.05</v>
      </c>
      <c r="P831">
        <v>2958.4</v>
      </c>
      <c r="Q831">
        <v>147.91999999999999</v>
      </c>
      <c r="R831">
        <v>3106.32</v>
      </c>
      <c r="S831" t="s">
        <v>1365</v>
      </c>
      <c r="T831" t="s">
        <v>1367</v>
      </c>
      <c r="U831" s="4">
        <v>45302</v>
      </c>
      <c r="W831" t="b">
        <v>0</v>
      </c>
      <c r="Z831" t="s">
        <v>1392</v>
      </c>
      <c r="AA831" t="s">
        <v>1385</v>
      </c>
      <c r="AB831" t="s">
        <v>1391</v>
      </c>
    </row>
    <row r="832" spans="1:28" x14ac:dyDescent="0.3">
      <c r="A832" t="s">
        <v>694</v>
      </c>
      <c r="B832" s="6">
        <v>45499.431944444441</v>
      </c>
      <c r="C832" t="s">
        <v>269</v>
      </c>
      <c r="D832" t="s">
        <v>1141</v>
      </c>
      <c r="E832" t="s">
        <v>1239</v>
      </c>
      <c r="F832" t="s">
        <v>1150</v>
      </c>
      <c r="G832" t="s">
        <v>1163</v>
      </c>
      <c r="H832" t="s">
        <v>1266</v>
      </c>
      <c r="I832" t="s">
        <v>1267</v>
      </c>
      <c r="J832" t="s">
        <v>1268</v>
      </c>
      <c r="K832">
        <v>3</v>
      </c>
      <c r="L832">
        <v>864</v>
      </c>
      <c r="M832">
        <v>0</v>
      </c>
      <c r="N832">
        <v>864</v>
      </c>
      <c r="O832">
        <v>0.12</v>
      </c>
      <c r="P832">
        <v>2592</v>
      </c>
      <c r="Q832">
        <v>311.04000000000002</v>
      </c>
      <c r="R832">
        <v>2903.04</v>
      </c>
      <c r="S832" t="s">
        <v>1360</v>
      </c>
      <c r="T832" t="s">
        <v>1369</v>
      </c>
      <c r="W832" t="b">
        <v>0</v>
      </c>
      <c r="Z832" t="s">
        <v>1382</v>
      </c>
      <c r="AA832" t="s">
        <v>1385</v>
      </c>
      <c r="AB832" t="s">
        <v>1380</v>
      </c>
    </row>
    <row r="833" spans="1:28" x14ac:dyDescent="0.3">
      <c r="A833" t="s">
        <v>695</v>
      </c>
      <c r="B833" s="6">
        <v>45707.552777777775</v>
      </c>
      <c r="C833" t="s">
        <v>259</v>
      </c>
      <c r="D833" t="s">
        <v>1141</v>
      </c>
      <c r="E833" t="s">
        <v>1227</v>
      </c>
      <c r="F833" t="s">
        <v>1150</v>
      </c>
      <c r="G833" t="s">
        <v>1144</v>
      </c>
      <c r="H833" t="s">
        <v>1159</v>
      </c>
      <c r="I833" t="s">
        <v>1160</v>
      </c>
      <c r="J833" t="s">
        <v>1161</v>
      </c>
      <c r="K833">
        <v>2</v>
      </c>
      <c r="L833">
        <v>14946</v>
      </c>
      <c r="M833">
        <v>0</v>
      </c>
      <c r="N833">
        <v>14946</v>
      </c>
      <c r="O833">
        <v>0.18</v>
      </c>
      <c r="P833">
        <v>29892</v>
      </c>
      <c r="Q833">
        <v>5380.5599999999986</v>
      </c>
      <c r="R833">
        <v>35272.559999999998</v>
      </c>
      <c r="S833" t="s">
        <v>1365</v>
      </c>
      <c r="T833" t="s">
        <v>1361</v>
      </c>
      <c r="U833" s="4">
        <v>45708</v>
      </c>
      <c r="V833" s="4">
        <v>45713</v>
      </c>
      <c r="W833" t="b">
        <v>0</v>
      </c>
      <c r="Z833" t="s">
        <v>1382</v>
      </c>
      <c r="AA833" t="s">
        <v>1394</v>
      </c>
      <c r="AB833" t="s">
        <v>1395</v>
      </c>
    </row>
    <row r="834" spans="1:28" x14ac:dyDescent="0.3">
      <c r="A834" t="s">
        <v>705</v>
      </c>
      <c r="B834" s="6">
        <v>45363.561805555553</v>
      </c>
      <c r="C834" t="s">
        <v>88</v>
      </c>
      <c r="D834" t="s">
        <v>1148</v>
      </c>
      <c r="E834" t="s">
        <v>1262</v>
      </c>
      <c r="F834" t="s">
        <v>1150</v>
      </c>
      <c r="G834" t="s">
        <v>1172</v>
      </c>
      <c r="H834" t="s">
        <v>1229</v>
      </c>
      <c r="I834" t="s">
        <v>1230</v>
      </c>
      <c r="J834" t="s">
        <v>1231</v>
      </c>
      <c r="K834">
        <v>1</v>
      </c>
      <c r="L834">
        <v>8270</v>
      </c>
      <c r="M834">
        <v>0</v>
      </c>
      <c r="N834">
        <v>8270</v>
      </c>
      <c r="O834">
        <v>0.12</v>
      </c>
      <c r="P834">
        <v>8270</v>
      </c>
      <c r="Q834">
        <v>992.4</v>
      </c>
      <c r="R834">
        <v>9262.4</v>
      </c>
      <c r="S834" t="s">
        <v>1360</v>
      </c>
      <c r="T834" t="s">
        <v>1361</v>
      </c>
      <c r="U834" s="4">
        <v>45364</v>
      </c>
      <c r="V834" s="4">
        <v>45366</v>
      </c>
      <c r="W834" t="b">
        <v>0</v>
      </c>
      <c r="Z834" t="s">
        <v>1384</v>
      </c>
      <c r="AA834" t="s">
        <v>1399</v>
      </c>
      <c r="AB834" t="s">
        <v>1389</v>
      </c>
    </row>
    <row r="835" spans="1:28" x14ac:dyDescent="0.3">
      <c r="A835" t="s">
        <v>710</v>
      </c>
      <c r="B835" s="6">
        <v>45742.536805555559</v>
      </c>
      <c r="C835" t="s">
        <v>200</v>
      </c>
      <c r="D835" t="s">
        <v>1182</v>
      </c>
      <c r="E835" t="s">
        <v>1183</v>
      </c>
      <c r="F835" t="s">
        <v>1150</v>
      </c>
      <c r="G835" t="s">
        <v>1163</v>
      </c>
      <c r="H835" t="s">
        <v>1184</v>
      </c>
      <c r="I835" t="s">
        <v>1245</v>
      </c>
      <c r="J835" t="s">
        <v>1246</v>
      </c>
      <c r="K835">
        <v>1</v>
      </c>
      <c r="L835">
        <v>1126</v>
      </c>
      <c r="M835">
        <v>0</v>
      </c>
      <c r="N835">
        <v>1126</v>
      </c>
      <c r="O835">
        <v>0.12</v>
      </c>
      <c r="P835">
        <v>1126</v>
      </c>
      <c r="Q835">
        <v>135.12</v>
      </c>
      <c r="R835">
        <v>1261.1199999999999</v>
      </c>
      <c r="S835" t="s">
        <v>1360</v>
      </c>
      <c r="T835" t="s">
        <v>1361</v>
      </c>
      <c r="U835" s="4">
        <v>45742</v>
      </c>
      <c r="V835" s="4">
        <v>45746</v>
      </c>
      <c r="W835" t="b">
        <v>0</v>
      </c>
      <c r="Z835" t="s">
        <v>1388</v>
      </c>
      <c r="AA835" t="s">
        <v>1385</v>
      </c>
      <c r="AB835" t="s">
        <v>1393</v>
      </c>
    </row>
    <row r="836" spans="1:28" x14ac:dyDescent="0.3">
      <c r="A836" t="s">
        <v>714</v>
      </c>
      <c r="B836" s="6">
        <v>45529.511805555558</v>
      </c>
      <c r="C836" t="s">
        <v>158</v>
      </c>
      <c r="D836" t="s">
        <v>1182</v>
      </c>
      <c r="E836" t="s">
        <v>1257</v>
      </c>
      <c r="F836" t="s">
        <v>1150</v>
      </c>
      <c r="G836" t="s">
        <v>1144</v>
      </c>
      <c r="H836" t="s">
        <v>1269</v>
      </c>
      <c r="I836" t="s">
        <v>1301</v>
      </c>
      <c r="J836" t="s">
        <v>1302</v>
      </c>
      <c r="K836">
        <v>3</v>
      </c>
      <c r="L836">
        <v>1427</v>
      </c>
      <c r="M836">
        <v>0</v>
      </c>
      <c r="N836">
        <v>1427</v>
      </c>
      <c r="O836">
        <v>0.05</v>
      </c>
      <c r="P836">
        <v>4281</v>
      </c>
      <c r="Q836">
        <v>214.05</v>
      </c>
      <c r="R836">
        <v>4495.05</v>
      </c>
      <c r="S836" t="s">
        <v>1365</v>
      </c>
      <c r="T836" t="s">
        <v>1361</v>
      </c>
      <c r="U836" s="4">
        <v>45530</v>
      </c>
      <c r="V836" s="4">
        <v>45532</v>
      </c>
      <c r="W836" t="b">
        <v>0</v>
      </c>
      <c r="Z836" t="s">
        <v>1384</v>
      </c>
      <c r="AA836" t="s">
        <v>1399</v>
      </c>
      <c r="AB836" t="s">
        <v>1383</v>
      </c>
    </row>
    <row r="837" spans="1:28" x14ac:dyDescent="0.3">
      <c r="A837" t="s">
        <v>718</v>
      </c>
      <c r="B837" s="6">
        <v>45438.484722222223</v>
      </c>
      <c r="C837" t="s">
        <v>141</v>
      </c>
      <c r="D837" t="s">
        <v>1141</v>
      </c>
      <c r="E837" t="s">
        <v>1227</v>
      </c>
      <c r="F837" t="s">
        <v>1150</v>
      </c>
      <c r="G837" t="s">
        <v>1177</v>
      </c>
      <c r="H837" t="s">
        <v>1309</v>
      </c>
      <c r="I837" t="s">
        <v>1310</v>
      </c>
      <c r="J837" t="s">
        <v>1311</v>
      </c>
      <c r="K837">
        <v>3</v>
      </c>
      <c r="L837">
        <v>1319</v>
      </c>
      <c r="M837">
        <v>0</v>
      </c>
      <c r="N837">
        <v>1319</v>
      </c>
      <c r="O837">
        <v>0.05</v>
      </c>
      <c r="P837">
        <v>3957</v>
      </c>
      <c r="Q837">
        <v>197.85</v>
      </c>
      <c r="R837">
        <v>4154.8500000000004</v>
      </c>
      <c r="S837" t="s">
        <v>1360</v>
      </c>
      <c r="T837" t="s">
        <v>1361</v>
      </c>
      <c r="U837" s="4">
        <v>45439</v>
      </c>
      <c r="V837" s="4">
        <v>45440</v>
      </c>
      <c r="W837" t="b">
        <v>0</v>
      </c>
      <c r="Z837" t="s">
        <v>1388</v>
      </c>
      <c r="AA837" t="s">
        <v>1387</v>
      </c>
      <c r="AB837" t="s">
        <v>1395</v>
      </c>
    </row>
    <row r="838" spans="1:28" x14ac:dyDescent="0.3">
      <c r="A838" t="s">
        <v>719</v>
      </c>
      <c r="B838" s="6">
        <v>45375.500694444447</v>
      </c>
      <c r="C838" t="s">
        <v>169</v>
      </c>
      <c r="D838" t="s">
        <v>1148</v>
      </c>
      <c r="E838" t="s">
        <v>1149</v>
      </c>
      <c r="F838" t="s">
        <v>1150</v>
      </c>
      <c r="G838" t="s">
        <v>1167</v>
      </c>
      <c r="H838" t="s">
        <v>1211</v>
      </c>
      <c r="I838" t="s">
        <v>1279</v>
      </c>
      <c r="J838" t="s">
        <v>1280</v>
      </c>
      <c r="K838">
        <v>3</v>
      </c>
      <c r="L838">
        <v>49248</v>
      </c>
      <c r="M838">
        <v>0</v>
      </c>
      <c r="N838">
        <v>49248</v>
      </c>
      <c r="O838">
        <v>0.18</v>
      </c>
      <c r="P838">
        <v>147744</v>
      </c>
      <c r="Q838">
        <v>26593.919999999998</v>
      </c>
      <c r="R838">
        <v>174337.92000000001</v>
      </c>
      <c r="S838" t="s">
        <v>1360</v>
      </c>
      <c r="T838" t="s">
        <v>1361</v>
      </c>
      <c r="U838" s="4">
        <v>45375</v>
      </c>
      <c r="V838" s="4">
        <v>45379</v>
      </c>
      <c r="W838" t="b">
        <v>0</v>
      </c>
      <c r="Z838" t="s">
        <v>1382</v>
      </c>
      <c r="AA838" t="s">
        <v>1385</v>
      </c>
      <c r="AB838" t="s">
        <v>1389</v>
      </c>
    </row>
    <row r="839" spans="1:28" x14ac:dyDescent="0.3">
      <c r="A839" t="s">
        <v>722</v>
      </c>
      <c r="B839" s="6">
        <v>45636.643055555556</v>
      </c>
      <c r="C839" t="s">
        <v>45</v>
      </c>
      <c r="D839" t="s">
        <v>1141</v>
      </c>
      <c r="E839" t="s">
        <v>1142</v>
      </c>
      <c r="F839" t="s">
        <v>1150</v>
      </c>
      <c r="G839" t="s">
        <v>1163</v>
      </c>
      <c r="H839" t="s">
        <v>1266</v>
      </c>
      <c r="I839" t="s">
        <v>1348</v>
      </c>
      <c r="J839" t="s">
        <v>1349</v>
      </c>
      <c r="K839">
        <v>3</v>
      </c>
      <c r="L839">
        <v>665</v>
      </c>
      <c r="M839">
        <v>0.1</v>
      </c>
      <c r="N839">
        <v>598.5</v>
      </c>
      <c r="O839">
        <v>0.12</v>
      </c>
      <c r="P839">
        <v>1795.5</v>
      </c>
      <c r="Q839">
        <v>215.46</v>
      </c>
      <c r="R839">
        <v>2010.96</v>
      </c>
      <c r="S839" t="s">
        <v>1363</v>
      </c>
      <c r="T839" t="s">
        <v>1361</v>
      </c>
      <c r="U839" s="4">
        <v>45638</v>
      </c>
      <c r="V839" s="4">
        <v>45642</v>
      </c>
      <c r="W839" t="b">
        <v>0</v>
      </c>
      <c r="Z839" t="s">
        <v>1384</v>
      </c>
      <c r="AA839" t="s">
        <v>1399</v>
      </c>
      <c r="AB839" t="s">
        <v>1393</v>
      </c>
    </row>
    <row r="840" spans="1:28" x14ac:dyDescent="0.3">
      <c r="A840" t="s">
        <v>723</v>
      </c>
      <c r="B840" s="6">
        <v>45764.503472222219</v>
      </c>
      <c r="C840" t="s">
        <v>81</v>
      </c>
      <c r="D840" t="s">
        <v>1148</v>
      </c>
      <c r="E840" t="s">
        <v>1149</v>
      </c>
      <c r="F840" t="s">
        <v>1150</v>
      </c>
      <c r="G840" t="s">
        <v>1172</v>
      </c>
      <c r="H840" t="s">
        <v>1188</v>
      </c>
      <c r="I840" t="s">
        <v>1258</v>
      </c>
      <c r="J840" t="s">
        <v>1259</v>
      </c>
      <c r="K840">
        <v>2</v>
      </c>
      <c r="L840">
        <v>8289</v>
      </c>
      <c r="M840">
        <v>0.05</v>
      </c>
      <c r="N840">
        <v>7874.5499999999993</v>
      </c>
      <c r="O840">
        <v>0.12</v>
      </c>
      <c r="P840">
        <v>15749.1</v>
      </c>
      <c r="Q840">
        <v>1889.8920000000001</v>
      </c>
      <c r="R840">
        <v>17638.991999999998</v>
      </c>
      <c r="S840" t="s">
        <v>1365</v>
      </c>
      <c r="T840" t="s">
        <v>1364</v>
      </c>
      <c r="U840" s="4">
        <v>45766</v>
      </c>
      <c r="W840" t="b">
        <v>1</v>
      </c>
      <c r="X840" s="4">
        <v>45769</v>
      </c>
      <c r="Y840" s="4">
        <v>45769</v>
      </c>
      <c r="Z840" t="s">
        <v>1390</v>
      </c>
      <c r="AA840" t="s">
        <v>1387</v>
      </c>
      <c r="AB840" t="s">
        <v>1389</v>
      </c>
    </row>
    <row r="841" spans="1:28" x14ac:dyDescent="0.3">
      <c r="A841" t="s">
        <v>729</v>
      </c>
      <c r="B841" s="6">
        <v>45494.470138888886</v>
      </c>
      <c r="C841" t="s">
        <v>505</v>
      </c>
      <c r="D841" t="s">
        <v>1157</v>
      </c>
      <c r="E841" t="s">
        <v>1158</v>
      </c>
      <c r="F841" t="s">
        <v>1150</v>
      </c>
      <c r="G841" t="s">
        <v>1144</v>
      </c>
      <c r="H841" t="s">
        <v>1276</v>
      </c>
      <c r="I841" t="s">
        <v>1286</v>
      </c>
      <c r="J841" t="s">
        <v>1287</v>
      </c>
      <c r="K841">
        <v>1</v>
      </c>
      <c r="L841">
        <v>5799</v>
      </c>
      <c r="M841">
        <v>0</v>
      </c>
      <c r="N841">
        <v>5799</v>
      </c>
      <c r="O841">
        <v>0.05</v>
      </c>
      <c r="P841">
        <v>5799</v>
      </c>
      <c r="Q841">
        <v>289.95</v>
      </c>
      <c r="R841">
        <v>6088.95</v>
      </c>
      <c r="S841" t="s">
        <v>1362</v>
      </c>
      <c r="T841" t="s">
        <v>1361</v>
      </c>
      <c r="U841" s="4">
        <v>45494</v>
      </c>
      <c r="V841" s="4">
        <v>45499</v>
      </c>
      <c r="W841" t="b">
        <v>0</v>
      </c>
      <c r="Z841" t="s">
        <v>1392</v>
      </c>
      <c r="AA841" t="s">
        <v>1385</v>
      </c>
      <c r="AB841" t="s">
        <v>1391</v>
      </c>
    </row>
    <row r="842" spans="1:28" x14ac:dyDescent="0.3">
      <c r="A842" t="s">
        <v>731</v>
      </c>
      <c r="B842" s="6">
        <v>45628.580555555556</v>
      </c>
      <c r="C842" t="s">
        <v>102</v>
      </c>
      <c r="D842" t="s">
        <v>1141</v>
      </c>
      <c r="E842" t="s">
        <v>1239</v>
      </c>
      <c r="F842" t="s">
        <v>1150</v>
      </c>
      <c r="G842" t="s">
        <v>1172</v>
      </c>
      <c r="H842" t="s">
        <v>1229</v>
      </c>
      <c r="I842" t="s">
        <v>1340</v>
      </c>
      <c r="J842" t="s">
        <v>1341</v>
      </c>
      <c r="K842">
        <v>3</v>
      </c>
      <c r="L842">
        <v>512</v>
      </c>
      <c r="M842">
        <v>0.05</v>
      </c>
      <c r="N842">
        <v>486.4</v>
      </c>
      <c r="O842">
        <v>0.12</v>
      </c>
      <c r="P842">
        <v>1459.2</v>
      </c>
      <c r="Q842">
        <v>175.10400000000001</v>
      </c>
      <c r="R842">
        <v>1634.3040000000001</v>
      </c>
      <c r="S842" t="s">
        <v>1362</v>
      </c>
      <c r="T842" t="s">
        <v>1369</v>
      </c>
      <c r="W842" t="b">
        <v>0</v>
      </c>
      <c r="Z842" t="s">
        <v>1398</v>
      </c>
      <c r="AA842" t="s">
        <v>1399</v>
      </c>
      <c r="AB842" t="s">
        <v>1391</v>
      </c>
    </row>
    <row r="843" spans="1:28" x14ac:dyDescent="0.3">
      <c r="A843" t="s">
        <v>736</v>
      </c>
      <c r="B843" s="6">
        <v>45601.513888888891</v>
      </c>
      <c r="C843" t="s">
        <v>296</v>
      </c>
      <c r="D843" t="s">
        <v>1157</v>
      </c>
      <c r="E843" t="s">
        <v>1181</v>
      </c>
      <c r="F843" t="s">
        <v>1150</v>
      </c>
      <c r="G843" t="s">
        <v>1163</v>
      </c>
      <c r="H843" t="s">
        <v>1240</v>
      </c>
      <c r="I843" t="s">
        <v>1247</v>
      </c>
      <c r="J843" t="s">
        <v>1248</v>
      </c>
      <c r="K843">
        <v>2</v>
      </c>
      <c r="L843">
        <v>770</v>
      </c>
      <c r="M843">
        <v>0</v>
      </c>
      <c r="N843">
        <v>770</v>
      </c>
      <c r="O843">
        <v>0.18</v>
      </c>
      <c r="P843">
        <v>1540</v>
      </c>
      <c r="Q843">
        <v>277.2</v>
      </c>
      <c r="R843">
        <v>1817.2</v>
      </c>
      <c r="S843" t="s">
        <v>1360</v>
      </c>
      <c r="T843" t="s">
        <v>1368</v>
      </c>
      <c r="U843" s="4">
        <v>45603</v>
      </c>
      <c r="W843" t="b">
        <v>0</v>
      </c>
      <c r="Z843" t="s">
        <v>1379</v>
      </c>
      <c r="AA843" t="s">
        <v>1394</v>
      </c>
      <c r="AB843" t="s">
        <v>1383</v>
      </c>
    </row>
    <row r="844" spans="1:28" x14ac:dyDescent="0.3">
      <c r="A844" t="s">
        <v>737</v>
      </c>
      <c r="B844" s="6">
        <v>45678.522916666669</v>
      </c>
      <c r="C844" t="s">
        <v>269</v>
      </c>
      <c r="D844" t="s">
        <v>1141</v>
      </c>
      <c r="E844" t="s">
        <v>1239</v>
      </c>
      <c r="F844" t="s">
        <v>1150</v>
      </c>
      <c r="G844" t="s">
        <v>1144</v>
      </c>
      <c r="H844" t="s">
        <v>1214</v>
      </c>
      <c r="I844" t="s">
        <v>1215</v>
      </c>
      <c r="J844" t="s">
        <v>1216</v>
      </c>
      <c r="K844">
        <v>1</v>
      </c>
      <c r="L844">
        <v>13099</v>
      </c>
      <c r="M844">
        <v>0.05</v>
      </c>
      <c r="N844">
        <v>12444.05</v>
      </c>
      <c r="O844">
        <v>0.12</v>
      </c>
      <c r="P844">
        <v>12444.05</v>
      </c>
      <c r="Q844">
        <v>1493.2860000000001</v>
      </c>
      <c r="R844">
        <v>13937.335999999999</v>
      </c>
      <c r="S844" t="s">
        <v>1366</v>
      </c>
      <c r="T844" t="s">
        <v>1361</v>
      </c>
      <c r="U844" s="4">
        <v>45679</v>
      </c>
      <c r="V844" s="4">
        <v>45684</v>
      </c>
      <c r="W844" t="b">
        <v>0</v>
      </c>
      <c r="Z844" t="s">
        <v>1398</v>
      </c>
      <c r="AA844" t="s">
        <v>1399</v>
      </c>
      <c r="AB844" t="s">
        <v>1389</v>
      </c>
    </row>
    <row r="845" spans="1:28" x14ac:dyDescent="0.3">
      <c r="A845" t="s">
        <v>742</v>
      </c>
      <c r="B845" s="6">
        <v>45408.53402777778</v>
      </c>
      <c r="C845" t="s">
        <v>10</v>
      </c>
      <c r="D845" t="s">
        <v>1157</v>
      </c>
      <c r="E845" t="s">
        <v>1158</v>
      </c>
      <c r="F845" t="s">
        <v>1150</v>
      </c>
      <c r="G845" t="s">
        <v>1172</v>
      </c>
      <c r="H845" t="s">
        <v>1198</v>
      </c>
      <c r="I845" t="s">
        <v>1250</v>
      </c>
      <c r="J845" t="s">
        <v>1251</v>
      </c>
      <c r="K845">
        <v>1</v>
      </c>
      <c r="L845">
        <v>6272</v>
      </c>
      <c r="M845">
        <v>0</v>
      </c>
      <c r="N845">
        <v>6272</v>
      </c>
      <c r="O845">
        <v>0.12</v>
      </c>
      <c r="P845">
        <v>6272</v>
      </c>
      <c r="Q845">
        <v>752.64</v>
      </c>
      <c r="R845">
        <v>7024.64</v>
      </c>
      <c r="S845" t="s">
        <v>1362</v>
      </c>
      <c r="T845" t="s">
        <v>1361</v>
      </c>
      <c r="U845" s="4">
        <v>45410</v>
      </c>
      <c r="V845" s="4">
        <v>45414</v>
      </c>
      <c r="W845" t="b">
        <v>0</v>
      </c>
      <c r="Z845" t="s">
        <v>1379</v>
      </c>
      <c r="AA845" t="s">
        <v>1399</v>
      </c>
      <c r="AB845" t="s">
        <v>1391</v>
      </c>
    </row>
    <row r="846" spans="1:28" x14ac:dyDescent="0.3">
      <c r="A846" t="s">
        <v>743</v>
      </c>
      <c r="B846" s="6">
        <v>45617.603472222225</v>
      </c>
      <c r="C846" t="s">
        <v>137</v>
      </c>
      <c r="D846" t="s">
        <v>1182</v>
      </c>
      <c r="E846" t="s">
        <v>1183</v>
      </c>
      <c r="F846" t="s">
        <v>1150</v>
      </c>
      <c r="G846" t="s">
        <v>1163</v>
      </c>
      <c r="H846" t="s">
        <v>1266</v>
      </c>
      <c r="I846" t="s">
        <v>1330</v>
      </c>
      <c r="J846" t="s">
        <v>1331</v>
      </c>
      <c r="K846">
        <v>3</v>
      </c>
      <c r="L846">
        <v>1021</v>
      </c>
      <c r="M846">
        <v>0</v>
      </c>
      <c r="N846">
        <v>1021</v>
      </c>
      <c r="O846">
        <v>0.18</v>
      </c>
      <c r="P846">
        <v>3063</v>
      </c>
      <c r="Q846">
        <v>551.34</v>
      </c>
      <c r="R846">
        <v>3614.34</v>
      </c>
      <c r="S846" t="s">
        <v>1360</v>
      </c>
      <c r="T846" t="s">
        <v>1361</v>
      </c>
      <c r="U846" s="4">
        <v>45617</v>
      </c>
      <c r="V846" s="4">
        <v>45620</v>
      </c>
      <c r="W846" t="b">
        <v>0</v>
      </c>
      <c r="Z846" t="s">
        <v>1379</v>
      </c>
      <c r="AA846" t="s">
        <v>1385</v>
      </c>
      <c r="AB846" t="s">
        <v>1395</v>
      </c>
    </row>
    <row r="847" spans="1:28" x14ac:dyDescent="0.3">
      <c r="A847" t="s">
        <v>747</v>
      </c>
      <c r="B847" s="6">
        <v>45649.570138888892</v>
      </c>
      <c r="C847" t="s">
        <v>34</v>
      </c>
      <c r="D847" t="s">
        <v>1148</v>
      </c>
      <c r="E847" t="s">
        <v>1149</v>
      </c>
      <c r="F847" t="s">
        <v>1150</v>
      </c>
      <c r="G847" t="s">
        <v>1167</v>
      </c>
      <c r="H847" t="s">
        <v>1211</v>
      </c>
      <c r="I847" t="s">
        <v>1212</v>
      </c>
      <c r="J847" t="s">
        <v>1213</v>
      </c>
      <c r="K847">
        <v>2</v>
      </c>
      <c r="L847">
        <v>32244</v>
      </c>
      <c r="M847">
        <v>0.05</v>
      </c>
      <c r="N847">
        <v>30631.8</v>
      </c>
      <c r="O847">
        <v>0.18</v>
      </c>
      <c r="P847">
        <v>61263.6</v>
      </c>
      <c r="Q847">
        <v>11027.448</v>
      </c>
      <c r="R847">
        <v>72291.047999999995</v>
      </c>
      <c r="S847" t="s">
        <v>1363</v>
      </c>
      <c r="T847" t="s">
        <v>1361</v>
      </c>
      <c r="U847" s="4">
        <v>45650</v>
      </c>
      <c r="V847" s="4">
        <v>45654</v>
      </c>
      <c r="W847" t="b">
        <v>0</v>
      </c>
      <c r="Z847" t="s">
        <v>1376</v>
      </c>
      <c r="AA847" t="s">
        <v>1387</v>
      </c>
      <c r="AB847" t="s">
        <v>1393</v>
      </c>
    </row>
    <row r="848" spans="1:28" x14ac:dyDescent="0.3">
      <c r="A848" t="s">
        <v>750</v>
      </c>
      <c r="B848" s="6">
        <v>45370.574305555558</v>
      </c>
      <c r="C848" t="s">
        <v>38</v>
      </c>
      <c r="D848" t="s">
        <v>1148</v>
      </c>
      <c r="E848" t="s">
        <v>1149</v>
      </c>
      <c r="F848" t="s">
        <v>1150</v>
      </c>
      <c r="G848" t="s">
        <v>1177</v>
      </c>
      <c r="H848" t="s">
        <v>1195</v>
      </c>
      <c r="I848" t="s">
        <v>1202</v>
      </c>
      <c r="J848" t="s">
        <v>1203</v>
      </c>
      <c r="K848">
        <v>1</v>
      </c>
      <c r="L848">
        <v>534</v>
      </c>
      <c r="M848">
        <v>0.05</v>
      </c>
      <c r="N848">
        <v>507.3</v>
      </c>
      <c r="O848">
        <v>0.18</v>
      </c>
      <c r="P848">
        <v>507.3</v>
      </c>
      <c r="Q848">
        <v>91.313999999999993</v>
      </c>
      <c r="R848">
        <v>598.61399999999992</v>
      </c>
      <c r="S848" t="s">
        <v>1363</v>
      </c>
      <c r="T848" t="s">
        <v>1364</v>
      </c>
      <c r="U848" s="4">
        <v>45372</v>
      </c>
      <c r="W848" t="b">
        <v>1</v>
      </c>
      <c r="X848" s="4">
        <v>45384</v>
      </c>
      <c r="Y848" s="4">
        <v>45384</v>
      </c>
      <c r="Z848" t="s">
        <v>1388</v>
      </c>
      <c r="AA848" t="s">
        <v>1385</v>
      </c>
      <c r="AB848" t="s">
        <v>1380</v>
      </c>
    </row>
    <row r="849" spans="1:28" x14ac:dyDescent="0.3">
      <c r="A849" t="s">
        <v>758</v>
      </c>
      <c r="B849" s="6">
        <v>45387.429861111108</v>
      </c>
      <c r="C849" t="s">
        <v>12</v>
      </c>
      <c r="D849" t="s">
        <v>1153</v>
      </c>
      <c r="E849" t="s">
        <v>1162</v>
      </c>
      <c r="F849" t="s">
        <v>1150</v>
      </c>
      <c r="G849" t="s">
        <v>1172</v>
      </c>
      <c r="H849" t="s">
        <v>1229</v>
      </c>
      <c r="I849" t="s">
        <v>1230</v>
      </c>
      <c r="J849" t="s">
        <v>1231</v>
      </c>
      <c r="K849">
        <v>2</v>
      </c>
      <c r="L849">
        <v>2191</v>
      </c>
      <c r="M849">
        <v>0</v>
      </c>
      <c r="N849">
        <v>2191</v>
      </c>
      <c r="O849">
        <v>0.18</v>
      </c>
      <c r="P849">
        <v>4382</v>
      </c>
      <c r="Q849">
        <v>788.76</v>
      </c>
      <c r="R849">
        <v>5170.76</v>
      </c>
      <c r="S849" t="s">
        <v>1362</v>
      </c>
      <c r="T849" t="s">
        <v>1364</v>
      </c>
      <c r="U849" s="4">
        <v>45388</v>
      </c>
      <c r="W849" t="b">
        <v>1</v>
      </c>
      <c r="X849" s="4">
        <v>45406</v>
      </c>
      <c r="Y849" s="4">
        <v>45406</v>
      </c>
      <c r="Z849" t="s">
        <v>1388</v>
      </c>
      <c r="AA849" t="s">
        <v>1385</v>
      </c>
      <c r="AB849" t="s">
        <v>1383</v>
      </c>
    </row>
    <row r="850" spans="1:28" x14ac:dyDescent="0.3">
      <c r="A850" t="s">
        <v>760</v>
      </c>
      <c r="B850" s="6">
        <v>45566.504166666666</v>
      </c>
      <c r="C850" t="s">
        <v>407</v>
      </c>
      <c r="D850" t="s">
        <v>1157</v>
      </c>
      <c r="E850" t="s">
        <v>1158</v>
      </c>
      <c r="F850" t="s">
        <v>1150</v>
      </c>
      <c r="G850" t="s">
        <v>1167</v>
      </c>
      <c r="H850" t="s">
        <v>1208</v>
      </c>
      <c r="I850" t="s">
        <v>1322</v>
      </c>
      <c r="J850" t="s">
        <v>1323</v>
      </c>
      <c r="K850">
        <v>2</v>
      </c>
      <c r="L850">
        <v>6980</v>
      </c>
      <c r="M850">
        <v>0.1</v>
      </c>
      <c r="N850">
        <v>6282</v>
      </c>
      <c r="O850">
        <v>0.05</v>
      </c>
      <c r="P850">
        <v>12564</v>
      </c>
      <c r="Q850">
        <v>628.20000000000005</v>
      </c>
      <c r="R850">
        <v>13192.2</v>
      </c>
      <c r="S850" t="s">
        <v>1365</v>
      </c>
      <c r="T850" t="s">
        <v>1361</v>
      </c>
      <c r="U850" s="4">
        <v>45567</v>
      </c>
      <c r="V850" s="4">
        <v>45572</v>
      </c>
      <c r="W850" t="b">
        <v>0</v>
      </c>
      <c r="Z850" t="s">
        <v>1390</v>
      </c>
      <c r="AA850" t="s">
        <v>1397</v>
      </c>
      <c r="AB850" t="s">
        <v>1380</v>
      </c>
    </row>
    <row r="851" spans="1:28" x14ac:dyDescent="0.3">
      <c r="A851" t="s">
        <v>763</v>
      </c>
      <c r="B851" s="6">
        <v>45459.661805555559</v>
      </c>
      <c r="C851" t="s">
        <v>119</v>
      </c>
      <c r="D851" t="s">
        <v>1148</v>
      </c>
      <c r="E851" t="s">
        <v>1149</v>
      </c>
      <c r="F851" t="s">
        <v>1150</v>
      </c>
      <c r="G851" t="s">
        <v>1144</v>
      </c>
      <c r="H851" t="s">
        <v>1214</v>
      </c>
      <c r="I851" t="s">
        <v>1252</v>
      </c>
      <c r="J851" t="s">
        <v>1253</v>
      </c>
      <c r="K851">
        <v>2</v>
      </c>
      <c r="L851">
        <v>14791</v>
      </c>
      <c r="M851">
        <v>0.1</v>
      </c>
      <c r="N851">
        <v>13311.9</v>
      </c>
      <c r="O851">
        <v>0.18</v>
      </c>
      <c r="P851">
        <v>26623.8</v>
      </c>
      <c r="Q851">
        <v>4792.2839999999997</v>
      </c>
      <c r="R851">
        <v>31416.083999999999</v>
      </c>
      <c r="S851" t="s">
        <v>1360</v>
      </c>
      <c r="T851" t="s">
        <v>1369</v>
      </c>
      <c r="W851" t="b">
        <v>0</v>
      </c>
      <c r="Z851" t="s">
        <v>1390</v>
      </c>
      <c r="AA851" t="s">
        <v>1400</v>
      </c>
      <c r="AB851" t="s">
        <v>1383</v>
      </c>
    </row>
    <row r="852" spans="1:28" x14ac:dyDescent="0.3">
      <c r="A852" t="s">
        <v>764</v>
      </c>
      <c r="B852" s="6">
        <v>45723.445833333331</v>
      </c>
      <c r="C852" t="s">
        <v>271</v>
      </c>
      <c r="D852" t="s">
        <v>1148</v>
      </c>
      <c r="E852" t="s">
        <v>1149</v>
      </c>
      <c r="F852" t="s">
        <v>1150</v>
      </c>
      <c r="G852" t="s">
        <v>1163</v>
      </c>
      <c r="H852" t="s">
        <v>1240</v>
      </c>
      <c r="I852" t="s">
        <v>1241</v>
      </c>
      <c r="J852" t="s">
        <v>1242</v>
      </c>
      <c r="K852">
        <v>3</v>
      </c>
      <c r="L852">
        <v>931</v>
      </c>
      <c r="M852">
        <v>0</v>
      </c>
      <c r="N852">
        <v>931</v>
      </c>
      <c r="O852">
        <v>0.18</v>
      </c>
      <c r="P852">
        <v>2793</v>
      </c>
      <c r="Q852">
        <v>502.74</v>
      </c>
      <c r="R852">
        <v>3295.74</v>
      </c>
      <c r="S852" t="s">
        <v>1366</v>
      </c>
      <c r="T852" t="s">
        <v>1361</v>
      </c>
      <c r="U852" s="4">
        <v>45724</v>
      </c>
      <c r="V852" s="4">
        <v>45728</v>
      </c>
      <c r="W852" t="b">
        <v>0</v>
      </c>
      <c r="Z852" t="s">
        <v>1388</v>
      </c>
      <c r="AA852" t="s">
        <v>1377</v>
      </c>
      <c r="AB852" t="s">
        <v>1383</v>
      </c>
    </row>
    <row r="853" spans="1:28" x14ac:dyDescent="0.3">
      <c r="A853" t="s">
        <v>773</v>
      </c>
      <c r="B853" s="6">
        <v>45669.444444444445</v>
      </c>
      <c r="C853" t="s">
        <v>150</v>
      </c>
      <c r="D853" t="s">
        <v>1141</v>
      </c>
      <c r="E853" t="s">
        <v>1239</v>
      </c>
      <c r="F853" t="s">
        <v>1150</v>
      </c>
      <c r="G853" t="s">
        <v>1163</v>
      </c>
      <c r="H853" t="s">
        <v>1240</v>
      </c>
      <c r="I853" t="s">
        <v>1241</v>
      </c>
      <c r="J853" t="s">
        <v>1242</v>
      </c>
      <c r="K853">
        <v>2</v>
      </c>
      <c r="L853">
        <v>1115</v>
      </c>
      <c r="M853">
        <v>0</v>
      </c>
      <c r="N853">
        <v>1115</v>
      </c>
      <c r="O853">
        <v>0.12</v>
      </c>
      <c r="P853">
        <v>2230</v>
      </c>
      <c r="Q853">
        <v>267.60000000000002</v>
      </c>
      <c r="R853">
        <v>2497.6</v>
      </c>
      <c r="S853" t="s">
        <v>1366</v>
      </c>
      <c r="T853" t="s">
        <v>1361</v>
      </c>
      <c r="U853" s="4">
        <v>45670</v>
      </c>
      <c r="V853" s="4">
        <v>45672</v>
      </c>
      <c r="W853" t="b">
        <v>0</v>
      </c>
      <c r="Z853" t="s">
        <v>1384</v>
      </c>
      <c r="AA853" t="s">
        <v>1397</v>
      </c>
      <c r="AB853" t="s">
        <v>1395</v>
      </c>
    </row>
    <row r="854" spans="1:28" x14ac:dyDescent="0.3">
      <c r="A854" t="s">
        <v>783</v>
      </c>
      <c r="B854" s="6">
        <v>45745.507638888892</v>
      </c>
      <c r="C854" t="s">
        <v>115</v>
      </c>
      <c r="D854" t="s">
        <v>1157</v>
      </c>
      <c r="E854" t="s">
        <v>1249</v>
      </c>
      <c r="F854" t="s">
        <v>1150</v>
      </c>
      <c r="G854" t="s">
        <v>1172</v>
      </c>
      <c r="H854" t="s">
        <v>1204</v>
      </c>
      <c r="I854" t="s">
        <v>1297</v>
      </c>
      <c r="J854" t="s">
        <v>1298</v>
      </c>
      <c r="K854">
        <v>4</v>
      </c>
      <c r="L854">
        <v>1969</v>
      </c>
      <c r="M854">
        <v>0.15</v>
      </c>
      <c r="N854">
        <v>1673.65</v>
      </c>
      <c r="O854">
        <v>0.12</v>
      </c>
      <c r="P854">
        <v>6694.5999999999995</v>
      </c>
      <c r="Q854">
        <v>803.35199999999986</v>
      </c>
      <c r="R854">
        <v>7497.9519999999993</v>
      </c>
      <c r="S854" t="s">
        <v>1360</v>
      </c>
      <c r="T854" t="s">
        <v>1361</v>
      </c>
      <c r="U854" s="4">
        <v>45747</v>
      </c>
      <c r="V854" s="4">
        <v>45751</v>
      </c>
      <c r="W854" t="b">
        <v>0</v>
      </c>
      <c r="Z854" t="s">
        <v>1388</v>
      </c>
      <c r="AA854" t="s">
        <v>1394</v>
      </c>
      <c r="AB854" t="s">
        <v>1383</v>
      </c>
    </row>
    <row r="855" spans="1:28" x14ac:dyDescent="0.3">
      <c r="A855" t="s">
        <v>785</v>
      </c>
      <c r="B855" s="6">
        <v>45570.459722222222</v>
      </c>
      <c r="C855" t="s">
        <v>320</v>
      </c>
      <c r="D855" t="s">
        <v>1153</v>
      </c>
      <c r="E855" t="s">
        <v>1162</v>
      </c>
      <c r="F855" t="s">
        <v>1150</v>
      </c>
      <c r="G855" t="s">
        <v>1167</v>
      </c>
      <c r="H855" t="s">
        <v>1288</v>
      </c>
      <c r="I855" t="s">
        <v>1293</v>
      </c>
      <c r="J855" t="s">
        <v>1294</v>
      </c>
      <c r="K855">
        <v>1</v>
      </c>
      <c r="L855">
        <v>20152</v>
      </c>
      <c r="M855">
        <v>0</v>
      </c>
      <c r="N855">
        <v>20152</v>
      </c>
      <c r="O855">
        <v>0.12</v>
      </c>
      <c r="P855">
        <v>20152</v>
      </c>
      <c r="Q855">
        <v>2418.2399999999998</v>
      </c>
      <c r="R855">
        <v>22570.240000000002</v>
      </c>
      <c r="S855" t="s">
        <v>1360</v>
      </c>
      <c r="T855" t="s">
        <v>1361</v>
      </c>
      <c r="U855" s="4">
        <v>45571</v>
      </c>
      <c r="V855" s="4">
        <v>45573</v>
      </c>
      <c r="W855" t="b">
        <v>0</v>
      </c>
      <c r="Z855" t="s">
        <v>1376</v>
      </c>
      <c r="AA855" t="s">
        <v>1385</v>
      </c>
      <c r="AB855" t="s">
        <v>1383</v>
      </c>
    </row>
    <row r="856" spans="1:28" x14ac:dyDescent="0.3">
      <c r="A856" t="s">
        <v>789</v>
      </c>
      <c r="B856" s="6">
        <v>45384.620138888888</v>
      </c>
      <c r="C856" t="s">
        <v>545</v>
      </c>
      <c r="D856" t="s">
        <v>1148</v>
      </c>
      <c r="E856" t="s">
        <v>1171</v>
      </c>
      <c r="F856" t="s">
        <v>1150</v>
      </c>
      <c r="G856" t="s">
        <v>1167</v>
      </c>
      <c r="H856" t="s">
        <v>1263</v>
      </c>
      <c r="I856" t="s">
        <v>1346</v>
      </c>
      <c r="J856" t="s">
        <v>1347</v>
      </c>
      <c r="K856">
        <v>3</v>
      </c>
      <c r="L856">
        <v>29704</v>
      </c>
      <c r="M856">
        <v>0</v>
      </c>
      <c r="N856">
        <v>29704</v>
      </c>
      <c r="O856">
        <v>0.12</v>
      </c>
      <c r="P856">
        <v>89112</v>
      </c>
      <c r="Q856">
        <v>10693.44</v>
      </c>
      <c r="R856">
        <v>99805.440000000002</v>
      </c>
      <c r="S856" t="s">
        <v>1366</v>
      </c>
      <c r="T856" t="s">
        <v>1368</v>
      </c>
      <c r="U856" s="4">
        <v>45386</v>
      </c>
      <c r="W856" t="b">
        <v>0</v>
      </c>
      <c r="Z856" t="s">
        <v>1382</v>
      </c>
      <c r="AA856" t="s">
        <v>1397</v>
      </c>
      <c r="AB856" t="s">
        <v>1380</v>
      </c>
    </row>
    <row r="857" spans="1:28" x14ac:dyDescent="0.3">
      <c r="A857" t="s">
        <v>790</v>
      </c>
      <c r="B857" s="6">
        <v>45656.503472222219</v>
      </c>
      <c r="C857" t="s">
        <v>243</v>
      </c>
      <c r="D857" t="s">
        <v>1153</v>
      </c>
      <c r="E857" t="s">
        <v>1176</v>
      </c>
      <c r="F857" t="s">
        <v>1150</v>
      </c>
      <c r="G857" t="s">
        <v>1172</v>
      </c>
      <c r="H857" t="s">
        <v>1188</v>
      </c>
      <c r="I857" t="s">
        <v>1258</v>
      </c>
      <c r="J857" t="s">
        <v>1259</v>
      </c>
      <c r="K857">
        <v>1</v>
      </c>
      <c r="L857">
        <v>1973</v>
      </c>
      <c r="M857">
        <v>0</v>
      </c>
      <c r="N857">
        <v>1973</v>
      </c>
      <c r="O857">
        <v>0.12</v>
      </c>
      <c r="P857">
        <v>1973</v>
      </c>
      <c r="Q857">
        <v>236.76</v>
      </c>
      <c r="R857">
        <v>2209.7600000000002</v>
      </c>
      <c r="S857" t="s">
        <v>1360</v>
      </c>
      <c r="T857" t="s">
        <v>1369</v>
      </c>
      <c r="W857" t="b">
        <v>0</v>
      </c>
      <c r="Z857" t="s">
        <v>1384</v>
      </c>
      <c r="AA857" t="s">
        <v>1387</v>
      </c>
      <c r="AB857" t="s">
        <v>1391</v>
      </c>
    </row>
    <row r="858" spans="1:28" x14ac:dyDescent="0.3">
      <c r="A858" t="s">
        <v>792</v>
      </c>
      <c r="B858" s="6">
        <v>45337.620138888888</v>
      </c>
      <c r="C858" t="s">
        <v>627</v>
      </c>
      <c r="D858" t="s">
        <v>1182</v>
      </c>
      <c r="E858" t="s">
        <v>1256</v>
      </c>
      <c r="F858" t="s">
        <v>1150</v>
      </c>
      <c r="G858" t="s">
        <v>1163</v>
      </c>
      <c r="H858" t="s">
        <v>1184</v>
      </c>
      <c r="I858" t="s">
        <v>1185</v>
      </c>
      <c r="J858" t="s">
        <v>1186</v>
      </c>
      <c r="K858">
        <v>1</v>
      </c>
      <c r="L858">
        <v>252</v>
      </c>
      <c r="M858">
        <v>0</v>
      </c>
      <c r="N858">
        <v>252</v>
      </c>
      <c r="O858">
        <v>0.18</v>
      </c>
      <c r="P858">
        <v>252</v>
      </c>
      <c r="Q858">
        <v>45.36</v>
      </c>
      <c r="R858">
        <v>297.36</v>
      </c>
      <c r="S858" t="s">
        <v>1363</v>
      </c>
      <c r="T858" t="s">
        <v>1361</v>
      </c>
      <c r="U858" s="4">
        <v>45339</v>
      </c>
      <c r="V858" s="4">
        <v>45342</v>
      </c>
      <c r="W858" t="b">
        <v>0</v>
      </c>
      <c r="Z858" t="s">
        <v>1382</v>
      </c>
      <c r="AA858" t="s">
        <v>1377</v>
      </c>
      <c r="AB858" t="s">
        <v>1389</v>
      </c>
    </row>
    <row r="859" spans="1:28" x14ac:dyDescent="0.3">
      <c r="A859" t="s">
        <v>797</v>
      </c>
      <c r="B859" s="6">
        <v>45363.475694444445</v>
      </c>
      <c r="C859" t="s">
        <v>469</v>
      </c>
      <c r="D859" t="s">
        <v>1153</v>
      </c>
      <c r="E859" t="s">
        <v>1176</v>
      </c>
      <c r="F859" t="s">
        <v>1150</v>
      </c>
      <c r="G859" t="s">
        <v>1172</v>
      </c>
      <c r="H859" t="s">
        <v>1188</v>
      </c>
      <c r="I859" t="s">
        <v>1232</v>
      </c>
      <c r="J859" t="s">
        <v>1233</v>
      </c>
      <c r="K859">
        <v>2</v>
      </c>
      <c r="L859">
        <v>3717</v>
      </c>
      <c r="M859">
        <v>0.2</v>
      </c>
      <c r="N859">
        <v>2973.6</v>
      </c>
      <c r="O859">
        <v>0.18</v>
      </c>
      <c r="P859">
        <v>5947.2000000000007</v>
      </c>
      <c r="Q859">
        <v>1070.4960000000001</v>
      </c>
      <c r="R859">
        <v>7017.6960000000008</v>
      </c>
      <c r="S859" t="s">
        <v>1363</v>
      </c>
      <c r="T859" t="s">
        <v>1361</v>
      </c>
      <c r="U859" s="4">
        <v>45363</v>
      </c>
      <c r="V859" s="4">
        <v>45365</v>
      </c>
      <c r="W859" t="b">
        <v>0</v>
      </c>
      <c r="Z859" t="s">
        <v>1388</v>
      </c>
      <c r="AA859" t="s">
        <v>1397</v>
      </c>
      <c r="AB859" t="s">
        <v>1395</v>
      </c>
    </row>
    <row r="860" spans="1:28" x14ac:dyDescent="0.3">
      <c r="A860" t="s">
        <v>798</v>
      </c>
      <c r="B860" s="6">
        <v>45293.648611111108</v>
      </c>
      <c r="C860" t="s">
        <v>130</v>
      </c>
      <c r="D860" t="s">
        <v>1153</v>
      </c>
      <c r="E860" t="s">
        <v>1176</v>
      </c>
      <c r="F860" t="s">
        <v>1150</v>
      </c>
      <c r="G860" t="s">
        <v>1167</v>
      </c>
      <c r="H860" t="s">
        <v>1263</v>
      </c>
      <c r="I860" t="s">
        <v>1264</v>
      </c>
      <c r="J860" t="s">
        <v>1265</v>
      </c>
      <c r="K860">
        <v>3</v>
      </c>
      <c r="L860">
        <v>35459</v>
      </c>
      <c r="M860">
        <v>0.1</v>
      </c>
      <c r="N860">
        <v>31913.1</v>
      </c>
      <c r="O860">
        <v>0.18</v>
      </c>
      <c r="P860">
        <v>95739.3</v>
      </c>
      <c r="Q860">
        <v>17233.074000000001</v>
      </c>
      <c r="R860">
        <v>112972.374</v>
      </c>
      <c r="S860" t="s">
        <v>1365</v>
      </c>
      <c r="T860" t="s">
        <v>1361</v>
      </c>
      <c r="U860" s="4">
        <v>45294</v>
      </c>
      <c r="V860" s="4">
        <v>45296</v>
      </c>
      <c r="W860" t="b">
        <v>0</v>
      </c>
      <c r="Z860" t="s">
        <v>1384</v>
      </c>
      <c r="AA860" t="s">
        <v>1400</v>
      </c>
      <c r="AB860" t="s">
        <v>1389</v>
      </c>
    </row>
    <row r="861" spans="1:28" x14ac:dyDescent="0.3">
      <c r="A861" t="s">
        <v>799</v>
      </c>
      <c r="B861" s="6">
        <v>45546.551388888889</v>
      </c>
      <c r="C861" t="s">
        <v>10</v>
      </c>
      <c r="D861" t="s">
        <v>1157</v>
      </c>
      <c r="E861" t="s">
        <v>1158</v>
      </c>
      <c r="F861" t="s">
        <v>1150</v>
      </c>
      <c r="G861" t="s">
        <v>1163</v>
      </c>
      <c r="H861" t="s">
        <v>1184</v>
      </c>
      <c r="I861" t="s">
        <v>1185</v>
      </c>
      <c r="J861" t="s">
        <v>1186</v>
      </c>
      <c r="K861">
        <v>1</v>
      </c>
      <c r="L861">
        <v>874</v>
      </c>
      <c r="M861">
        <v>0</v>
      </c>
      <c r="N861">
        <v>874</v>
      </c>
      <c r="O861">
        <v>0.12</v>
      </c>
      <c r="P861">
        <v>874</v>
      </c>
      <c r="Q861">
        <v>104.88</v>
      </c>
      <c r="R861">
        <v>978.88</v>
      </c>
      <c r="S861" t="s">
        <v>1360</v>
      </c>
      <c r="T861" t="s">
        <v>1368</v>
      </c>
      <c r="U861" s="4">
        <v>45546</v>
      </c>
      <c r="W861" t="b">
        <v>0</v>
      </c>
      <c r="Z861" t="s">
        <v>1376</v>
      </c>
      <c r="AA861" t="s">
        <v>1400</v>
      </c>
      <c r="AB861" t="s">
        <v>1380</v>
      </c>
    </row>
    <row r="862" spans="1:28" x14ac:dyDescent="0.3">
      <c r="A862" t="s">
        <v>800</v>
      </c>
      <c r="B862" s="6">
        <v>45712.553472222222</v>
      </c>
      <c r="C862" t="s">
        <v>105</v>
      </c>
      <c r="D862" t="s">
        <v>1182</v>
      </c>
      <c r="E862" t="s">
        <v>1207</v>
      </c>
      <c r="F862" t="s">
        <v>1150</v>
      </c>
      <c r="G862" t="s">
        <v>1144</v>
      </c>
      <c r="H862" t="s">
        <v>1159</v>
      </c>
      <c r="I862" t="s">
        <v>1160</v>
      </c>
      <c r="J862" t="s">
        <v>1161</v>
      </c>
      <c r="K862">
        <v>2</v>
      </c>
      <c r="L862">
        <v>3175</v>
      </c>
      <c r="M862">
        <v>0</v>
      </c>
      <c r="N862">
        <v>3175</v>
      </c>
      <c r="O862">
        <v>0.05</v>
      </c>
      <c r="P862">
        <v>6350</v>
      </c>
      <c r="Q862">
        <v>317.5</v>
      </c>
      <c r="R862">
        <v>6667.5</v>
      </c>
      <c r="S862" t="s">
        <v>1365</v>
      </c>
      <c r="T862" t="s">
        <v>1369</v>
      </c>
      <c r="W862" t="b">
        <v>0</v>
      </c>
      <c r="Z862" t="s">
        <v>1392</v>
      </c>
      <c r="AA862" t="s">
        <v>1394</v>
      </c>
      <c r="AB862" t="s">
        <v>1380</v>
      </c>
    </row>
    <row r="863" spans="1:28" x14ac:dyDescent="0.3">
      <c r="A863" t="s">
        <v>801</v>
      </c>
      <c r="B863" s="6">
        <v>45502.538888888892</v>
      </c>
      <c r="C863" t="s">
        <v>139</v>
      </c>
      <c r="D863" t="s">
        <v>1148</v>
      </c>
      <c r="E863" t="s">
        <v>1262</v>
      </c>
      <c r="F863" t="s">
        <v>1150</v>
      </c>
      <c r="G863" t="s">
        <v>1167</v>
      </c>
      <c r="H863" t="s">
        <v>1208</v>
      </c>
      <c r="I863" t="s">
        <v>1291</v>
      </c>
      <c r="J863" t="s">
        <v>1292</v>
      </c>
      <c r="K863">
        <v>1</v>
      </c>
      <c r="L863">
        <v>50232</v>
      </c>
      <c r="M863">
        <v>0</v>
      </c>
      <c r="N863">
        <v>50232</v>
      </c>
      <c r="O863">
        <v>0.12</v>
      </c>
      <c r="P863">
        <v>50232</v>
      </c>
      <c r="Q863">
        <v>6027.84</v>
      </c>
      <c r="R863">
        <v>56259.839999999997</v>
      </c>
      <c r="S863" t="s">
        <v>1365</v>
      </c>
      <c r="T863" t="s">
        <v>1361</v>
      </c>
      <c r="U863" s="4">
        <v>45502</v>
      </c>
      <c r="V863" s="4">
        <v>45507</v>
      </c>
      <c r="W863" t="b">
        <v>0</v>
      </c>
      <c r="Z863" t="s">
        <v>1379</v>
      </c>
      <c r="AA863" t="s">
        <v>1385</v>
      </c>
      <c r="AB863" t="s">
        <v>1380</v>
      </c>
    </row>
    <row r="864" spans="1:28" x14ac:dyDescent="0.3">
      <c r="A864" t="s">
        <v>802</v>
      </c>
      <c r="B864" s="6">
        <v>45411.565972222219</v>
      </c>
      <c r="C864" t="s">
        <v>115</v>
      </c>
      <c r="D864" t="s">
        <v>1157</v>
      </c>
      <c r="E864" t="s">
        <v>1249</v>
      </c>
      <c r="F864" t="s">
        <v>1150</v>
      </c>
      <c r="G864" t="s">
        <v>1167</v>
      </c>
      <c r="H864" t="s">
        <v>1288</v>
      </c>
      <c r="I864" t="s">
        <v>1336</v>
      </c>
      <c r="J864" t="s">
        <v>1337</v>
      </c>
      <c r="K864">
        <v>1</v>
      </c>
      <c r="L864">
        <v>10778</v>
      </c>
      <c r="M864">
        <v>0.2</v>
      </c>
      <c r="N864">
        <v>8622.4</v>
      </c>
      <c r="O864">
        <v>0.18</v>
      </c>
      <c r="P864">
        <v>8622.4</v>
      </c>
      <c r="Q864">
        <v>1552.0319999999999</v>
      </c>
      <c r="R864">
        <v>10174.432000000001</v>
      </c>
      <c r="S864" t="s">
        <v>1362</v>
      </c>
      <c r="T864" t="s">
        <v>1361</v>
      </c>
      <c r="U864" s="4">
        <v>45413</v>
      </c>
      <c r="V864" s="4">
        <v>45414</v>
      </c>
      <c r="W864" t="b">
        <v>0</v>
      </c>
      <c r="Z864" t="s">
        <v>1384</v>
      </c>
      <c r="AA864" t="s">
        <v>1387</v>
      </c>
      <c r="AB864" t="s">
        <v>1380</v>
      </c>
    </row>
    <row r="865" spans="1:28" x14ac:dyDescent="0.3">
      <c r="A865" t="s">
        <v>803</v>
      </c>
      <c r="B865" s="6">
        <v>45656.472916666666</v>
      </c>
      <c r="C865" t="s">
        <v>86</v>
      </c>
      <c r="D865" t="s">
        <v>1182</v>
      </c>
      <c r="E865" t="s">
        <v>1207</v>
      </c>
      <c r="F865" t="s">
        <v>1150</v>
      </c>
      <c r="G865" t="s">
        <v>1144</v>
      </c>
      <c r="H865" t="s">
        <v>1269</v>
      </c>
      <c r="I865" t="s">
        <v>1301</v>
      </c>
      <c r="J865" t="s">
        <v>1302</v>
      </c>
      <c r="K865">
        <v>3</v>
      </c>
      <c r="L865">
        <v>2728</v>
      </c>
      <c r="M865">
        <v>0.05</v>
      </c>
      <c r="N865">
        <v>2591.6</v>
      </c>
      <c r="O865">
        <v>0.05</v>
      </c>
      <c r="P865">
        <v>7774.7999999999993</v>
      </c>
      <c r="Q865">
        <v>388.74</v>
      </c>
      <c r="R865">
        <v>8163.5399999999991</v>
      </c>
      <c r="S865" t="s">
        <v>1360</v>
      </c>
      <c r="T865" t="s">
        <v>1361</v>
      </c>
      <c r="U865" s="4">
        <v>45657</v>
      </c>
      <c r="V865" s="4">
        <v>45662</v>
      </c>
      <c r="W865" t="b">
        <v>0</v>
      </c>
      <c r="Z865" t="s">
        <v>1376</v>
      </c>
      <c r="AA865" t="s">
        <v>1394</v>
      </c>
      <c r="AB865" t="s">
        <v>1380</v>
      </c>
    </row>
    <row r="866" spans="1:28" x14ac:dyDescent="0.3">
      <c r="A866" t="s">
        <v>804</v>
      </c>
      <c r="B866" s="6">
        <v>45303.396527777775</v>
      </c>
      <c r="C866" t="s">
        <v>551</v>
      </c>
      <c r="D866" t="s">
        <v>1157</v>
      </c>
      <c r="E866" t="s">
        <v>1201</v>
      </c>
      <c r="F866" t="s">
        <v>1150</v>
      </c>
      <c r="G866" t="s">
        <v>1144</v>
      </c>
      <c r="H866" t="s">
        <v>1269</v>
      </c>
      <c r="I866" t="s">
        <v>1326</v>
      </c>
      <c r="J866" t="s">
        <v>1327</v>
      </c>
      <c r="K866">
        <v>1</v>
      </c>
      <c r="L866">
        <v>13729</v>
      </c>
      <c r="M866">
        <v>0.1</v>
      </c>
      <c r="N866">
        <v>12356.1</v>
      </c>
      <c r="O866">
        <v>0.12</v>
      </c>
      <c r="P866">
        <v>12356.1</v>
      </c>
      <c r="Q866">
        <v>1482.732</v>
      </c>
      <c r="R866">
        <v>13838.832</v>
      </c>
      <c r="S866" t="s">
        <v>1366</v>
      </c>
      <c r="T866" t="s">
        <v>1361</v>
      </c>
      <c r="U866" s="4">
        <v>45305</v>
      </c>
      <c r="V866" s="4">
        <v>45308</v>
      </c>
      <c r="W866" t="b">
        <v>0</v>
      </c>
      <c r="Z866" t="s">
        <v>1386</v>
      </c>
      <c r="AA866" t="s">
        <v>1399</v>
      </c>
      <c r="AB866" t="s">
        <v>1378</v>
      </c>
    </row>
    <row r="867" spans="1:28" x14ac:dyDescent="0.3">
      <c r="A867" t="s">
        <v>807</v>
      </c>
      <c r="B867" s="6">
        <v>45485.506944444445</v>
      </c>
      <c r="C867" t="s">
        <v>781</v>
      </c>
      <c r="D867" t="s">
        <v>1153</v>
      </c>
      <c r="E867" t="s">
        <v>1191</v>
      </c>
      <c r="F867" t="s">
        <v>1150</v>
      </c>
      <c r="G867" t="s">
        <v>1167</v>
      </c>
      <c r="H867" t="s">
        <v>1288</v>
      </c>
      <c r="I867" t="s">
        <v>1336</v>
      </c>
      <c r="J867" t="s">
        <v>1337</v>
      </c>
      <c r="K867">
        <v>2</v>
      </c>
      <c r="L867">
        <v>37518</v>
      </c>
      <c r="M867">
        <v>0.05</v>
      </c>
      <c r="N867">
        <v>35642.1</v>
      </c>
      <c r="O867">
        <v>0.12</v>
      </c>
      <c r="P867">
        <v>71284.2</v>
      </c>
      <c r="Q867">
        <v>8554.1039999999994</v>
      </c>
      <c r="R867">
        <v>79838.304000000004</v>
      </c>
      <c r="S867" t="s">
        <v>1362</v>
      </c>
      <c r="T867" t="s">
        <v>1361</v>
      </c>
      <c r="U867" s="4">
        <v>45487</v>
      </c>
      <c r="V867" s="4">
        <v>45491</v>
      </c>
      <c r="W867" t="b">
        <v>0</v>
      </c>
      <c r="Z867" t="s">
        <v>1382</v>
      </c>
      <c r="AA867" t="s">
        <v>1397</v>
      </c>
      <c r="AB867" t="s">
        <v>1391</v>
      </c>
    </row>
    <row r="868" spans="1:28" x14ac:dyDescent="0.3">
      <c r="A868" t="s">
        <v>811</v>
      </c>
      <c r="B868" s="6">
        <v>45634.542361111111</v>
      </c>
      <c r="C868" t="s">
        <v>382</v>
      </c>
      <c r="D868" t="s">
        <v>1157</v>
      </c>
      <c r="E868" t="s">
        <v>1158</v>
      </c>
      <c r="F868" t="s">
        <v>1150</v>
      </c>
      <c r="G868" t="s">
        <v>1144</v>
      </c>
      <c r="H868" t="s">
        <v>1269</v>
      </c>
      <c r="I868" t="s">
        <v>1326</v>
      </c>
      <c r="J868" t="s">
        <v>1327</v>
      </c>
      <c r="K868">
        <v>2</v>
      </c>
      <c r="L868">
        <v>10310</v>
      </c>
      <c r="M868">
        <v>0</v>
      </c>
      <c r="N868">
        <v>10310</v>
      </c>
      <c r="O868">
        <v>0.12</v>
      </c>
      <c r="P868">
        <v>20620</v>
      </c>
      <c r="Q868">
        <v>2474.4</v>
      </c>
      <c r="R868">
        <v>23094.400000000001</v>
      </c>
      <c r="S868" t="s">
        <v>1360</v>
      </c>
      <c r="T868" t="s">
        <v>1369</v>
      </c>
      <c r="W868" t="b">
        <v>0</v>
      </c>
      <c r="Z868" t="s">
        <v>1379</v>
      </c>
      <c r="AA868" t="s">
        <v>1400</v>
      </c>
      <c r="AB868" t="s">
        <v>1389</v>
      </c>
    </row>
    <row r="869" spans="1:28" x14ac:dyDescent="0.3">
      <c r="A869" t="s">
        <v>812</v>
      </c>
      <c r="B869" s="6">
        <v>45558.359722222223</v>
      </c>
      <c r="C869" t="s">
        <v>288</v>
      </c>
      <c r="D869" t="s">
        <v>1148</v>
      </c>
      <c r="E869" t="s">
        <v>1262</v>
      </c>
      <c r="F869" t="s">
        <v>1150</v>
      </c>
      <c r="G869" t="s">
        <v>1167</v>
      </c>
      <c r="H869" t="s">
        <v>1288</v>
      </c>
      <c r="I869" t="s">
        <v>1293</v>
      </c>
      <c r="J869" t="s">
        <v>1294</v>
      </c>
      <c r="K869">
        <v>1</v>
      </c>
      <c r="L869">
        <v>23815</v>
      </c>
      <c r="M869">
        <v>0</v>
      </c>
      <c r="N869">
        <v>23815</v>
      </c>
      <c r="O869">
        <v>0.05</v>
      </c>
      <c r="P869">
        <v>23815</v>
      </c>
      <c r="Q869">
        <v>1190.75</v>
      </c>
      <c r="R869">
        <v>25005.75</v>
      </c>
      <c r="S869" t="s">
        <v>1365</v>
      </c>
      <c r="T869" t="s">
        <v>1361</v>
      </c>
      <c r="U869" s="4">
        <v>45559</v>
      </c>
      <c r="V869" s="4">
        <v>45563</v>
      </c>
      <c r="W869" t="b">
        <v>0</v>
      </c>
      <c r="Z869" t="s">
        <v>1392</v>
      </c>
      <c r="AA869" t="s">
        <v>1397</v>
      </c>
      <c r="AB869" t="s">
        <v>1383</v>
      </c>
    </row>
    <row r="870" spans="1:28" x14ac:dyDescent="0.3">
      <c r="A870" t="s">
        <v>817</v>
      </c>
      <c r="B870" s="6">
        <v>45716.5</v>
      </c>
      <c r="C870" t="s">
        <v>223</v>
      </c>
      <c r="D870" t="s">
        <v>1148</v>
      </c>
      <c r="E870" t="s">
        <v>1149</v>
      </c>
      <c r="F870" t="s">
        <v>1150</v>
      </c>
      <c r="G870" t="s">
        <v>1163</v>
      </c>
      <c r="H870" t="s">
        <v>1240</v>
      </c>
      <c r="I870" t="s">
        <v>1247</v>
      </c>
      <c r="J870" t="s">
        <v>1248</v>
      </c>
      <c r="K870">
        <v>1</v>
      </c>
      <c r="L870">
        <v>1031</v>
      </c>
      <c r="M870">
        <v>0.1</v>
      </c>
      <c r="N870">
        <v>927.9</v>
      </c>
      <c r="O870">
        <v>0.12</v>
      </c>
      <c r="P870">
        <v>927.9</v>
      </c>
      <c r="Q870">
        <v>111.348</v>
      </c>
      <c r="R870">
        <v>1039.248</v>
      </c>
      <c r="S870" t="s">
        <v>1362</v>
      </c>
      <c r="T870" t="s">
        <v>1361</v>
      </c>
      <c r="U870" s="4">
        <v>45717</v>
      </c>
      <c r="V870" s="4">
        <v>45718</v>
      </c>
      <c r="W870" t="b">
        <v>0</v>
      </c>
      <c r="Z870" t="s">
        <v>1376</v>
      </c>
      <c r="AA870" t="s">
        <v>1385</v>
      </c>
      <c r="AB870" t="s">
        <v>1383</v>
      </c>
    </row>
    <row r="871" spans="1:28" x14ac:dyDescent="0.3">
      <c r="A871" t="s">
        <v>820</v>
      </c>
      <c r="B871" s="6">
        <v>45739.436805555553</v>
      </c>
      <c r="C871" t="s">
        <v>290</v>
      </c>
      <c r="D871" t="s">
        <v>1141</v>
      </c>
      <c r="E871" t="s">
        <v>1227</v>
      </c>
      <c r="F871" t="s">
        <v>1150</v>
      </c>
      <c r="G871" t="s">
        <v>1172</v>
      </c>
      <c r="H871" t="s">
        <v>1188</v>
      </c>
      <c r="I871" t="s">
        <v>1232</v>
      </c>
      <c r="J871" t="s">
        <v>1233</v>
      </c>
      <c r="K871">
        <v>1</v>
      </c>
      <c r="L871">
        <v>6285</v>
      </c>
      <c r="M871">
        <v>0</v>
      </c>
      <c r="N871">
        <v>6285</v>
      </c>
      <c r="O871">
        <v>0.12</v>
      </c>
      <c r="P871">
        <v>6285</v>
      </c>
      <c r="Q871">
        <v>754.19999999999993</v>
      </c>
      <c r="R871">
        <v>7039.2</v>
      </c>
      <c r="S871" t="s">
        <v>1365</v>
      </c>
      <c r="T871" t="s">
        <v>1361</v>
      </c>
      <c r="U871" s="4">
        <v>45739</v>
      </c>
      <c r="V871" s="4">
        <v>45740</v>
      </c>
      <c r="W871" t="b">
        <v>0</v>
      </c>
      <c r="Z871" t="s">
        <v>1398</v>
      </c>
      <c r="AA871" t="s">
        <v>1400</v>
      </c>
      <c r="AB871" t="s">
        <v>1378</v>
      </c>
    </row>
    <row r="872" spans="1:28" x14ac:dyDescent="0.3">
      <c r="A872" t="s">
        <v>824</v>
      </c>
      <c r="B872" s="6">
        <v>45587.677083333336</v>
      </c>
      <c r="C872" t="s">
        <v>16</v>
      </c>
      <c r="D872" t="s">
        <v>1148</v>
      </c>
      <c r="E872" t="s">
        <v>1171</v>
      </c>
      <c r="F872" t="s">
        <v>1150</v>
      </c>
      <c r="G872" t="s">
        <v>1163</v>
      </c>
      <c r="H872" t="s">
        <v>1224</v>
      </c>
      <c r="I872" t="s">
        <v>1225</v>
      </c>
      <c r="J872" t="s">
        <v>1226</v>
      </c>
      <c r="K872">
        <v>1</v>
      </c>
      <c r="L872">
        <v>350</v>
      </c>
      <c r="M872">
        <v>0.1</v>
      </c>
      <c r="N872">
        <v>315</v>
      </c>
      <c r="O872">
        <v>0.12</v>
      </c>
      <c r="P872">
        <v>315</v>
      </c>
      <c r="Q872">
        <v>37.799999999999997</v>
      </c>
      <c r="R872">
        <v>352.8</v>
      </c>
      <c r="S872" t="s">
        <v>1366</v>
      </c>
      <c r="T872" t="s">
        <v>1361</v>
      </c>
      <c r="U872" s="4">
        <v>45588</v>
      </c>
      <c r="V872" s="4">
        <v>45589</v>
      </c>
      <c r="W872" t="b">
        <v>0</v>
      </c>
      <c r="Z872" t="s">
        <v>1396</v>
      </c>
      <c r="AA872" t="s">
        <v>1385</v>
      </c>
      <c r="AB872" t="s">
        <v>1391</v>
      </c>
    </row>
    <row r="873" spans="1:28" x14ac:dyDescent="0.3">
      <c r="A873" t="s">
        <v>825</v>
      </c>
      <c r="B873" s="6">
        <v>45600.634722222225</v>
      </c>
      <c r="C873" t="s">
        <v>385</v>
      </c>
      <c r="D873" t="s">
        <v>1182</v>
      </c>
      <c r="E873" t="s">
        <v>1207</v>
      </c>
      <c r="F873" t="s">
        <v>1150</v>
      </c>
      <c r="G873" t="s">
        <v>1144</v>
      </c>
      <c r="H873" t="s">
        <v>1145</v>
      </c>
      <c r="I873" t="s">
        <v>1155</v>
      </c>
      <c r="J873" t="s">
        <v>1156</v>
      </c>
      <c r="K873">
        <v>2</v>
      </c>
      <c r="L873">
        <v>4377</v>
      </c>
      <c r="M873">
        <v>0</v>
      </c>
      <c r="N873">
        <v>4377</v>
      </c>
      <c r="O873">
        <v>0.12</v>
      </c>
      <c r="P873">
        <v>8754</v>
      </c>
      <c r="Q873">
        <v>1050.48</v>
      </c>
      <c r="R873">
        <v>9804.48</v>
      </c>
      <c r="S873" t="s">
        <v>1360</v>
      </c>
      <c r="T873" t="s">
        <v>1369</v>
      </c>
      <c r="W873" t="b">
        <v>0</v>
      </c>
      <c r="Z873" t="s">
        <v>1396</v>
      </c>
      <c r="AA873" t="s">
        <v>1400</v>
      </c>
      <c r="AB873" t="s">
        <v>1395</v>
      </c>
    </row>
    <row r="874" spans="1:28" x14ac:dyDescent="0.3">
      <c r="A874" t="s">
        <v>834</v>
      </c>
      <c r="B874" s="6">
        <v>45455.418055555558</v>
      </c>
      <c r="C874" t="s">
        <v>69</v>
      </c>
      <c r="D874" t="s">
        <v>1153</v>
      </c>
      <c r="E874" t="s">
        <v>1191</v>
      </c>
      <c r="F874" t="s">
        <v>1150</v>
      </c>
      <c r="G874" t="s">
        <v>1177</v>
      </c>
      <c r="H874" t="s">
        <v>1309</v>
      </c>
      <c r="I874" t="s">
        <v>1310</v>
      </c>
      <c r="J874" t="s">
        <v>1311</v>
      </c>
      <c r="K874">
        <v>1</v>
      </c>
      <c r="L874">
        <v>2531</v>
      </c>
      <c r="M874">
        <v>0</v>
      </c>
      <c r="N874">
        <v>2531</v>
      </c>
      <c r="O874">
        <v>0.12</v>
      </c>
      <c r="P874">
        <v>2531</v>
      </c>
      <c r="Q874">
        <v>303.72000000000003</v>
      </c>
      <c r="R874">
        <v>2834.72</v>
      </c>
      <c r="S874" t="s">
        <v>1360</v>
      </c>
      <c r="T874" t="s">
        <v>1367</v>
      </c>
      <c r="U874" s="4">
        <v>45456</v>
      </c>
      <c r="W874" t="b">
        <v>0</v>
      </c>
      <c r="Z874" t="s">
        <v>1379</v>
      </c>
      <c r="AA874" t="s">
        <v>1377</v>
      </c>
      <c r="AB874" t="s">
        <v>1389</v>
      </c>
    </row>
    <row r="875" spans="1:28" x14ac:dyDescent="0.3">
      <c r="A875" t="s">
        <v>837</v>
      </c>
      <c r="B875" s="6">
        <v>45435.568749999999</v>
      </c>
      <c r="C875" t="s">
        <v>396</v>
      </c>
      <c r="D875" t="s">
        <v>1157</v>
      </c>
      <c r="E875" t="s">
        <v>1158</v>
      </c>
      <c r="F875" t="s">
        <v>1150</v>
      </c>
      <c r="G875" t="s">
        <v>1163</v>
      </c>
      <c r="H875" t="s">
        <v>1240</v>
      </c>
      <c r="I875" t="s">
        <v>1241</v>
      </c>
      <c r="J875" t="s">
        <v>1242</v>
      </c>
      <c r="K875">
        <v>4</v>
      </c>
      <c r="L875">
        <v>626</v>
      </c>
      <c r="M875">
        <v>0.15</v>
      </c>
      <c r="N875">
        <v>532.1</v>
      </c>
      <c r="O875">
        <v>0.18</v>
      </c>
      <c r="P875">
        <v>2128.4</v>
      </c>
      <c r="Q875">
        <v>383.11200000000002</v>
      </c>
      <c r="R875">
        <v>2511.5120000000002</v>
      </c>
      <c r="S875" t="s">
        <v>1362</v>
      </c>
      <c r="T875" t="s">
        <v>1368</v>
      </c>
      <c r="U875" s="4">
        <v>45437</v>
      </c>
      <c r="W875" t="b">
        <v>0</v>
      </c>
      <c r="Z875" t="s">
        <v>1379</v>
      </c>
      <c r="AA875" t="s">
        <v>1399</v>
      </c>
      <c r="AB875" t="s">
        <v>1383</v>
      </c>
    </row>
    <row r="876" spans="1:28" x14ac:dyDescent="0.3">
      <c r="A876" t="s">
        <v>839</v>
      </c>
      <c r="B876" s="6">
        <v>45534.613888888889</v>
      </c>
      <c r="C876" t="s">
        <v>278</v>
      </c>
      <c r="D876" t="s">
        <v>1148</v>
      </c>
      <c r="E876" t="s">
        <v>1262</v>
      </c>
      <c r="F876" t="s">
        <v>1150</v>
      </c>
      <c r="G876" t="s">
        <v>1144</v>
      </c>
      <c r="H876" t="s">
        <v>1159</v>
      </c>
      <c r="I876" t="s">
        <v>1160</v>
      </c>
      <c r="J876" t="s">
        <v>1161</v>
      </c>
      <c r="K876">
        <v>1</v>
      </c>
      <c r="L876">
        <v>2099</v>
      </c>
      <c r="M876">
        <v>0.05</v>
      </c>
      <c r="N876">
        <v>1994.05</v>
      </c>
      <c r="O876">
        <v>0.05</v>
      </c>
      <c r="P876">
        <v>1994.05</v>
      </c>
      <c r="Q876">
        <v>99.702500000000001</v>
      </c>
      <c r="R876">
        <v>2093.7525000000001</v>
      </c>
      <c r="S876" t="s">
        <v>1363</v>
      </c>
      <c r="T876" t="s">
        <v>1368</v>
      </c>
      <c r="U876" s="4">
        <v>45534</v>
      </c>
      <c r="W876" t="b">
        <v>0</v>
      </c>
      <c r="Z876" t="s">
        <v>1392</v>
      </c>
      <c r="AA876" t="s">
        <v>1387</v>
      </c>
      <c r="AB876" t="s">
        <v>1391</v>
      </c>
    </row>
    <row r="877" spans="1:28" x14ac:dyDescent="0.3">
      <c r="A877" t="s">
        <v>841</v>
      </c>
      <c r="B877" s="6">
        <v>45548.522916666669</v>
      </c>
      <c r="C877" t="s">
        <v>283</v>
      </c>
      <c r="D877" t="s">
        <v>1148</v>
      </c>
      <c r="E877" t="s">
        <v>1262</v>
      </c>
      <c r="F877" t="s">
        <v>1150</v>
      </c>
      <c r="G877" t="s">
        <v>1163</v>
      </c>
      <c r="H877" t="s">
        <v>1240</v>
      </c>
      <c r="I877" t="s">
        <v>1281</v>
      </c>
      <c r="J877" t="s">
        <v>1282</v>
      </c>
      <c r="K877">
        <v>2</v>
      </c>
      <c r="L877">
        <v>289</v>
      </c>
      <c r="M877">
        <v>0</v>
      </c>
      <c r="N877">
        <v>289</v>
      </c>
      <c r="O877">
        <v>0.12</v>
      </c>
      <c r="P877">
        <v>578</v>
      </c>
      <c r="Q877">
        <v>69.36</v>
      </c>
      <c r="R877">
        <v>647.36</v>
      </c>
      <c r="S877" t="s">
        <v>1362</v>
      </c>
      <c r="T877" t="s">
        <v>1361</v>
      </c>
      <c r="U877" s="4">
        <v>45549</v>
      </c>
      <c r="V877" s="4">
        <v>45552</v>
      </c>
      <c r="W877" t="b">
        <v>0</v>
      </c>
      <c r="Z877" t="s">
        <v>1384</v>
      </c>
      <c r="AA877" t="s">
        <v>1387</v>
      </c>
      <c r="AB877" t="s">
        <v>1391</v>
      </c>
    </row>
    <row r="878" spans="1:28" x14ac:dyDescent="0.3">
      <c r="A878" t="s">
        <v>842</v>
      </c>
      <c r="B878" s="6">
        <v>45624.45208333333</v>
      </c>
      <c r="C878" t="s">
        <v>191</v>
      </c>
      <c r="D878" t="s">
        <v>1153</v>
      </c>
      <c r="E878" t="s">
        <v>1154</v>
      </c>
      <c r="F878" t="s">
        <v>1150</v>
      </c>
      <c r="G878" t="s">
        <v>1144</v>
      </c>
      <c r="H878" t="s">
        <v>1145</v>
      </c>
      <c r="I878" t="s">
        <v>1146</v>
      </c>
      <c r="J878" t="s">
        <v>1147</v>
      </c>
      <c r="K878">
        <v>1</v>
      </c>
      <c r="L878">
        <v>12119</v>
      </c>
      <c r="M878">
        <v>0</v>
      </c>
      <c r="N878">
        <v>12119</v>
      </c>
      <c r="O878">
        <v>0.12</v>
      </c>
      <c r="P878">
        <v>12119</v>
      </c>
      <c r="Q878">
        <v>1454.28</v>
      </c>
      <c r="R878">
        <v>13573.28</v>
      </c>
      <c r="S878" t="s">
        <v>1360</v>
      </c>
      <c r="T878" t="s">
        <v>1361</v>
      </c>
      <c r="U878" s="4">
        <v>45626</v>
      </c>
      <c r="V878" s="4">
        <v>45629</v>
      </c>
      <c r="W878" t="b">
        <v>0</v>
      </c>
      <c r="Z878" t="s">
        <v>1384</v>
      </c>
      <c r="AA878" t="s">
        <v>1385</v>
      </c>
      <c r="AB878" t="s">
        <v>1380</v>
      </c>
    </row>
    <row r="879" spans="1:28" x14ac:dyDescent="0.3">
      <c r="A879" t="s">
        <v>848</v>
      </c>
      <c r="B879" s="6">
        <v>45581.503472222219</v>
      </c>
      <c r="C879" t="s">
        <v>211</v>
      </c>
      <c r="D879" t="s">
        <v>1157</v>
      </c>
      <c r="E879" t="s">
        <v>1181</v>
      </c>
      <c r="F879" t="s">
        <v>1150</v>
      </c>
      <c r="G879" t="s">
        <v>1172</v>
      </c>
      <c r="H879" t="s">
        <v>1188</v>
      </c>
      <c r="I879" t="s">
        <v>1189</v>
      </c>
      <c r="J879" t="s">
        <v>1190</v>
      </c>
      <c r="K879">
        <v>3</v>
      </c>
      <c r="L879">
        <v>6931</v>
      </c>
      <c r="M879">
        <v>0.05</v>
      </c>
      <c r="N879">
        <v>6584.45</v>
      </c>
      <c r="O879">
        <v>0.05</v>
      </c>
      <c r="P879">
        <v>19753.349999999999</v>
      </c>
      <c r="Q879">
        <v>987.66750000000002</v>
      </c>
      <c r="R879">
        <v>20741.017500000002</v>
      </c>
      <c r="S879" t="s">
        <v>1365</v>
      </c>
      <c r="T879" t="s">
        <v>1361</v>
      </c>
      <c r="U879" s="4">
        <v>45583</v>
      </c>
      <c r="V879" s="4">
        <v>45587</v>
      </c>
      <c r="W879" t="b">
        <v>0</v>
      </c>
      <c r="Z879" t="s">
        <v>1384</v>
      </c>
      <c r="AA879" t="s">
        <v>1385</v>
      </c>
      <c r="AB879" t="s">
        <v>1395</v>
      </c>
    </row>
    <row r="880" spans="1:28" x14ac:dyDescent="0.3">
      <c r="A880" t="s">
        <v>849</v>
      </c>
      <c r="B880" s="6">
        <v>45563.411111111112</v>
      </c>
      <c r="C880" t="s">
        <v>22</v>
      </c>
      <c r="D880" t="s">
        <v>1182</v>
      </c>
      <c r="E880" t="s">
        <v>1183</v>
      </c>
      <c r="F880" t="s">
        <v>1150</v>
      </c>
      <c r="G880" t="s">
        <v>1177</v>
      </c>
      <c r="H880" t="s">
        <v>1192</v>
      </c>
      <c r="I880" t="s">
        <v>1283</v>
      </c>
      <c r="J880" t="s">
        <v>1284</v>
      </c>
      <c r="K880">
        <v>1</v>
      </c>
      <c r="L880">
        <v>1303</v>
      </c>
      <c r="M880">
        <v>0.05</v>
      </c>
      <c r="N880">
        <v>1237.8499999999999</v>
      </c>
      <c r="O880">
        <v>0.12</v>
      </c>
      <c r="P880">
        <v>1237.8499999999999</v>
      </c>
      <c r="Q880">
        <v>148.542</v>
      </c>
      <c r="R880">
        <v>1386.3920000000001</v>
      </c>
      <c r="S880" t="s">
        <v>1366</v>
      </c>
      <c r="T880" t="s">
        <v>1361</v>
      </c>
      <c r="U880" s="4">
        <v>45563</v>
      </c>
      <c r="V880" s="4">
        <v>45565</v>
      </c>
      <c r="W880" t="b">
        <v>0</v>
      </c>
      <c r="Z880" t="s">
        <v>1386</v>
      </c>
      <c r="AA880" t="s">
        <v>1394</v>
      </c>
      <c r="AB880" t="s">
        <v>1389</v>
      </c>
    </row>
    <row r="881" spans="1:28" x14ac:dyDescent="0.3">
      <c r="A881" t="s">
        <v>853</v>
      </c>
      <c r="B881" s="6">
        <v>45771.513194444444</v>
      </c>
      <c r="C881" t="s">
        <v>38</v>
      </c>
      <c r="D881" t="s">
        <v>1148</v>
      </c>
      <c r="E881" t="s">
        <v>1149</v>
      </c>
      <c r="F881" t="s">
        <v>1150</v>
      </c>
      <c r="G881" t="s">
        <v>1177</v>
      </c>
      <c r="H881" t="s">
        <v>1309</v>
      </c>
      <c r="I881" t="s">
        <v>1328</v>
      </c>
      <c r="J881" t="s">
        <v>1329</v>
      </c>
      <c r="K881">
        <v>3</v>
      </c>
      <c r="L881">
        <v>1083</v>
      </c>
      <c r="M881">
        <v>0</v>
      </c>
      <c r="N881">
        <v>1083</v>
      </c>
      <c r="O881">
        <v>0.12</v>
      </c>
      <c r="P881">
        <v>3249</v>
      </c>
      <c r="Q881">
        <v>389.88</v>
      </c>
      <c r="R881">
        <v>3638.88</v>
      </c>
      <c r="S881" t="s">
        <v>1360</v>
      </c>
      <c r="T881" t="s">
        <v>1361</v>
      </c>
      <c r="U881" s="4">
        <v>45772</v>
      </c>
      <c r="V881" s="4">
        <v>45777</v>
      </c>
      <c r="W881" t="b">
        <v>0</v>
      </c>
      <c r="Z881" t="s">
        <v>1398</v>
      </c>
      <c r="AA881" t="s">
        <v>1397</v>
      </c>
      <c r="AB881" t="s">
        <v>1380</v>
      </c>
    </row>
    <row r="882" spans="1:28" x14ac:dyDescent="0.3">
      <c r="A882" t="s">
        <v>854</v>
      </c>
      <c r="B882" s="6">
        <v>45767.553472222222</v>
      </c>
      <c r="C882" t="s">
        <v>237</v>
      </c>
      <c r="D882" t="s">
        <v>1182</v>
      </c>
      <c r="E882" t="s">
        <v>1183</v>
      </c>
      <c r="F882" t="s">
        <v>1150</v>
      </c>
      <c r="G882" t="s">
        <v>1163</v>
      </c>
      <c r="H882" t="s">
        <v>1240</v>
      </c>
      <c r="I882" t="s">
        <v>1241</v>
      </c>
      <c r="J882" t="s">
        <v>1242</v>
      </c>
      <c r="K882">
        <v>2</v>
      </c>
      <c r="L882">
        <v>799</v>
      </c>
      <c r="M882">
        <v>0.05</v>
      </c>
      <c r="N882">
        <v>759.05</v>
      </c>
      <c r="O882">
        <v>0.12</v>
      </c>
      <c r="P882">
        <v>1518.1</v>
      </c>
      <c r="Q882">
        <v>182.172</v>
      </c>
      <c r="R882">
        <v>1700.2719999999999</v>
      </c>
      <c r="S882" t="s">
        <v>1363</v>
      </c>
      <c r="T882" t="s">
        <v>1361</v>
      </c>
      <c r="U882" s="4">
        <v>45768</v>
      </c>
      <c r="V882" s="4">
        <v>45770</v>
      </c>
      <c r="W882" t="b">
        <v>0</v>
      </c>
      <c r="Z882" t="s">
        <v>1382</v>
      </c>
      <c r="AA882" t="s">
        <v>1387</v>
      </c>
      <c r="AB882" t="s">
        <v>1383</v>
      </c>
    </row>
    <row r="883" spans="1:28" x14ac:dyDescent="0.3">
      <c r="A883" t="s">
        <v>857</v>
      </c>
      <c r="B883" s="6">
        <v>45586.674305555556</v>
      </c>
      <c r="C883" t="s">
        <v>858</v>
      </c>
      <c r="D883" t="s">
        <v>1141</v>
      </c>
      <c r="E883" t="s">
        <v>1239</v>
      </c>
      <c r="F883" t="s">
        <v>1150</v>
      </c>
      <c r="G883" t="s">
        <v>1172</v>
      </c>
      <c r="H883" t="s">
        <v>1229</v>
      </c>
      <c r="I883" t="s">
        <v>1295</v>
      </c>
      <c r="J883" t="s">
        <v>1296</v>
      </c>
      <c r="K883">
        <v>2</v>
      </c>
      <c r="L883">
        <v>2251</v>
      </c>
      <c r="M883">
        <v>0</v>
      </c>
      <c r="N883">
        <v>2251</v>
      </c>
      <c r="O883">
        <v>0.12</v>
      </c>
      <c r="P883">
        <v>4502</v>
      </c>
      <c r="Q883">
        <v>540.24</v>
      </c>
      <c r="R883">
        <v>5042.24</v>
      </c>
      <c r="S883" t="s">
        <v>1365</v>
      </c>
      <c r="T883" t="s">
        <v>1361</v>
      </c>
      <c r="U883" s="4">
        <v>45586</v>
      </c>
      <c r="V883" s="4">
        <v>45590</v>
      </c>
      <c r="W883" t="b">
        <v>0</v>
      </c>
      <c r="Z883" t="s">
        <v>1388</v>
      </c>
      <c r="AA883" t="s">
        <v>1397</v>
      </c>
      <c r="AB883" t="s">
        <v>1395</v>
      </c>
    </row>
    <row r="884" spans="1:28" x14ac:dyDescent="0.3">
      <c r="A884" t="s">
        <v>859</v>
      </c>
      <c r="B884" s="6">
        <v>45410.567361111112</v>
      </c>
      <c r="C884" t="s">
        <v>135</v>
      </c>
      <c r="D884" t="s">
        <v>1182</v>
      </c>
      <c r="E884" t="s">
        <v>1207</v>
      </c>
      <c r="F884" t="s">
        <v>1150</v>
      </c>
      <c r="G884" t="s">
        <v>1163</v>
      </c>
      <c r="H884" t="s">
        <v>1224</v>
      </c>
      <c r="I884" t="s">
        <v>1243</v>
      </c>
      <c r="J884" t="s">
        <v>1244</v>
      </c>
      <c r="K884">
        <v>3</v>
      </c>
      <c r="L884">
        <v>181</v>
      </c>
      <c r="M884">
        <v>0</v>
      </c>
      <c r="N884">
        <v>181</v>
      </c>
      <c r="O884">
        <v>0.12</v>
      </c>
      <c r="P884">
        <v>543</v>
      </c>
      <c r="Q884">
        <v>65.16</v>
      </c>
      <c r="R884">
        <v>608.16</v>
      </c>
      <c r="S884" t="s">
        <v>1360</v>
      </c>
      <c r="T884" t="s">
        <v>1361</v>
      </c>
      <c r="U884" s="4">
        <v>45412</v>
      </c>
      <c r="V884" s="4">
        <v>45417</v>
      </c>
      <c r="W884" t="b">
        <v>0</v>
      </c>
      <c r="Z884" t="s">
        <v>1398</v>
      </c>
      <c r="AA884" t="s">
        <v>1377</v>
      </c>
      <c r="AB884" t="s">
        <v>1378</v>
      </c>
    </row>
    <row r="885" spans="1:28" x14ac:dyDescent="0.3">
      <c r="A885" t="s">
        <v>866</v>
      </c>
      <c r="B885" s="6">
        <v>45548.592361111114</v>
      </c>
      <c r="C885" t="s">
        <v>176</v>
      </c>
      <c r="D885" t="s">
        <v>1148</v>
      </c>
      <c r="E885" t="s">
        <v>1262</v>
      </c>
      <c r="F885" t="s">
        <v>1150</v>
      </c>
      <c r="G885" t="s">
        <v>1172</v>
      </c>
      <c r="H885" t="s">
        <v>1198</v>
      </c>
      <c r="I885" t="s">
        <v>1303</v>
      </c>
      <c r="J885" t="s">
        <v>1304</v>
      </c>
      <c r="K885">
        <v>1</v>
      </c>
      <c r="L885">
        <v>1465</v>
      </c>
      <c r="M885">
        <v>0.05</v>
      </c>
      <c r="N885">
        <v>1391.75</v>
      </c>
      <c r="O885">
        <v>0.18</v>
      </c>
      <c r="P885">
        <v>1391.75</v>
      </c>
      <c r="Q885">
        <v>250.51499999999999</v>
      </c>
      <c r="R885">
        <v>1642.2650000000001</v>
      </c>
      <c r="S885" t="s">
        <v>1365</v>
      </c>
      <c r="T885" t="s">
        <v>1368</v>
      </c>
      <c r="U885" s="4">
        <v>45549</v>
      </c>
      <c r="W885" t="b">
        <v>0</v>
      </c>
      <c r="Z885" t="s">
        <v>1386</v>
      </c>
      <c r="AA885" t="s">
        <v>1377</v>
      </c>
      <c r="AB885" t="s">
        <v>1380</v>
      </c>
    </row>
    <row r="886" spans="1:28" x14ac:dyDescent="0.3">
      <c r="A886" t="s">
        <v>870</v>
      </c>
      <c r="B886" s="6">
        <v>45591.563194444447</v>
      </c>
      <c r="C886" t="s">
        <v>183</v>
      </c>
      <c r="D886" t="s">
        <v>1182</v>
      </c>
      <c r="E886" t="s">
        <v>1256</v>
      </c>
      <c r="F886" t="s">
        <v>1150</v>
      </c>
      <c r="G886" t="s">
        <v>1177</v>
      </c>
      <c r="H886" t="s">
        <v>1178</v>
      </c>
      <c r="I886" t="s">
        <v>1305</v>
      </c>
      <c r="J886" t="s">
        <v>1306</v>
      </c>
      <c r="K886">
        <v>3</v>
      </c>
      <c r="L886">
        <v>1920</v>
      </c>
      <c r="M886">
        <v>0</v>
      </c>
      <c r="N886">
        <v>1920</v>
      </c>
      <c r="O886">
        <v>0.12</v>
      </c>
      <c r="P886">
        <v>5760</v>
      </c>
      <c r="Q886">
        <v>691.19999999999993</v>
      </c>
      <c r="R886">
        <v>6451.2</v>
      </c>
      <c r="S886" t="s">
        <v>1362</v>
      </c>
      <c r="T886" t="s">
        <v>1361</v>
      </c>
      <c r="U886" s="4">
        <v>45591</v>
      </c>
      <c r="V886" s="4">
        <v>45595</v>
      </c>
      <c r="W886" t="b">
        <v>0</v>
      </c>
      <c r="Z886" t="s">
        <v>1392</v>
      </c>
      <c r="AA886" t="s">
        <v>1400</v>
      </c>
      <c r="AB886" t="s">
        <v>1395</v>
      </c>
    </row>
    <row r="887" spans="1:28" x14ac:dyDescent="0.3">
      <c r="A887" t="s">
        <v>873</v>
      </c>
      <c r="B887" s="6">
        <v>45643.39166666667</v>
      </c>
      <c r="C887" t="s">
        <v>158</v>
      </c>
      <c r="D887" t="s">
        <v>1182</v>
      </c>
      <c r="E887" t="s">
        <v>1257</v>
      </c>
      <c r="F887" t="s">
        <v>1150</v>
      </c>
      <c r="G887" t="s">
        <v>1167</v>
      </c>
      <c r="H887" t="s">
        <v>1288</v>
      </c>
      <c r="I887" t="s">
        <v>1293</v>
      </c>
      <c r="J887" t="s">
        <v>1294</v>
      </c>
      <c r="K887">
        <v>1</v>
      </c>
      <c r="L887">
        <v>56739</v>
      </c>
      <c r="M887">
        <v>0</v>
      </c>
      <c r="N887">
        <v>56739</v>
      </c>
      <c r="O887">
        <v>0.05</v>
      </c>
      <c r="P887">
        <v>56739</v>
      </c>
      <c r="Q887">
        <v>2836.95</v>
      </c>
      <c r="R887">
        <v>59575.95</v>
      </c>
      <c r="S887" t="s">
        <v>1365</v>
      </c>
      <c r="T887" t="s">
        <v>1361</v>
      </c>
      <c r="U887" s="4">
        <v>45643</v>
      </c>
      <c r="V887" s="4">
        <v>45648</v>
      </c>
      <c r="W887" t="b">
        <v>0</v>
      </c>
      <c r="Z887" t="s">
        <v>1388</v>
      </c>
      <c r="AA887" t="s">
        <v>1397</v>
      </c>
      <c r="AB887" t="s">
        <v>1391</v>
      </c>
    </row>
    <row r="888" spans="1:28" x14ac:dyDescent="0.3">
      <c r="A888" t="s">
        <v>876</v>
      </c>
      <c r="B888" s="6">
        <v>45439.470138888886</v>
      </c>
      <c r="C888" t="s">
        <v>61</v>
      </c>
      <c r="D888" t="s">
        <v>1153</v>
      </c>
      <c r="E888" t="s">
        <v>1176</v>
      </c>
      <c r="F888" t="s">
        <v>1150</v>
      </c>
      <c r="G888" t="s">
        <v>1167</v>
      </c>
      <c r="H888" t="s">
        <v>1168</v>
      </c>
      <c r="I888" t="s">
        <v>1169</v>
      </c>
      <c r="J888" t="s">
        <v>1170</v>
      </c>
      <c r="K888">
        <v>1</v>
      </c>
      <c r="L888">
        <v>48669</v>
      </c>
      <c r="M888">
        <v>0.1</v>
      </c>
      <c r="N888">
        <v>43802.1</v>
      </c>
      <c r="O888">
        <v>0.18</v>
      </c>
      <c r="P888">
        <v>43802.1</v>
      </c>
      <c r="Q888">
        <v>7884.3779999999997</v>
      </c>
      <c r="R888">
        <v>51686.478000000003</v>
      </c>
      <c r="S888" t="s">
        <v>1365</v>
      </c>
      <c r="T888" t="s">
        <v>1361</v>
      </c>
      <c r="U888" s="4">
        <v>45440</v>
      </c>
      <c r="V888" s="4">
        <v>45443</v>
      </c>
      <c r="W888" t="b">
        <v>0</v>
      </c>
      <c r="Z888" t="s">
        <v>1376</v>
      </c>
      <c r="AA888" t="s">
        <v>1399</v>
      </c>
      <c r="AB888" t="s">
        <v>1383</v>
      </c>
    </row>
    <row r="889" spans="1:28" x14ac:dyDescent="0.3">
      <c r="A889" t="s">
        <v>882</v>
      </c>
      <c r="B889" s="6">
        <v>45504.552083333336</v>
      </c>
      <c r="C889" t="s">
        <v>537</v>
      </c>
      <c r="D889" t="s">
        <v>1153</v>
      </c>
      <c r="E889" t="s">
        <v>1162</v>
      </c>
      <c r="F889" t="s">
        <v>1150</v>
      </c>
      <c r="G889" t="s">
        <v>1177</v>
      </c>
      <c r="H889" t="s">
        <v>1192</v>
      </c>
      <c r="I889" t="s">
        <v>1283</v>
      </c>
      <c r="J889" t="s">
        <v>1284</v>
      </c>
      <c r="K889">
        <v>1</v>
      </c>
      <c r="L889">
        <v>558</v>
      </c>
      <c r="M889">
        <v>0.2</v>
      </c>
      <c r="N889">
        <v>446.4</v>
      </c>
      <c r="O889">
        <v>0.12</v>
      </c>
      <c r="P889">
        <v>446.4</v>
      </c>
      <c r="Q889">
        <v>53.567999999999998</v>
      </c>
      <c r="R889">
        <v>499.96800000000002</v>
      </c>
      <c r="S889" t="s">
        <v>1362</v>
      </c>
      <c r="T889" t="s">
        <v>1361</v>
      </c>
      <c r="U889" s="4">
        <v>45504</v>
      </c>
      <c r="V889" s="4">
        <v>45505</v>
      </c>
      <c r="W889" t="b">
        <v>0</v>
      </c>
      <c r="Z889" t="s">
        <v>1396</v>
      </c>
      <c r="AA889" t="s">
        <v>1397</v>
      </c>
      <c r="AB889" t="s">
        <v>1389</v>
      </c>
    </row>
    <row r="890" spans="1:28" x14ac:dyDescent="0.3">
      <c r="A890" t="s">
        <v>886</v>
      </c>
      <c r="B890" s="6">
        <v>45376.460416666669</v>
      </c>
      <c r="C890" t="s">
        <v>278</v>
      </c>
      <c r="D890" t="s">
        <v>1148</v>
      </c>
      <c r="E890" t="s">
        <v>1262</v>
      </c>
      <c r="F890" t="s">
        <v>1150</v>
      </c>
      <c r="G890" t="s">
        <v>1163</v>
      </c>
      <c r="H890" t="s">
        <v>1184</v>
      </c>
      <c r="I890" t="s">
        <v>1260</v>
      </c>
      <c r="J890" t="s">
        <v>1261</v>
      </c>
      <c r="K890">
        <v>1</v>
      </c>
      <c r="L890">
        <v>463</v>
      </c>
      <c r="M890">
        <v>0.15</v>
      </c>
      <c r="N890">
        <v>393.55</v>
      </c>
      <c r="O890">
        <v>0.18</v>
      </c>
      <c r="P890">
        <v>393.55</v>
      </c>
      <c r="Q890">
        <v>70.838999999999999</v>
      </c>
      <c r="R890">
        <v>464.38900000000001</v>
      </c>
      <c r="S890" t="s">
        <v>1360</v>
      </c>
      <c r="T890" t="s">
        <v>1369</v>
      </c>
      <c r="W890" t="b">
        <v>0</v>
      </c>
      <c r="Z890" t="s">
        <v>1398</v>
      </c>
      <c r="AA890" t="s">
        <v>1399</v>
      </c>
      <c r="AB890" t="s">
        <v>1393</v>
      </c>
    </row>
    <row r="891" spans="1:28" x14ac:dyDescent="0.3">
      <c r="A891" t="s">
        <v>894</v>
      </c>
      <c r="B891" s="6">
        <v>45415.679166666669</v>
      </c>
      <c r="C891" t="s">
        <v>171</v>
      </c>
      <c r="D891" t="s">
        <v>1182</v>
      </c>
      <c r="E891" t="s">
        <v>1207</v>
      </c>
      <c r="F891" t="s">
        <v>1150</v>
      </c>
      <c r="G891" t="s">
        <v>1172</v>
      </c>
      <c r="H891" t="s">
        <v>1198</v>
      </c>
      <c r="I891" t="s">
        <v>1250</v>
      </c>
      <c r="J891" t="s">
        <v>1251</v>
      </c>
      <c r="K891">
        <v>2</v>
      </c>
      <c r="L891">
        <v>1509</v>
      </c>
      <c r="M891">
        <v>0</v>
      </c>
      <c r="N891">
        <v>1509</v>
      </c>
      <c r="O891">
        <v>0.05</v>
      </c>
      <c r="P891">
        <v>3018</v>
      </c>
      <c r="Q891">
        <v>150.9</v>
      </c>
      <c r="R891">
        <v>3168.9</v>
      </c>
      <c r="S891" t="s">
        <v>1365</v>
      </c>
      <c r="T891" t="s">
        <v>1364</v>
      </c>
      <c r="U891" s="4">
        <v>45417</v>
      </c>
      <c r="W891" t="b">
        <v>1</v>
      </c>
      <c r="X891" s="4">
        <v>45431</v>
      </c>
      <c r="Y891" s="4">
        <v>45431</v>
      </c>
      <c r="Z891" t="s">
        <v>1376</v>
      </c>
      <c r="AA891" t="s">
        <v>1397</v>
      </c>
      <c r="AB891" t="s">
        <v>1395</v>
      </c>
    </row>
    <row r="892" spans="1:28" x14ac:dyDescent="0.3">
      <c r="A892" t="s">
        <v>897</v>
      </c>
      <c r="B892" s="6">
        <v>45566.459027777775</v>
      </c>
      <c r="C892" t="s">
        <v>245</v>
      </c>
      <c r="D892" t="s">
        <v>1182</v>
      </c>
      <c r="E892" t="s">
        <v>1207</v>
      </c>
      <c r="F892" t="s">
        <v>1150</v>
      </c>
      <c r="G892" t="s">
        <v>1177</v>
      </c>
      <c r="H892" t="s">
        <v>1236</v>
      </c>
      <c r="I892" t="s">
        <v>1237</v>
      </c>
      <c r="J892" t="s">
        <v>1238</v>
      </c>
      <c r="K892">
        <v>1</v>
      </c>
      <c r="L892">
        <v>2745</v>
      </c>
      <c r="M892">
        <v>0.2</v>
      </c>
      <c r="N892">
        <v>2196</v>
      </c>
      <c r="O892">
        <v>0.18</v>
      </c>
      <c r="P892">
        <v>2196</v>
      </c>
      <c r="Q892">
        <v>395.28</v>
      </c>
      <c r="R892">
        <v>2591.2800000000002</v>
      </c>
      <c r="S892" t="s">
        <v>1360</v>
      </c>
      <c r="T892" t="s">
        <v>1361</v>
      </c>
      <c r="U892" s="4">
        <v>45567</v>
      </c>
      <c r="V892" s="4">
        <v>45569</v>
      </c>
      <c r="W892" t="b">
        <v>0</v>
      </c>
      <c r="Z892" t="s">
        <v>1390</v>
      </c>
      <c r="AA892" t="s">
        <v>1377</v>
      </c>
      <c r="AB892" t="s">
        <v>1389</v>
      </c>
    </row>
    <row r="893" spans="1:28" x14ac:dyDescent="0.3">
      <c r="A893" t="s">
        <v>901</v>
      </c>
      <c r="B893" s="6">
        <v>45680.573611111111</v>
      </c>
      <c r="C893" t="s">
        <v>378</v>
      </c>
      <c r="D893" t="s">
        <v>1157</v>
      </c>
      <c r="E893" t="s">
        <v>1158</v>
      </c>
      <c r="F893" t="s">
        <v>1150</v>
      </c>
      <c r="G893" t="s">
        <v>1167</v>
      </c>
      <c r="H893" t="s">
        <v>1211</v>
      </c>
      <c r="I893" t="s">
        <v>1299</v>
      </c>
      <c r="J893" t="s">
        <v>1300</v>
      </c>
      <c r="K893">
        <v>1</v>
      </c>
      <c r="L893">
        <v>28248</v>
      </c>
      <c r="M893">
        <v>0</v>
      </c>
      <c r="N893">
        <v>28248</v>
      </c>
      <c r="O893">
        <v>0.18</v>
      </c>
      <c r="P893">
        <v>28248</v>
      </c>
      <c r="Q893">
        <v>5084.6399999999994</v>
      </c>
      <c r="R893">
        <v>33332.639999999999</v>
      </c>
      <c r="S893" t="s">
        <v>1366</v>
      </c>
      <c r="T893" t="s">
        <v>1361</v>
      </c>
      <c r="U893" s="4">
        <v>45682</v>
      </c>
      <c r="V893" s="4">
        <v>45686</v>
      </c>
      <c r="W893" t="b">
        <v>0</v>
      </c>
      <c r="Z893" t="s">
        <v>1388</v>
      </c>
      <c r="AA893" t="s">
        <v>1400</v>
      </c>
      <c r="AB893" t="s">
        <v>1393</v>
      </c>
    </row>
    <row r="894" spans="1:28" x14ac:dyDescent="0.3">
      <c r="A894" t="s">
        <v>906</v>
      </c>
      <c r="B894" s="6">
        <v>45651.6</v>
      </c>
      <c r="C894" t="s">
        <v>26</v>
      </c>
      <c r="D894" t="s">
        <v>1153</v>
      </c>
      <c r="E894" t="s">
        <v>1191</v>
      </c>
      <c r="F894" t="s">
        <v>1150</v>
      </c>
      <c r="G894" t="s">
        <v>1167</v>
      </c>
      <c r="H894" t="s">
        <v>1211</v>
      </c>
      <c r="I894" t="s">
        <v>1212</v>
      </c>
      <c r="J894" t="s">
        <v>1213</v>
      </c>
      <c r="K894">
        <v>2</v>
      </c>
      <c r="L894">
        <v>23397</v>
      </c>
      <c r="M894">
        <v>0</v>
      </c>
      <c r="N894">
        <v>23397</v>
      </c>
      <c r="O894">
        <v>0.12</v>
      </c>
      <c r="P894">
        <v>46794</v>
      </c>
      <c r="Q894">
        <v>5615.28</v>
      </c>
      <c r="R894">
        <v>52409.279999999999</v>
      </c>
      <c r="S894" t="s">
        <v>1362</v>
      </c>
      <c r="T894" t="s">
        <v>1361</v>
      </c>
      <c r="U894" s="4">
        <v>45653</v>
      </c>
      <c r="V894" s="4">
        <v>45657</v>
      </c>
      <c r="W894" t="b">
        <v>0</v>
      </c>
      <c r="Z894" t="s">
        <v>1386</v>
      </c>
      <c r="AA894" t="s">
        <v>1377</v>
      </c>
      <c r="AB894" t="s">
        <v>1391</v>
      </c>
    </row>
    <row r="895" spans="1:28" x14ac:dyDescent="0.3">
      <c r="A895" t="s">
        <v>908</v>
      </c>
      <c r="B895" s="6">
        <v>45622.49722222222</v>
      </c>
      <c r="C895" t="s">
        <v>139</v>
      </c>
      <c r="D895" t="s">
        <v>1148</v>
      </c>
      <c r="E895" t="s">
        <v>1262</v>
      </c>
      <c r="F895" t="s">
        <v>1150</v>
      </c>
      <c r="G895" t="s">
        <v>1167</v>
      </c>
      <c r="H895" t="s">
        <v>1211</v>
      </c>
      <c r="I895" t="s">
        <v>1299</v>
      </c>
      <c r="J895" t="s">
        <v>1300</v>
      </c>
      <c r="K895">
        <v>3</v>
      </c>
      <c r="L895">
        <v>45818</v>
      </c>
      <c r="M895">
        <v>0</v>
      </c>
      <c r="N895">
        <v>45818</v>
      </c>
      <c r="O895">
        <v>0.12</v>
      </c>
      <c r="P895">
        <v>137454</v>
      </c>
      <c r="Q895">
        <v>16494.48</v>
      </c>
      <c r="R895">
        <v>153948.48000000001</v>
      </c>
      <c r="S895" t="s">
        <v>1360</v>
      </c>
      <c r="T895" t="s">
        <v>1361</v>
      </c>
      <c r="U895" s="4">
        <v>45623</v>
      </c>
      <c r="V895" s="4">
        <v>45628</v>
      </c>
      <c r="W895" t="b">
        <v>0</v>
      </c>
      <c r="Z895" t="s">
        <v>1392</v>
      </c>
      <c r="AA895" t="s">
        <v>1377</v>
      </c>
      <c r="AB895" t="s">
        <v>1383</v>
      </c>
    </row>
    <row r="896" spans="1:28" x14ac:dyDescent="0.3">
      <c r="A896" t="s">
        <v>918</v>
      </c>
      <c r="B896" s="6">
        <v>45707.581250000003</v>
      </c>
      <c r="C896" t="s">
        <v>571</v>
      </c>
      <c r="D896" t="s">
        <v>1157</v>
      </c>
      <c r="E896" t="s">
        <v>1201</v>
      </c>
      <c r="F896" t="s">
        <v>1150</v>
      </c>
      <c r="G896" t="s">
        <v>1167</v>
      </c>
      <c r="H896" t="s">
        <v>1211</v>
      </c>
      <c r="I896" t="s">
        <v>1299</v>
      </c>
      <c r="J896" t="s">
        <v>1300</v>
      </c>
      <c r="K896">
        <v>1</v>
      </c>
      <c r="L896">
        <v>24991</v>
      </c>
      <c r="M896">
        <v>0.1</v>
      </c>
      <c r="N896">
        <v>22491.9</v>
      </c>
      <c r="O896">
        <v>0.12</v>
      </c>
      <c r="P896">
        <v>22491.9</v>
      </c>
      <c r="Q896">
        <v>2699.0279999999998</v>
      </c>
      <c r="R896">
        <v>25190.928</v>
      </c>
      <c r="S896" t="s">
        <v>1360</v>
      </c>
      <c r="T896" t="s">
        <v>1361</v>
      </c>
      <c r="U896" s="4">
        <v>45708</v>
      </c>
      <c r="V896" s="4">
        <v>45709</v>
      </c>
      <c r="W896" t="b">
        <v>0</v>
      </c>
      <c r="Z896" t="s">
        <v>1386</v>
      </c>
      <c r="AA896" t="s">
        <v>1377</v>
      </c>
      <c r="AB896" t="s">
        <v>1389</v>
      </c>
    </row>
    <row r="897" spans="1:28" x14ac:dyDescent="0.3">
      <c r="A897" t="s">
        <v>923</v>
      </c>
      <c r="B897" s="6">
        <v>45562.586805555555</v>
      </c>
      <c r="C897" t="s">
        <v>51</v>
      </c>
      <c r="D897" t="s">
        <v>1141</v>
      </c>
      <c r="E897" t="s">
        <v>1227</v>
      </c>
      <c r="F897" t="s">
        <v>1150</v>
      </c>
      <c r="G897" t="s">
        <v>1172</v>
      </c>
      <c r="H897" t="s">
        <v>1188</v>
      </c>
      <c r="I897" t="s">
        <v>1189</v>
      </c>
      <c r="J897" t="s">
        <v>1190</v>
      </c>
      <c r="K897">
        <v>2</v>
      </c>
      <c r="L897">
        <v>9335</v>
      </c>
      <c r="M897">
        <v>0.15</v>
      </c>
      <c r="N897">
        <v>7934.75</v>
      </c>
      <c r="O897">
        <v>0.12</v>
      </c>
      <c r="P897">
        <v>15869.5</v>
      </c>
      <c r="Q897">
        <v>1904.34</v>
      </c>
      <c r="R897">
        <v>17773.84</v>
      </c>
      <c r="S897" t="s">
        <v>1365</v>
      </c>
      <c r="T897" t="s">
        <v>1361</v>
      </c>
      <c r="U897" s="4">
        <v>45564</v>
      </c>
      <c r="V897" s="4">
        <v>45569</v>
      </c>
      <c r="W897" t="b">
        <v>0</v>
      </c>
      <c r="Z897" t="s">
        <v>1396</v>
      </c>
      <c r="AA897" t="s">
        <v>1400</v>
      </c>
      <c r="AB897" t="s">
        <v>1380</v>
      </c>
    </row>
    <row r="898" spans="1:28" x14ac:dyDescent="0.3">
      <c r="A898" t="s">
        <v>926</v>
      </c>
      <c r="B898" s="6">
        <v>45756.561111111114</v>
      </c>
      <c r="C898" t="s">
        <v>218</v>
      </c>
      <c r="D898" t="s">
        <v>1153</v>
      </c>
      <c r="E898" t="s">
        <v>1191</v>
      </c>
      <c r="F898" t="s">
        <v>1150</v>
      </c>
      <c r="G898" t="s">
        <v>1163</v>
      </c>
      <c r="H898" t="s">
        <v>1266</v>
      </c>
      <c r="I898" t="s">
        <v>1267</v>
      </c>
      <c r="J898" t="s">
        <v>1268</v>
      </c>
      <c r="K898">
        <v>4</v>
      </c>
      <c r="L898">
        <v>1101</v>
      </c>
      <c r="M898">
        <v>0</v>
      </c>
      <c r="N898">
        <v>1101</v>
      </c>
      <c r="O898">
        <v>0.12</v>
      </c>
      <c r="P898">
        <v>4404</v>
      </c>
      <c r="Q898">
        <v>528.48</v>
      </c>
      <c r="R898">
        <v>4932.4799999999996</v>
      </c>
      <c r="S898" t="s">
        <v>1360</v>
      </c>
      <c r="T898" t="s">
        <v>1361</v>
      </c>
      <c r="U898" s="4">
        <v>45756</v>
      </c>
      <c r="V898" s="4">
        <v>45758</v>
      </c>
      <c r="W898" t="b">
        <v>0</v>
      </c>
      <c r="Z898" t="s">
        <v>1376</v>
      </c>
      <c r="AA898" t="s">
        <v>1385</v>
      </c>
      <c r="AB898" t="s">
        <v>1395</v>
      </c>
    </row>
    <row r="899" spans="1:28" x14ac:dyDescent="0.3">
      <c r="A899" t="s">
        <v>928</v>
      </c>
      <c r="B899" s="6">
        <v>45415.477777777778</v>
      </c>
      <c r="C899" t="s">
        <v>231</v>
      </c>
      <c r="D899" t="s">
        <v>1157</v>
      </c>
      <c r="E899" t="s">
        <v>1249</v>
      </c>
      <c r="F899" t="s">
        <v>1150</v>
      </c>
      <c r="G899" t="s">
        <v>1177</v>
      </c>
      <c r="H899" t="s">
        <v>1192</v>
      </c>
      <c r="I899" t="s">
        <v>1344</v>
      </c>
      <c r="J899" t="s">
        <v>1345</v>
      </c>
      <c r="K899">
        <v>3</v>
      </c>
      <c r="L899">
        <v>809</v>
      </c>
      <c r="M899">
        <v>0.1</v>
      </c>
      <c r="N899">
        <v>728.1</v>
      </c>
      <c r="O899">
        <v>0.18</v>
      </c>
      <c r="P899">
        <v>2184.3000000000002</v>
      </c>
      <c r="Q899">
        <v>393.17399999999998</v>
      </c>
      <c r="R899">
        <v>2577.4740000000002</v>
      </c>
      <c r="S899" t="s">
        <v>1362</v>
      </c>
      <c r="T899" t="s">
        <v>1361</v>
      </c>
      <c r="U899" s="4">
        <v>45416</v>
      </c>
      <c r="V899" s="4">
        <v>45419</v>
      </c>
      <c r="W899" t="b">
        <v>0</v>
      </c>
      <c r="Z899" t="s">
        <v>1384</v>
      </c>
      <c r="AA899" t="s">
        <v>1399</v>
      </c>
      <c r="AB899" t="s">
        <v>1383</v>
      </c>
    </row>
    <row r="900" spans="1:28" x14ac:dyDescent="0.3">
      <c r="A900" t="s">
        <v>931</v>
      </c>
      <c r="B900" s="6">
        <v>45384.589583333334</v>
      </c>
      <c r="C900" t="s">
        <v>378</v>
      </c>
      <c r="D900" t="s">
        <v>1157</v>
      </c>
      <c r="E900" t="s">
        <v>1158</v>
      </c>
      <c r="F900" t="s">
        <v>1150</v>
      </c>
      <c r="G900" t="s">
        <v>1144</v>
      </c>
      <c r="H900" t="s">
        <v>1159</v>
      </c>
      <c r="I900" t="s">
        <v>1160</v>
      </c>
      <c r="J900" t="s">
        <v>1161</v>
      </c>
      <c r="K900">
        <v>1</v>
      </c>
      <c r="L900">
        <v>10493</v>
      </c>
      <c r="M900">
        <v>0</v>
      </c>
      <c r="N900">
        <v>10493</v>
      </c>
      <c r="O900">
        <v>0.05</v>
      </c>
      <c r="P900">
        <v>10493</v>
      </c>
      <c r="Q900">
        <v>524.65</v>
      </c>
      <c r="R900">
        <v>11017.65</v>
      </c>
      <c r="S900" t="s">
        <v>1365</v>
      </c>
      <c r="T900" t="s">
        <v>1361</v>
      </c>
      <c r="U900" s="4">
        <v>45384</v>
      </c>
      <c r="V900" s="4">
        <v>45388</v>
      </c>
      <c r="W900" t="b">
        <v>0</v>
      </c>
      <c r="Z900" t="s">
        <v>1379</v>
      </c>
      <c r="AA900" t="s">
        <v>1387</v>
      </c>
      <c r="AB900" t="s">
        <v>1383</v>
      </c>
    </row>
    <row r="901" spans="1:28" x14ac:dyDescent="0.3">
      <c r="A901" t="s">
        <v>932</v>
      </c>
      <c r="B901" s="6">
        <v>45689.561111111114</v>
      </c>
      <c r="C901" t="s">
        <v>387</v>
      </c>
      <c r="D901" t="s">
        <v>1148</v>
      </c>
      <c r="E901" t="s">
        <v>1262</v>
      </c>
      <c r="F901" t="s">
        <v>1150</v>
      </c>
      <c r="G901" t="s">
        <v>1167</v>
      </c>
      <c r="H901" t="s">
        <v>1288</v>
      </c>
      <c r="I901" t="s">
        <v>1293</v>
      </c>
      <c r="J901" t="s">
        <v>1294</v>
      </c>
      <c r="K901">
        <v>1</v>
      </c>
      <c r="L901">
        <v>30455</v>
      </c>
      <c r="M901">
        <v>0</v>
      </c>
      <c r="N901">
        <v>30455</v>
      </c>
      <c r="O901">
        <v>0.05</v>
      </c>
      <c r="P901">
        <v>30455</v>
      </c>
      <c r="Q901">
        <v>1522.75</v>
      </c>
      <c r="R901">
        <v>31977.75</v>
      </c>
      <c r="S901" t="s">
        <v>1362</v>
      </c>
      <c r="T901" t="s">
        <v>1361</v>
      </c>
      <c r="U901" s="4">
        <v>45691</v>
      </c>
      <c r="V901" s="4">
        <v>45694</v>
      </c>
      <c r="W901" t="b">
        <v>0</v>
      </c>
      <c r="Z901" t="s">
        <v>1386</v>
      </c>
      <c r="AA901" t="s">
        <v>1377</v>
      </c>
      <c r="AB901" t="s">
        <v>1389</v>
      </c>
    </row>
    <row r="902" spans="1:28" x14ac:dyDescent="0.3">
      <c r="A902" t="s">
        <v>934</v>
      </c>
      <c r="B902" s="6">
        <v>45444.488194444442</v>
      </c>
      <c r="C902" t="s">
        <v>627</v>
      </c>
      <c r="D902" t="s">
        <v>1182</v>
      </c>
      <c r="E902" t="s">
        <v>1256</v>
      </c>
      <c r="F902" t="s">
        <v>1150</v>
      </c>
      <c r="G902" t="s">
        <v>1163</v>
      </c>
      <c r="H902" t="s">
        <v>1224</v>
      </c>
      <c r="I902" t="s">
        <v>1316</v>
      </c>
      <c r="J902" t="s">
        <v>1317</v>
      </c>
      <c r="K902">
        <v>1</v>
      </c>
      <c r="L902">
        <v>1140</v>
      </c>
      <c r="M902">
        <v>0.15</v>
      </c>
      <c r="N902">
        <v>969</v>
      </c>
      <c r="O902">
        <v>0.12</v>
      </c>
      <c r="P902">
        <v>969</v>
      </c>
      <c r="Q902">
        <v>116.28</v>
      </c>
      <c r="R902">
        <v>1085.28</v>
      </c>
      <c r="S902" t="s">
        <v>1360</v>
      </c>
      <c r="T902" t="s">
        <v>1361</v>
      </c>
      <c r="U902" s="4">
        <v>45446</v>
      </c>
      <c r="V902" s="4">
        <v>45450</v>
      </c>
      <c r="W902" t="b">
        <v>0</v>
      </c>
      <c r="Z902" t="s">
        <v>1386</v>
      </c>
      <c r="AA902" t="s">
        <v>1394</v>
      </c>
      <c r="AB902" t="s">
        <v>1383</v>
      </c>
    </row>
    <row r="903" spans="1:28" x14ac:dyDescent="0.3">
      <c r="A903" t="s">
        <v>936</v>
      </c>
      <c r="B903" s="6">
        <v>45400.543055555558</v>
      </c>
      <c r="C903" t="s">
        <v>378</v>
      </c>
      <c r="D903" t="s">
        <v>1157</v>
      </c>
      <c r="E903" t="s">
        <v>1158</v>
      </c>
      <c r="F903" t="s">
        <v>1150</v>
      </c>
      <c r="G903" t="s">
        <v>1167</v>
      </c>
      <c r="H903" t="s">
        <v>1208</v>
      </c>
      <c r="I903" t="s">
        <v>1322</v>
      </c>
      <c r="J903" t="s">
        <v>1323</v>
      </c>
      <c r="K903">
        <v>5</v>
      </c>
      <c r="L903">
        <v>45799</v>
      </c>
      <c r="M903">
        <v>0</v>
      </c>
      <c r="N903">
        <v>45799</v>
      </c>
      <c r="O903">
        <v>0.12</v>
      </c>
      <c r="P903">
        <v>228995</v>
      </c>
      <c r="Q903">
        <v>27479.4</v>
      </c>
      <c r="R903">
        <v>256474.4</v>
      </c>
      <c r="S903" t="s">
        <v>1360</v>
      </c>
      <c r="T903" t="s">
        <v>1364</v>
      </c>
      <c r="U903" s="4">
        <v>45401</v>
      </c>
      <c r="W903" t="b">
        <v>1</v>
      </c>
      <c r="X903" s="4">
        <v>45407</v>
      </c>
      <c r="Y903" s="4">
        <v>45407</v>
      </c>
      <c r="Z903" t="s">
        <v>1376</v>
      </c>
      <c r="AA903" t="s">
        <v>1397</v>
      </c>
      <c r="AB903" t="s">
        <v>1391</v>
      </c>
    </row>
    <row r="904" spans="1:28" x14ac:dyDescent="0.3">
      <c r="A904" t="s">
        <v>938</v>
      </c>
      <c r="B904" s="6">
        <v>45302.588888888888</v>
      </c>
      <c r="C904" t="s">
        <v>146</v>
      </c>
      <c r="D904" t="s">
        <v>1148</v>
      </c>
      <c r="E904" t="s">
        <v>1149</v>
      </c>
      <c r="F904" t="s">
        <v>1150</v>
      </c>
      <c r="G904" t="s">
        <v>1172</v>
      </c>
      <c r="H904" t="s">
        <v>1198</v>
      </c>
      <c r="I904" t="s">
        <v>1250</v>
      </c>
      <c r="J904" t="s">
        <v>1251</v>
      </c>
      <c r="K904">
        <v>1</v>
      </c>
      <c r="L904">
        <v>8586</v>
      </c>
      <c r="M904">
        <v>0</v>
      </c>
      <c r="N904">
        <v>8586</v>
      </c>
      <c r="O904">
        <v>0.12</v>
      </c>
      <c r="P904">
        <v>8586</v>
      </c>
      <c r="Q904">
        <v>1030.32</v>
      </c>
      <c r="R904">
        <v>9616.32</v>
      </c>
      <c r="S904" t="s">
        <v>1363</v>
      </c>
      <c r="T904" t="s">
        <v>1361</v>
      </c>
      <c r="U904" s="4">
        <v>45303</v>
      </c>
      <c r="V904" s="4">
        <v>45308</v>
      </c>
      <c r="W904" t="b">
        <v>0</v>
      </c>
      <c r="Z904" t="s">
        <v>1392</v>
      </c>
      <c r="AA904" t="s">
        <v>1400</v>
      </c>
      <c r="AB904" t="s">
        <v>1380</v>
      </c>
    </row>
    <row r="905" spans="1:28" x14ac:dyDescent="0.3">
      <c r="A905" t="s">
        <v>940</v>
      </c>
      <c r="B905" s="6">
        <v>45509.583333333336</v>
      </c>
      <c r="C905" t="s">
        <v>768</v>
      </c>
      <c r="D905" t="s">
        <v>1182</v>
      </c>
      <c r="E905" t="s">
        <v>1256</v>
      </c>
      <c r="F905" t="s">
        <v>1150</v>
      </c>
      <c r="G905" t="s">
        <v>1144</v>
      </c>
      <c r="H905" t="s">
        <v>1214</v>
      </c>
      <c r="I905" t="s">
        <v>1215</v>
      </c>
      <c r="J905" t="s">
        <v>1216</v>
      </c>
      <c r="K905">
        <v>4</v>
      </c>
      <c r="L905">
        <v>14853</v>
      </c>
      <c r="M905">
        <v>0</v>
      </c>
      <c r="N905">
        <v>14853</v>
      </c>
      <c r="O905">
        <v>0.05</v>
      </c>
      <c r="P905">
        <v>59412</v>
      </c>
      <c r="Q905">
        <v>2970.6</v>
      </c>
      <c r="R905">
        <v>62382.6</v>
      </c>
      <c r="S905" t="s">
        <v>1366</v>
      </c>
      <c r="T905" t="s">
        <v>1364</v>
      </c>
      <c r="U905" s="4">
        <v>45511</v>
      </c>
      <c r="W905" t="b">
        <v>1</v>
      </c>
      <c r="X905" s="4">
        <v>45514</v>
      </c>
      <c r="Y905" s="4">
        <v>45514</v>
      </c>
      <c r="Z905" t="s">
        <v>1396</v>
      </c>
      <c r="AA905" t="s">
        <v>1377</v>
      </c>
      <c r="AB905" t="s">
        <v>1395</v>
      </c>
    </row>
    <row r="906" spans="1:28" x14ac:dyDescent="0.3">
      <c r="A906" t="s">
        <v>941</v>
      </c>
      <c r="B906" s="6">
        <v>45443.568055555559</v>
      </c>
      <c r="C906" t="s">
        <v>229</v>
      </c>
      <c r="D906" t="s">
        <v>1148</v>
      </c>
      <c r="E906" t="s">
        <v>1149</v>
      </c>
      <c r="F906" t="s">
        <v>1150</v>
      </c>
      <c r="G906" t="s">
        <v>1177</v>
      </c>
      <c r="H906" t="s">
        <v>1309</v>
      </c>
      <c r="I906" t="s">
        <v>1328</v>
      </c>
      <c r="J906" t="s">
        <v>1329</v>
      </c>
      <c r="K906">
        <v>3</v>
      </c>
      <c r="L906">
        <v>2085</v>
      </c>
      <c r="M906">
        <v>0.1</v>
      </c>
      <c r="N906">
        <v>1876.5</v>
      </c>
      <c r="O906">
        <v>0.12</v>
      </c>
      <c r="P906">
        <v>5629.5</v>
      </c>
      <c r="Q906">
        <v>675.54</v>
      </c>
      <c r="R906">
        <v>6305.04</v>
      </c>
      <c r="S906" t="s">
        <v>1363</v>
      </c>
      <c r="T906" t="s">
        <v>1361</v>
      </c>
      <c r="U906" s="4">
        <v>45444</v>
      </c>
      <c r="V906" s="4">
        <v>45449</v>
      </c>
      <c r="W906" t="b">
        <v>0</v>
      </c>
      <c r="Z906" t="s">
        <v>1392</v>
      </c>
      <c r="AA906" t="s">
        <v>1377</v>
      </c>
      <c r="AB906" t="s">
        <v>1380</v>
      </c>
    </row>
    <row r="907" spans="1:28" x14ac:dyDescent="0.3">
      <c r="A907" t="s">
        <v>942</v>
      </c>
      <c r="B907" s="6">
        <v>45737.48333333333</v>
      </c>
      <c r="C907" t="s">
        <v>79</v>
      </c>
      <c r="D907" t="s">
        <v>1182</v>
      </c>
      <c r="E907" t="s">
        <v>1257</v>
      </c>
      <c r="F907" t="s">
        <v>1150</v>
      </c>
      <c r="G907" t="s">
        <v>1144</v>
      </c>
      <c r="H907" t="s">
        <v>1159</v>
      </c>
      <c r="I907" t="s">
        <v>1272</v>
      </c>
      <c r="J907" t="s">
        <v>1273</v>
      </c>
      <c r="K907">
        <v>2</v>
      </c>
      <c r="L907">
        <v>7082</v>
      </c>
      <c r="M907">
        <v>0</v>
      </c>
      <c r="N907">
        <v>7082</v>
      </c>
      <c r="O907">
        <v>0.12</v>
      </c>
      <c r="P907">
        <v>14164</v>
      </c>
      <c r="Q907">
        <v>1699.68</v>
      </c>
      <c r="R907">
        <v>15863.68</v>
      </c>
      <c r="S907" t="s">
        <v>1363</v>
      </c>
      <c r="T907" t="s">
        <v>1361</v>
      </c>
      <c r="U907" s="4">
        <v>45738</v>
      </c>
      <c r="V907" s="4">
        <v>45743</v>
      </c>
      <c r="W907" t="b">
        <v>0</v>
      </c>
      <c r="Z907" t="s">
        <v>1376</v>
      </c>
      <c r="AA907" t="s">
        <v>1394</v>
      </c>
      <c r="AB907" t="s">
        <v>1389</v>
      </c>
    </row>
    <row r="908" spans="1:28" x14ac:dyDescent="0.3">
      <c r="A908" t="s">
        <v>947</v>
      </c>
      <c r="B908" s="6">
        <v>45590.666666666664</v>
      </c>
      <c r="C908" t="s">
        <v>67</v>
      </c>
      <c r="D908" t="s">
        <v>1148</v>
      </c>
      <c r="E908" t="s">
        <v>1149</v>
      </c>
      <c r="F908" t="s">
        <v>1150</v>
      </c>
      <c r="G908" t="s">
        <v>1167</v>
      </c>
      <c r="H908" t="s">
        <v>1288</v>
      </c>
      <c r="I908" t="s">
        <v>1289</v>
      </c>
      <c r="J908" t="s">
        <v>1290</v>
      </c>
      <c r="K908">
        <v>4</v>
      </c>
      <c r="L908">
        <v>20861</v>
      </c>
      <c r="M908">
        <v>0.2</v>
      </c>
      <c r="N908">
        <v>16688.8</v>
      </c>
      <c r="O908">
        <v>0.12</v>
      </c>
      <c r="P908">
        <v>66755.199999999997</v>
      </c>
      <c r="Q908">
        <v>8010.6239999999998</v>
      </c>
      <c r="R908">
        <v>74765.823999999993</v>
      </c>
      <c r="S908" t="s">
        <v>1366</v>
      </c>
      <c r="T908" t="s">
        <v>1361</v>
      </c>
      <c r="U908" s="4">
        <v>45590</v>
      </c>
      <c r="V908" s="4">
        <v>45594</v>
      </c>
      <c r="W908" t="b">
        <v>0</v>
      </c>
      <c r="Z908" t="s">
        <v>1388</v>
      </c>
      <c r="AA908" t="s">
        <v>1400</v>
      </c>
      <c r="AB908" t="s">
        <v>1395</v>
      </c>
    </row>
    <row r="909" spans="1:28" x14ac:dyDescent="0.3">
      <c r="A909" t="s">
        <v>956</v>
      </c>
      <c r="B909" s="6">
        <v>45454.745138888888</v>
      </c>
      <c r="C909" t="s">
        <v>185</v>
      </c>
      <c r="D909" t="s">
        <v>1153</v>
      </c>
      <c r="E909" t="s">
        <v>1154</v>
      </c>
      <c r="F909" t="s">
        <v>1150</v>
      </c>
      <c r="G909" t="s">
        <v>1172</v>
      </c>
      <c r="H909" t="s">
        <v>1188</v>
      </c>
      <c r="I909" t="s">
        <v>1232</v>
      </c>
      <c r="J909" t="s">
        <v>1233</v>
      </c>
      <c r="K909">
        <v>4</v>
      </c>
      <c r="L909">
        <v>5088</v>
      </c>
      <c r="M909">
        <v>0.2</v>
      </c>
      <c r="N909">
        <v>4070.4</v>
      </c>
      <c r="O909">
        <v>0.18</v>
      </c>
      <c r="P909">
        <v>16281.6</v>
      </c>
      <c r="Q909">
        <v>2930.6880000000001</v>
      </c>
      <c r="R909">
        <v>19212.288</v>
      </c>
      <c r="S909" t="s">
        <v>1360</v>
      </c>
      <c r="T909" t="s">
        <v>1361</v>
      </c>
      <c r="U909" s="4">
        <v>45456</v>
      </c>
      <c r="V909" s="4">
        <v>45460</v>
      </c>
      <c r="W909" t="b">
        <v>0</v>
      </c>
      <c r="Z909" t="s">
        <v>1379</v>
      </c>
      <c r="AA909" t="s">
        <v>1385</v>
      </c>
      <c r="AB909" t="s">
        <v>1395</v>
      </c>
    </row>
    <row r="910" spans="1:28" x14ac:dyDescent="0.3">
      <c r="A910" t="s">
        <v>957</v>
      </c>
      <c r="B910" s="6">
        <v>45345.318749999999</v>
      </c>
      <c r="C910" t="s">
        <v>155</v>
      </c>
      <c r="D910" t="s">
        <v>1157</v>
      </c>
      <c r="E910" t="s">
        <v>1158</v>
      </c>
      <c r="F910" t="s">
        <v>1150</v>
      </c>
      <c r="G910" t="s">
        <v>1177</v>
      </c>
      <c r="H910" t="s">
        <v>1195</v>
      </c>
      <c r="I910" t="s">
        <v>1202</v>
      </c>
      <c r="J910" t="s">
        <v>1203</v>
      </c>
      <c r="K910">
        <v>1</v>
      </c>
      <c r="L910">
        <v>2324</v>
      </c>
      <c r="M910">
        <v>0.05</v>
      </c>
      <c r="N910">
        <v>2207.8000000000002</v>
      </c>
      <c r="O910">
        <v>0.12</v>
      </c>
      <c r="P910">
        <v>2207.8000000000002</v>
      </c>
      <c r="Q910">
        <v>264.93599999999998</v>
      </c>
      <c r="R910">
        <v>2472.7359999999999</v>
      </c>
      <c r="S910" t="s">
        <v>1360</v>
      </c>
      <c r="T910" t="s">
        <v>1368</v>
      </c>
      <c r="U910" s="4">
        <v>45347</v>
      </c>
      <c r="W910" t="b">
        <v>0</v>
      </c>
      <c r="Z910" t="s">
        <v>1376</v>
      </c>
      <c r="AA910" t="s">
        <v>1400</v>
      </c>
      <c r="AB910" t="s">
        <v>1383</v>
      </c>
    </row>
    <row r="911" spans="1:28" x14ac:dyDescent="0.3">
      <c r="A911" t="s">
        <v>963</v>
      </c>
      <c r="B911" s="6">
        <v>45754.72152777778</v>
      </c>
      <c r="C911" t="s">
        <v>346</v>
      </c>
      <c r="D911" t="s">
        <v>1153</v>
      </c>
      <c r="E911" t="s">
        <v>1162</v>
      </c>
      <c r="F911" t="s">
        <v>1150</v>
      </c>
      <c r="G911" t="s">
        <v>1144</v>
      </c>
      <c r="H911" t="s">
        <v>1269</v>
      </c>
      <c r="I911" t="s">
        <v>1270</v>
      </c>
      <c r="J911" t="s">
        <v>1271</v>
      </c>
      <c r="K911">
        <v>1</v>
      </c>
      <c r="L911">
        <v>3030</v>
      </c>
      <c r="M911">
        <v>0.15</v>
      </c>
      <c r="N911">
        <v>2575.5</v>
      </c>
      <c r="O911">
        <v>0.18</v>
      </c>
      <c r="P911">
        <v>2575.5</v>
      </c>
      <c r="Q911">
        <v>463.59</v>
      </c>
      <c r="R911">
        <v>3039.09</v>
      </c>
      <c r="S911" t="s">
        <v>1365</v>
      </c>
      <c r="T911" t="s">
        <v>1361</v>
      </c>
      <c r="U911" s="4">
        <v>45754</v>
      </c>
      <c r="V911" s="4">
        <v>45756</v>
      </c>
      <c r="W911" t="b">
        <v>0</v>
      </c>
      <c r="Z911" t="s">
        <v>1386</v>
      </c>
      <c r="AA911" t="s">
        <v>1400</v>
      </c>
      <c r="AB911" t="s">
        <v>1383</v>
      </c>
    </row>
    <row r="912" spans="1:28" x14ac:dyDescent="0.3">
      <c r="A912" t="s">
        <v>965</v>
      </c>
      <c r="B912" s="6">
        <v>45655.520833333336</v>
      </c>
      <c r="C912" t="s">
        <v>115</v>
      </c>
      <c r="D912" t="s">
        <v>1157</v>
      </c>
      <c r="E912" t="s">
        <v>1249</v>
      </c>
      <c r="F912" t="s">
        <v>1150</v>
      </c>
      <c r="G912" t="s">
        <v>1163</v>
      </c>
      <c r="H912" t="s">
        <v>1164</v>
      </c>
      <c r="I912" t="s">
        <v>1324</v>
      </c>
      <c r="J912" t="s">
        <v>1325</v>
      </c>
      <c r="K912">
        <v>1</v>
      </c>
      <c r="L912">
        <v>542</v>
      </c>
      <c r="M912">
        <v>0</v>
      </c>
      <c r="N912">
        <v>542</v>
      </c>
      <c r="O912">
        <v>0.12</v>
      </c>
      <c r="P912">
        <v>542</v>
      </c>
      <c r="Q912">
        <v>65.039999999999992</v>
      </c>
      <c r="R912">
        <v>607.04</v>
      </c>
      <c r="S912" t="s">
        <v>1360</v>
      </c>
      <c r="T912" t="s">
        <v>1361</v>
      </c>
      <c r="U912" s="4">
        <v>45657</v>
      </c>
      <c r="V912" s="4">
        <v>45662</v>
      </c>
      <c r="W912" t="b">
        <v>0</v>
      </c>
      <c r="Z912" t="s">
        <v>1382</v>
      </c>
      <c r="AA912" t="s">
        <v>1400</v>
      </c>
      <c r="AB912" t="s">
        <v>1378</v>
      </c>
    </row>
    <row r="913" spans="1:28" x14ac:dyDescent="0.3">
      <c r="A913" t="s">
        <v>972</v>
      </c>
      <c r="B913" s="6">
        <v>45391.604166666664</v>
      </c>
      <c r="C913" t="s">
        <v>69</v>
      </c>
      <c r="D913" t="s">
        <v>1153</v>
      </c>
      <c r="E913" t="s">
        <v>1191</v>
      </c>
      <c r="F913" t="s">
        <v>1150</v>
      </c>
      <c r="G913" t="s">
        <v>1167</v>
      </c>
      <c r="H913" t="s">
        <v>1263</v>
      </c>
      <c r="I913" t="s">
        <v>1274</v>
      </c>
      <c r="J913" t="s">
        <v>1275</v>
      </c>
      <c r="K913">
        <v>1</v>
      </c>
      <c r="L913">
        <v>17056</v>
      </c>
      <c r="M913">
        <v>0</v>
      </c>
      <c r="N913">
        <v>17056</v>
      </c>
      <c r="O913">
        <v>0.18</v>
      </c>
      <c r="P913">
        <v>17056</v>
      </c>
      <c r="Q913">
        <v>3070.08</v>
      </c>
      <c r="R913">
        <v>20126.080000000002</v>
      </c>
      <c r="S913" t="s">
        <v>1360</v>
      </c>
      <c r="T913" t="s">
        <v>1361</v>
      </c>
      <c r="U913" s="4">
        <v>45392</v>
      </c>
      <c r="V913" s="4">
        <v>45395</v>
      </c>
      <c r="W913" t="b">
        <v>0</v>
      </c>
      <c r="Z913" t="s">
        <v>1388</v>
      </c>
      <c r="AA913" t="s">
        <v>1397</v>
      </c>
      <c r="AB913" t="s">
        <v>1391</v>
      </c>
    </row>
    <row r="914" spans="1:28" x14ac:dyDescent="0.3">
      <c r="A914" t="s">
        <v>979</v>
      </c>
      <c r="B914" s="6">
        <v>45692.64166666667</v>
      </c>
      <c r="C914" t="s">
        <v>200</v>
      </c>
      <c r="D914" t="s">
        <v>1182</v>
      </c>
      <c r="E914" t="s">
        <v>1183</v>
      </c>
      <c r="F914" t="s">
        <v>1150</v>
      </c>
      <c r="G914" t="s">
        <v>1172</v>
      </c>
      <c r="H914" t="s">
        <v>1229</v>
      </c>
      <c r="I914" t="s">
        <v>1340</v>
      </c>
      <c r="J914" t="s">
        <v>1341</v>
      </c>
      <c r="K914">
        <v>1</v>
      </c>
      <c r="L914">
        <v>3143</v>
      </c>
      <c r="M914">
        <v>0</v>
      </c>
      <c r="N914">
        <v>3143</v>
      </c>
      <c r="O914">
        <v>0.12</v>
      </c>
      <c r="P914">
        <v>3143</v>
      </c>
      <c r="Q914">
        <v>377.16</v>
      </c>
      <c r="R914">
        <v>3520.16</v>
      </c>
      <c r="S914" t="s">
        <v>1366</v>
      </c>
      <c r="T914" t="s">
        <v>1361</v>
      </c>
      <c r="U914" s="4">
        <v>45692</v>
      </c>
      <c r="V914" s="4">
        <v>45693</v>
      </c>
      <c r="W914" t="b">
        <v>0</v>
      </c>
      <c r="Z914" t="s">
        <v>1376</v>
      </c>
      <c r="AA914" t="s">
        <v>1394</v>
      </c>
      <c r="AB914" t="s">
        <v>1391</v>
      </c>
    </row>
    <row r="915" spans="1:28" x14ac:dyDescent="0.3">
      <c r="A915" t="s">
        <v>983</v>
      </c>
      <c r="B915" s="6">
        <v>45354.688194444447</v>
      </c>
      <c r="C915" t="s">
        <v>171</v>
      </c>
      <c r="D915" t="s">
        <v>1182</v>
      </c>
      <c r="E915" t="s">
        <v>1207</v>
      </c>
      <c r="F915" t="s">
        <v>1150</v>
      </c>
      <c r="G915" t="s">
        <v>1172</v>
      </c>
      <c r="H915" t="s">
        <v>1173</v>
      </c>
      <c r="I915" t="s">
        <v>1174</v>
      </c>
      <c r="J915" t="s">
        <v>1175</v>
      </c>
      <c r="K915">
        <v>2</v>
      </c>
      <c r="L915">
        <v>5628</v>
      </c>
      <c r="M915">
        <v>0.1</v>
      </c>
      <c r="N915">
        <v>5065.2</v>
      </c>
      <c r="O915">
        <v>0.12</v>
      </c>
      <c r="P915">
        <v>10130.4</v>
      </c>
      <c r="Q915">
        <v>1215.6479999999999</v>
      </c>
      <c r="R915">
        <v>11346.048000000001</v>
      </c>
      <c r="S915" t="s">
        <v>1363</v>
      </c>
      <c r="T915" t="s">
        <v>1361</v>
      </c>
      <c r="U915" s="4">
        <v>45354</v>
      </c>
      <c r="V915" s="4">
        <v>45357</v>
      </c>
      <c r="W915" t="b">
        <v>0</v>
      </c>
      <c r="Z915" t="s">
        <v>1382</v>
      </c>
      <c r="AA915" t="s">
        <v>1385</v>
      </c>
      <c r="AB915" t="s">
        <v>1391</v>
      </c>
    </row>
    <row r="916" spans="1:28" x14ac:dyDescent="0.3">
      <c r="A916" t="s">
        <v>989</v>
      </c>
      <c r="B916" s="6">
        <v>45315.5625</v>
      </c>
      <c r="C916" t="s">
        <v>396</v>
      </c>
      <c r="D916" t="s">
        <v>1157</v>
      </c>
      <c r="E916" t="s">
        <v>1158</v>
      </c>
      <c r="F916" t="s">
        <v>1150</v>
      </c>
      <c r="G916" t="s">
        <v>1167</v>
      </c>
      <c r="H916" t="s">
        <v>1211</v>
      </c>
      <c r="I916" t="s">
        <v>1279</v>
      </c>
      <c r="J916" t="s">
        <v>1280</v>
      </c>
      <c r="K916">
        <v>3</v>
      </c>
      <c r="L916">
        <v>26858</v>
      </c>
      <c r="M916">
        <v>0</v>
      </c>
      <c r="N916">
        <v>26858</v>
      </c>
      <c r="O916">
        <v>0.12</v>
      </c>
      <c r="P916">
        <v>80574</v>
      </c>
      <c r="Q916">
        <v>9668.8799999999992</v>
      </c>
      <c r="R916">
        <v>90242.880000000005</v>
      </c>
      <c r="S916" t="s">
        <v>1365</v>
      </c>
      <c r="T916" t="s">
        <v>1361</v>
      </c>
      <c r="U916" s="4">
        <v>45317</v>
      </c>
      <c r="V916" s="4">
        <v>45321</v>
      </c>
      <c r="W916" t="b">
        <v>0</v>
      </c>
      <c r="Z916" t="s">
        <v>1384</v>
      </c>
      <c r="AA916" t="s">
        <v>1387</v>
      </c>
      <c r="AB916" t="s">
        <v>1389</v>
      </c>
    </row>
    <row r="917" spans="1:28" x14ac:dyDescent="0.3">
      <c r="A917" t="s">
        <v>990</v>
      </c>
      <c r="B917" s="6">
        <v>45383.619444444441</v>
      </c>
      <c r="C917" t="s">
        <v>320</v>
      </c>
      <c r="D917" t="s">
        <v>1153</v>
      </c>
      <c r="E917" t="s">
        <v>1162</v>
      </c>
      <c r="F917" t="s">
        <v>1150</v>
      </c>
      <c r="G917" t="s">
        <v>1163</v>
      </c>
      <c r="H917" t="s">
        <v>1224</v>
      </c>
      <c r="I917" t="s">
        <v>1243</v>
      </c>
      <c r="J917" t="s">
        <v>1244</v>
      </c>
      <c r="K917">
        <v>2</v>
      </c>
      <c r="L917">
        <v>980</v>
      </c>
      <c r="M917">
        <v>0</v>
      </c>
      <c r="N917">
        <v>980</v>
      </c>
      <c r="O917">
        <v>0.05</v>
      </c>
      <c r="P917">
        <v>1960</v>
      </c>
      <c r="Q917">
        <v>98</v>
      </c>
      <c r="R917">
        <v>2058</v>
      </c>
      <c r="S917" t="s">
        <v>1363</v>
      </c>
      <c r="T917" t="s">
        <v>1361</v>
      </c>
      <c r="U917" s="4">
        <v>45384</v>
      </c>
      <c r="V917" s="4">
        <v>45388</v>
      </c>
      <c r="W917" t="b">
        <v>0</v>
      </c>
      <c r="Z917" t="s">
        <v>1386</v>
      </c>
      <c r="AA917" t="s">
        <v>1385</v>
      </c>
      <c r="AB917" t="s">
        <v>1383</v>
      </c>
    </row>
    <row r="918" spans="1:28" x14ac:dyDescent="0.3">
      <c r="A918" t="s">
        <v>999</v>
      </c>
      <c r="B918" s="6">
        <v>45353.530555555553</v>
      </c>
      <c r="C918" t="s">
        <v>251</v>
      </c>
      <c r="D918" t="s">
        <v>1148</v>
      </c>
      <c r="E918" t="s">
        <v>1171</v>
      </c>
      <c r="F918" t="s">
        <v>1150</v>
      </c>
      <c r="G918" t="s">
        <v>1167</v>
      </c>
      <c r="H918" t="s">
        <v>1168</v>
      </c>
      <c r="I918" t="s">
        <v>1314</v>
      </c>
      <c r="J918" t="s">
        <v>1315</v>
      </c>
      <c r="K918">
        <v>4</v>
      </c>
      <c r="L918">
        <v>30271</v>
      </c>
      <c r="M918">
        <v>0.2</v>
      </c>
      <c r="N918">
        <v>24216.799999999999</v>
      </c>
      <c r="O918">
        <v>0.12</v>
      </c>
      <c r="P918">
        <v>96867.200000000012</v>
      </c>
      <c r="Q918">
        <v>11624.064</v>
      </c>
      <c r="R918">
        <v>108491.264</v>
      </c>
      <c r="S918" t="s">
        <v>1360</v>
      </c>
      <c r="T918" t="s">
        <v>1361</v>
      </c>
      <c r="U918" s="4">
        <v>45354</v>
      </c>
      <c r="V918" s="4">
        <v>45356</v>
      </c>
      <c r="W918" t="b">
        <v>0</v>
      </c>
      <c r="Z918" t="s">
        <v>1388</v>
      </c>
      <c r="AA918" t="s">
        <v>1394</v>
      </c>
      <c r="AB918" t="s">
        <v>1389</v>
      </c>
    </row>
    <row r="919" spans="1:28" x14ac:dyDescent="0.3">
      <c r="A919" t="s">
        <v>1000</v>
      </c>
      <c r="B919" s="6">
        <v>45559.461805555555</v>
      </c>
      <c r="C919" t="s">
        <v>128</v>
      </c>
      <c r="D919" t="s">
        <v>1182</v>
      </c>
      <c r="E919" t="s">
        <v>1183</v>
      </c>
      <c r="F919" t="s">
        <v>1150</v>
      </c>
      <c r="G919" t="s">
        <v>1144</v>
      </c>
      <c r="H919" t="s">
        <v>1269</v>
      </c>
      <c r="I919" t="s">
        <v>1326</v>
      </c>
      <c r="J919" t="s">
        <v>1327</v>
      </c>
      <c r="K919">
        <v>1</v>
      </c>
      <c r="L919">
        <v>6692</v>
      </c>
      <c r="M919">
        <v>0.1</v>
      </c>
      <c r="N919">
        <v>6022.8</v>
      </c>
      <c r="O919">
        <v>0.05</v>
      </c>
      <c r="P919">
        <v>6022.8</v>
      </c>
      <c r="Q919">
        <v>301.14</v>
      </c>
      <c r="R919">
        <v>6323.9400000000014</v>
      </c>
      <c r="S919" t="s">
        <v>1363</v>
      </c>
      <c r="T919" t="s">
        <v>1368</v>
      </c>
      <c r="U919" s="4">
        <v>45561</v>
      </c>
      <c r="W919" t="b">
        <v>0</v>
      </c>
      <c r="Z919" t="s">
        <v>1398</v>
      </c>
      <c r="AA919" t="s">
        <v>1397</v>
      </c>
      <c r="AB919" t="s">
        <v>1383</v>
      </c>
    </row>
    <row r="920" spans="1:28" x14ac:dyDescent="0.3">
      <c r="A920" t="s">
        <v>1004</v>
      </c>
      <c r="B920" s="6">
        <v>45384.381249999999</v>
      </c>
      <c r="C920" t="s">
        <v>22</v>
      </c>
      <c r="D920" t="s">
        <v>1182</v>
      </c>
      <c r="E920" t="s">
        <v>1183</v>
      </c>
      <c r="F920" t="s">
        <v>1150</v>
      </c>
      <c r="G920" t="s">
        <v>1172</v>
      </c>
      <c r="H920" t="s">
        <v>1173</v>
      </c>
      <c r="I920" t="s">
        <v>1174</v>
      </c>
      <c r="J920" t="s">
        <v>1175</v>
      </c>
      <c r="K920">
        <v>1</v>
      </c>
      <c r="L920">
        <v>7304</v>
      </c>
      <c r="M920">
        <v>0</v>
      </c>
      <c r="N920">
        <v>7304</v>
      </c>
      <c r="O920">
        <v>0.18</v>
      </c>
      <c r="P920">
        <v>7304</v>
      </c>
      <c r="Q920">
        <v>1314.72</v>
      </c>
      <c r="R920">
        <v>8618.7199999999993</v>
      </c>
      <c r="S920" t="s">
        <v>1362</v>
      </c>
      <c r="T920" t="s">
        <v>1361</v>
      </c>
      <c r="U920" s="4">
        <v>45386</v>
      </c>
      <c r="V920" s="4">
        <v>45390</v>
      </c>
      <c r="W920" t="b">
        <v>0</v>
      </c>
      <c r="Z920" t="s">
        <v>1384</v>
      </c>
      <c r="AA920" t="s">
        <v>1377</v>
      </c>
      <c r="AB920" t="s">
        <v>1389</v>
      </c>
    </row>
    <row r="921" spans="1:28" x14ac:dyDescent="0.3">
      <c r="A921" t="s">
        <v>1007</v>
      </c>
      <c r="B921" s="6">
        <v>45593.509722222225</v>
      </c>
      <c r="C921" t="s">
        <v>247</v>
      </c>
      <c r="D921" t="s">
        <v>1141</v>
      </c>
      <c r="E921" t="s">
        <v>1227</v>
      </c>
      <c r="F921" t="s">
        <v>1150</v>
      </c>
      <c r="G921" t="s">
        <v>1144</v>
      </c>
      <c r="H921" t="s">
        <v>1159</v>
      </c>
      <c r="I921" t="s">
        <v>1334</v>
      </c>
      <c r="J921" t="s">
        <v>1335</v>
      </c>
      <c r="K921">
        <v>2</v>
      </c>
      <c r="L921">
        <v>14318</v>
      </c>
      <c r="M921">
        <v>0.1</v>
      </c>
      <c r="N921">
        <v>12886.2</v>
      </c>
      <c r="O921">
        <v>0.05</v>
      </c>
      <c r="P921">
        <v>25772.400000000001</v>
      </c>
      <c r="Q921">
        <v>1288.6199999999999</v>
      </c>
      <c r="R921">
        <v>27061.02</v>
      </c>
      <c r="S921" t="s">
        <v>1360</v>
      </c>
      <c r="T921" t="s">
        <v>1361</v>
      </c>
      <c r="U921" s="4">
        <v>45593</v>
      </c>
      <c r="V921" s="4">
        <v>45596</v>
      </c>
      <c r="W921" t="b">
        <v>0</v>
      </c>
      <c r="Z921" t="s">
        <v>1388</v>
      </c>
      <c r="AA921" t="s">
        <v>1400</v>
      </c>
      <c r="AB921" t="s">
        <v>1391</v>
      </c>
    </row>
    <row r="922" spans="1:28" x14ac:dyDescent="0.3">
      <c r="A922" t="s">
        <v>1008</v>
      </c>
      <c r="B922" s="6">
        <v>45451.480555555558</v>
      </c>
      <c r="C922" t="s">
        <v>86</v>
      </c>
      <c r="D922" t="s">
        <v>1182</v>
      </c>
      <c r="E922" t="s">
        <v>1207</v>
      </c>
      <c r="F922" t="s">
        <v>1150</v>
      </c>
      <c r="G922" t="s">
        <v>1144</v>
      </c>
      <c r="H922" t="s">
        <v>1159</v>
      </c>
      <c r="I922" t="s">
        <v>1160</v>
      </c>
      <c r="J922" t="s">
        <v>1161</v>
      </c>
      <c r="K922">
        <v>1</v>
      </c>
      <c r="L922">
        <v>4034</v>
      </c>
      <c r="M922">
        <v>0.1</v>
      </c>
      <c r="N922">
        <v>3630.6</v>
      </c>
      <c r="O922">
        <v>0.12</v>
      </c>
      <c r="P922">
        <v>3630.6</v>
      </c>
      <c r="Q922">
        <v>435.67200000000003</v>
      </c>
      <c r="R922">
        <v>4066.2719999999999</v>
      </c>
      <c r="S922" t="s">
        <v>1365</v>
      </c>
      <c r="T922" t="s">
        <v>1361</v>
      </c>
      <c r="U922" s="4">
        <v>45451</v>
      </c>
      <c r="V922" s="4">
        <v>45453</v>
      </c>
      <c r="W922" t="b">
        <v>0</v>
      </c>
      <c r="Z922" t="s">
        <v>1390</v>
      </c>
      <c r="AA922" t="s">
        <v>1377</v>
      </c>
      <c r="AB922" t="s">
        <v>1391</v>
      </c>
    </row>
    <row r="923" spans="1:28" x14ac:dyDescent="0.3">
      <c r="A923" t="s">
        <v>1012</v>
      </c>
      <c r="B923" s="6">
        <v>45593.696527777778</v>
      </c>
      <c r="C923" t="s">
        <v>4</v>
      </c>
      <c r="D923" t="s">
        <v>1141</v>
      </c>
      <c r="E923" t="s">
        <v>1142</v>
      </c>
      <c r="F923" t="s">
        <v>1150</v>
      </c>
      <c r="G923" t="s">
        <v>1172</v>
      </c>
      <c r="H923" t="s">
        <v>1229</v>
      </c>
      <c r="I923" t="s">
        <v>1295</v>
      </c>
      <c r="J923" t="s">
        <v>1296</v>
      </c>
      <c r="K923">
        <v>1</v>
      </c>
      <c r="L923">
        <v>5380</v>
      </c>
      <c r="M923">
        <v>0.15</v>
      </c>
      <c r="N923">
        <v>4573</v>
      </c>
      <c r="O923">
        <v>0.12</v>
      </c>
      <c r="P923">
        <v>4573</v>
      </c>
      <c r="Q923">
        <v>548.76</v>
      </c>
      <c r="R923">
        <v>5121.76</v>
      </c>
      <c r="S923" t="s">
        <v>1363</v>
      </c>
      <c r="T923" t="s">
        <v>1361</v>
      </c>
      <c r="U923" s="4">
        <v>45593</v>
      </c>
      <c r="V923" s="4">
        <v>45594</v>
      </c>
      <c r="W923" t="b">
        <v>0</v>
      </c>
      <c r="Z923" t="s">
        <v>1388</v>
      </c>
      <c r="AA923" t="s">
        <v>1397</v>
      </c>
      <c r="AB923" t="s">
        <v>1389</v>
      </c>
    </row>
    <row r="924" spans="1:28" x14ac:dyDescent="0.3">
      <c r="A924" t="s">
        <v>1014</v>
      </c>
      <c r="B924" s="6">
        <v>45419.490972222222</v>
      </c>
      <c r="C924" t="s">
        <v>524</v>
      </c>
      <c r="D924" t="s">
        <v>1148</v>
      </c>
      <c r="E924" t="s">
        <v>1149</v>
      </c>
      <c r="F924" t="s">
        <v>1150</v>
      </c>
      <c r="G924" t="s">
        <v>1167</v>
      </c>
      <c r="H924" t="s">
        <v>1211</v>
      </c>
      <c r="I924" t="s">
        <v>1299</v>
      </c>
      <c r="J924" t="s">
        <v>1300</v>
      </c>
      <c r="K924">
        <v>1</v>
      </c>
      <c r="L924">
        <v>44091</v>
      </c>
      <c r="M924">
        <v>0</v>
      </c>
      <c r="N924">
        <v>44091</v>
      </c>
      <c r="O924">
        <v>0.12</v>
      </c>
      <c r="P924">
        <v>44091</v>
      </c>
      <c r="Q924">
        <v>5290.92</v>
      </c>
      <c r="R924">
        <v>49381.919999999998</v>
      </c>
      <c r="S924" t="s">
        <v>1365</v>
      </c>
      <c r="T924" t="s">
        <v>1361</v>
      </c>
      <c r="U924" s="4">
        <v>45419</v>
      </c>
      <c r="V924" s="4">
        <v>45423</v>
      </c>
      <c r="W924" t="b">
        <v>0</v>
      </c>
      <c r="Z924" t="s">
        <v>1398</v>
      </c>
      <c r="AA924" t="s">
        <v>1387</v>
      </c>
      <c r="AB924" t="s">
        <v>1391</v>
      </c>
    </row>
    <row r="925" spans="1:28" x14ac:dyDescent="0.3">
      <c r="A925" t="s">
        <v>1020</v>
      </c>
      <c r="B925" s="6">
        <v>45745.443749999999</v>
      </c>
      <c r="C925" t="s">
        <v>160</v>
      </c>
      <c r="D925" t="s">
        <v>1157</v>
      </c>
      <c r="E925" t="s">
        <v>1201</v>
      </c>
      <c r="F925" t="s">
        <v>1150</v>
      </c>
      <c r="G925" t="s">
        <v>1172</v>
      </c>
      <c r="H925" t="s">
        <v>1173</v>
      </c>
      <c r="I925" t="s">
        <v>1342</v>
      </c>
      <c r="J925" t="s">
        <v>1343</v>
      </c>
      <c r="K925">
        <v>2</v>
      </c>
      <c r="L925">
        <v>4820</v>
      </c>
      <c r="M925">
        <v>0.15</v>
      </c>
      <c r="N925">
        <v>4097</v>
      </c>
      <c r="O925">
        <v>0.05</v>
      </c>
      <c r="P925">
        <v>8194</v>
      </c>
      <c r="Q925">
        <v>409.7</v>
      </c>
      <c r="R925">
        <v>8603.7000000000007</v>
      </c>
      <c r="S925" t="s">
        <v>1360</v>
      </c>
      <c r="T925" t="s">
        <v>1364</v>
      </c>
      <c r="U925" s="4">
        <v>45745</v>
      </c>
      <c r="W925" t="b">
        <v>1</v>
      </c>
      <c r="X925" s="4">
        <v>45759</v>
      </c>
      <c r="Y925" s="4">
        <v>45759</v>
      </c>
      <c r="Z925" t="s">
        <v>1388</v>
      </c>
      <c r="AA925" t="s">
        <v>1397</v>
      </c>
      <c r="AB925" t="s">
        <v>1380</v>
      </c>
    </row>
    <row r="926" spans="1:28" x14ac:dyDescent="0.3">
      <c r="A926" t="s">
        <v>1021</v>
      </c>
      <c r="B926" s="6">
        <v>45768.511111111111</v>
      </c>
      <c r="C926" t="s">
        <v>206</v>
      </c>
      <c r="D926" t="s">
        <v>1153</v>
      </c>
      <c r="E926" t="s">
        <v>1191</v>
      </c>
      <c r="F926" t="s">
        <v>1150</v>
      </c>
      <c r="G926" t="s">
        <v>1163</v>
      </c>
      <c r="H926" t="s">
        <v>1240</v>
      </c>
      <c r="I926" t="s">
        <v>1241</v>
      </c>
      <c r="J926" t="s">
        <v>1242</v>
      </c>
      <c r="K926">
        <v>3</v>
      </c>
      <c r="L926">
        <v>988</v>
      </c>
      <c r="M926">
        <v>0</v>
      </c>
      <c r="N926">
        <v>988</v>
      </c>
      <c r="O926">
        <v>0.05</v>
      </c>
      <c r="P926">
        <v>2964</v>
      </c>
      <c r="Q926">
        <v>148.19999999999999</v>
      </c>
      <c r="R926">
        <v>3112.2</v>
      </c>
      <c r="S926" t="s">
        <v>1363</v>
      </c>
      <c r="T926" t="s">
        <v>1367</v>
      </c>
      <c r="U926" s="4">
        <v>45770</v>
      </c>
      <c r="W926" t="b">
        <v>0</v>
      </c>
      <c r="Z926" t="s">
        <v>1392</v>
      </c>
      <c r="AA926" t="s">
        <v>1385</v>
      </c>
      <c r="AB926" t="s">
        <v>1378</v>
      </c>
    </row>
    <row r="927" spans="1:28" x14ac:dyDescent="0.3">
      <c r="A927" t="s">
        <v>1027</v>
      </c>
      <c r="B927" s="6">
        <v>45306.470138888886</v>
      </c>
      <c r="C927" t="s">
        <v>235</v>
      </c>
      <c r="D927" t="s">
        <v>1157</v>
      </c>
      <c r="E927" t="s">
        <v>1158</v>
      </c>
      <c r="F927" t="s">
        <v>1150</v>
      </c>
      <c r="G927" t="s">
        <v>1163</v>
      </c>
      <c r="H927" t="s">
        <v>1266</v>
      </c>
      <c r="I927" t="s">
        <v>1348</v>
      </c>
      <c r="J927" t="s">
        <v>1349</v>
      </c>
      <c r="K927">
        <v>3</v>
      </c>
      <c r="L927">
        <v>309</v>
      </c>
      <c r="M927">
        <v>0.15</v>
      </c>
      <c r="N927">
        <v>262.64999999999998</v>
      </c>
      <c r="O927">
        <v>0.18</v>
      </c>
      <c r="P927">
        <v>787.94999999999993</v>
      </c>
      <c r="Q927">
        <v>141.83099999999999</v>
      </c>
      <c r="R927">
        <v>929.78099999999995</v>
      </c>
      <c r="S927" t="s">
        <v>1360</v>
      </c>
      <c r="T927" t="s">
        <v>1361</v>
      </c>
      <c r="U927" s="4">
        <v>45307</v>
      </c>
      <c r="V927" s="4">
        <v>45311</v>
      </c>
      <c r="W927" t="b">
        <v>0</v>
      </c>
      <c r="Z927" t="s">
        <v>1386</v>
      </c>
      <c r="AA927" t="s">
        <v>1394</v>
      </c>
      <c r="AB927" t="s">
        <v>1389</v>
      </c>
    </row>
    <row r="928" spans="1:28" x14ac:dyDescent="0.3">
      <c r="A928" t="s">
        <v>1032</v>
      </c>
      <c r="B928" s="6">
        <v>45619.45</v>
      </c>
      <c r="C928" t="s">
        <v>143</v>
      </c>
      <c r="D928" t="s">
        <v>1153</v>
      </c>
      <c r="E928" t="s">
        <v>1154</v>
      </c>
      <c r="F928" t="s">
        <v>1150</v>
      </c>
      <c r="G928" t="s">
        <v>1172</v>
      </c>
      <c r="H928" t="s">
        <v>1198</v>
      </c>
      <c r="I928" t="s">
        <v>1303</v>
      </c>
      <c r="J928" t="s">
        <v>1304</v>
      </c>
      <c r="K928">
        <v>1</v>
      </c>
      <c r="L928">
        <v>4241</v>
      </c>
      <c r="M928">
        <v>0.05</v>
      </c>
      <c r="N928">
        <v>4028.95</v>
      </c>
      <c r="O928">
        <v>0.05</v>
      </c>
      <c r="P928">
        <v>4028.95</v>
      </c>
      <c r="Q928">
        <v>201.44749999999999</v>
      </c>
      <c r="R928">
        <v>4230.3975</v>
      </c>
      <c r="S928" t="s">
        <v>1362</v>
      </c>
      <c r="T928" t="s">
        <v>1361</v>
      </c>
      <c r="U928" s="4">
        <v>45620</v>
      </c>
      <c r="V928" s="4">
        <v>45621</v>
      </c>
      <c r="W928" t="b">
        <v>0</v>
      </c>
      <c r="Z928" t="s">
        <v>1384</v>
      </c>
      <c r="AA928" t="s">
        <v>1400</v>
      </c>
      <c r="AB928" t="s">
        <v>1378</v>
      </c>
    </row>
    <row r="929" spans="1:28" x14ac:dyDescent="0.3">
      <c r="A929" t="s">
        <v>1033</v>
      </c>
      <c r="B929" s="6">
        <v>45601.583333333336</v>
      </c>
      <c r="C929" t="s">
        <v>362</v>
      </c>
      <c r="D929" t="s">
        <v>1148</v>
      </c>
      <c r="E929" t="s">
        <v>1262</v>
      </c>
      <c r="F929" t="s">
        <v>1150</v>
      </c>
      <c r="G929" t="s">
        <v>1177</v>
      </c>
      <c r="H929" t="s">
        <v>1192</v>
      </c>
      <c r="I929" t="s">
        <v>1193</v>
      </c>
      <c r="J929" t="s">
        <v>1194</v>
      </c>
      <c r="K929">
        <v>5</v>
      </c>
      <c r="L929">
        <v>1689</v>
      </c>
      <c r="M929">
        <v>0.05</v>
      </c>
      <c r="N929">
        <v>1604.55</v>
      </c>
      <c r="O929">
        <v>0.05</v>
      </c>
      <c r="P929">
        <v>8022.75</v>
      </c>
      <c r="Q929">
        <v>401.13749999999999</v>
      </c>
      <c r="R929">
        <v>8423.8875000000007</v>
      </c>
      <c r="S929" t="s">
        <v>1363</v>
      </c>
      <c r="T929" t="s">
        <v>1361</v>
      </c>
      <c r="U929" s="4">
        <v>45602</v>
      </c>
      <c r="V929" s="4">
        <v>45606</v>
      </c>
      <c r="W929" t="b">
        <v>0</v>
      </c>
      <c r="Z929" t="s">
        <v>1398</v>
      </c>
      <c r="AA929" t="s">
        <v>1377</v>
      </c>
      <c r="AB929" t="s">
        <v>1383</v>
      </c>
    </row>
    <row r="930" spans="1:28" x14ac:dyDescent="0.3">
      <c r="A930" t="s">
        <v>1043</v>
      </c>
      <c r="B930" s="6">
        <v>45341.547222222223</v>
      </c>
      <c r="C930" t="s">
        <v>227</v>
      </c>
      <c r="D930" t="s">
        <v>1153</v>
      </c>
      <c r="E930" t="s">
        <v>1154</v>
      </c>
      <c r="F930" t="s">
        <v>1150</v>
      </c>
      <c r="G930" t="s">
        <v>1172</v>
      </c>
      <c r="H930" t="s">
        <v>1188</v>
      </c>
      <c r="I930" t="s">
        <v>1232</v>
      </c>
      <c r="J930" t="s">
        <v>1233</v>
      </c>
      <c r="K930">
        <v>1</v>
      </c>
      <c r="L930">
        <v>5005</v>
      </c>
      <c r="M930">
        <v>0</v>
      </c>
      <c r="N930">
        <v>5005</v>
      </c>
      <c r="O930">
        <v>0.12</v>
      </c>
      <c r="P930">
        <v>5005</v>
      </c>
      <c r="Q930">
        <v>600.6</v>
      </c>
      <c r="R930">
        <v>5605.6</v>
      </c>
      <c r="S930" t="s">
        <v>1363</v>
      </c>
      <c r="T930" t="s">
        <v>1361</v>
      </c>
      <c r="U930" s="4">
        <v>45342</v>
      </c>
      <c r="V930" s="4">
        <v>45344</v>
      </c>
      <c r="W930" t="b">
        <v>0</v>
      </c>
      <c r="Z930" t="s">
        <v>1390</v>
      </c>
      <c r="AA930" t="s">
        <v>1400</v>
      </c>
      <c r="AB930" t="s">
        <v>1393</v>
      </c>
    </row>
    <row r="931" spans="1:28" x14ac:dyDescent="0.3">
      <c r="A931" t="s">
        <v>1044</v>
      </c>
      <c r="B931" s="6">
        <v>45747.554166666669</v>
      </c>
      <c r="C931" t="s">
        <v>296</v>
      </c>
      <c r="D931" t="s">
        <v>1157</v>
      </c>
      <c r="E931" t="s">
        <v>1181</v>
      </c>
      <c r="F931" t="s">
        <v>1150</v>
      </c>
      <c r="G931" t="s">
        <v>1172</v>
      </c>
      <c r="H931" t="s">
        <v>1198</v>
      </c>
      <c r="I931" t="s">
        <v>1199</v>
      </c>
      <c r="J931" t="s">
        <v>1200</v>
      </c>
      <c r="K931">
        <v>4</v>
      </c>
      <c r="L931">
        <v>7098</v>
      </c>
      <c r="M931">
        <v>0.05</v>
      </c>
      <c r="N931">
        <v>6743.0999999999995</v>
      </c>
      <c r="O931">
        <v>0.12</v>
      </c>
      <c r="P931">
        <v>26972.400000000001</v>
      </c>
      <c r="Q931">
        <v>3236.6880000000001</v>
      </c>
      <c r="R931">
        <v>30209.088</v>
      </c>
      <c r="S931" t="s">
        <v>1365</v>
      </c>
      <c r="T931" t="s">
        <v>1361</v>
      </c>
      <c r="U931" s="4">
        <v>45747</v>
      </c>
      <c r="V931" s="4">
        <v>45752</v>
      </c>
      <c r="W931" t="b">
        <v>0</v>
      </c>
      <c r="Z931" t="s">
        <v>1390</v>
      </c>
      <c r="AA931" t="s">
        <v>1394</v>
      </c>
      <c r="AB931" t="s">
        <v>1389</v>
      </c>
    </row>
    <row r="932" spans="1:28" x14ac:dyDescent="0.3">
      <c r="A932" t="s">
        <v>1046</v>
      </c>
      <c r="B932" s="6">
        <v>45646.438194444447</v>
      </c>
      <c r="C932" t="s">
        <v>12</v>
      </c>
      <c r="D932" t="s">
        <v>1153</v>
      </c>
      <c r="E932" t="s">
        <v>1162</v>
      </c>
      <c r="F932" t="s">
        <v>1150</v>
      </c>
      <c r="G932" t="s">
        <v>1144</v>
      </c>
      <c r="H932" t="s">
        <v>1214</v>
      </c>
      <c r="I932" t="s">
        <v>1320</v>
      </c>
      <c r="J932" t="s">
        <v>1321</v>
      </c>
      <c r="K932">
        <v>2</v>
      </c>
      <c r="L932">
        <v>8811</v>
      </c>
      <c r="M932">
        <v>0.05</v>
      </c>
      <c r="N932">
        <v>8370.4499999999989</v>
      </c>
      <c r="O932">
        <v>0.18</v>
      </c>
      <c r="P932">
        <v>16740.900000000001</v>
      </c>
      <c r="Q932">
        <v>3013.3620000000001</v>
      </c>
      <c r="R932">
        <v>19754.261999999999</v>
      </c>
      <c r="S932" t="s">
        <v>1362</v>
      </c>
      <c r="T932" t="s">
        <v>1369</v>
      </c>
      <c r="W932" t="b">
        <v>0</v>
      </c>
      <c r="Z932" t="s">
        <v>1388</v>
      </c>
      <c r="AA932" t="s">
        <v>1400</v>
      </c>
      <c r="AB932" t="s">
        <v>1393</v>
      </c>
    </row>
    <row r="933" spans="1:28" x14ac:dyDescent="0.3">
      <c r="A933" t="s">
        <v>1052</v>
      </c>
      <c r="B933" s="6">
        <v>45725.320833333331</v>
      </c>
      <c r="C933" t="s">
        <v>231</v>
      </c>
      <c r="D933" t="s">
        <v>1157</v>
      </c>
      <c r="E933" t="s">
        <v>1249</v>
      </c>
      <c r="F933" t="s">
        <v>1150</v>
      </c>
      <c r="G933" t="s">
        <v>1144</v>
      </c>
      <c r="H933" t="s">
        <v>1214</v>
      </c>
      <c r="I933" t="s">
        <v>1215</v>
      </c>
      <c r="J933" t="s">
        <v>1216</v>
      </c>
      <c r="K933">
        <v>2</v>
      </c>
      <c r="L933">
        <v>4118</v>
      </c>
      <c r="M933">
        <v>0.15</v>
      </c>
      <c r="N933">
        <v>3500.3</v>
      </c>
      <c r="O933">
        <v>0.12</v>
      </c>
      <c r="P933">
        <v>7000.5999999999995</v>
      </c>
      <c r="Q933">
        <v>840.07199999999989</v>
      </c>
      <c r="R933">
        <v>7840.6719999999996</v>
      </c>
      <c r="S933" t="s">
        <v>1363</v>
      </c>
      <c r="T933" t="s">
        <v>1364</v>
      </c>
      <c r="U933" s="4">
        <v>45727</v>
      </c>
      <c r="W933" t="b">
        <v>1</v>
      </c>
      <c r="X933" s="4">
        <v>45740</v>
      </c>
      <c r="Y933" s="4">
        <v>45740</v>
      </c>
      <c r="Z933" t="s">
        <v>1376</v>
      </c>
      <c r="AA933" t="s">
        <v>1394</v>
      </c>
      <c r="AB933" t="s">
        <v>1393</v>
      </c>
    </row>
    <row r="934" spans="1:28" x14ac:dyDescent="0.3">
      <c r="A934" t="s">
        <v>1057</v>
      </c>
      <c r="B934" s="6">
        <v>45346.45208333333</v>
      </c>
      <c r="C934" t="s">
        <v>51</v>
      </c>
      <c r="D934" t="s">
        <v>1141</v>
      </c>
      <c r="E934" t="s">
        <v>1227</v>
      </c>
      <c r="F934" t="s">
        <v>1150</v>
      </c>
      <c r="G934" t="s">
        <v>1167</v>
      </c>
      <c r="H934" t="s">
        <v>1168</v>
      </c>
      <c r="I934" t="s">
        <v>1314</v>
      </c>
      <c r="J934" t="s">
        <v>1315</v>
      </c>
      <c r="K934">
        <v>2</v>
      </c>
      <c r="L934">
        <v>45890</v>
      </c>
      <c r="M934">
        <v>0</v>
      </c>
      <c r="N934">
        <v>45890</v>
      </c>
      <c r="O934">
        <v>0.18</v>
      </c>
      <c r="P934">
        <v>91780</v>
      </c>
      <c r="Q934">
        <v>16520.400000000001</v>
      </c>
      <c r="R934">
        <v>108300.4</v>
      </c>
      <c r="S934" t="s">
        <v>1360</v>
      </c>
      <c r="T934" t="s">
        <v>1361</v>
      </c>
      <c r="U934" s="4">
        <v>45348</v>
      </c>
      <c r="V934" s="4">
        <v>45349</v>
      </c>
      <c r="W934" t="b">
        <v>0</v>
      </c>
      <c r="Z934" t="s">
        <v>1390</v>
      </c>
      <c r="AA934" t="s">
        <v>1377</v>
      </c>
      <c r="AB934" t="s">
        <v>1378</v>
      </c>
    </row>
    <row r="935" spans="1:28" x14ac:dyDescent="0.3">
      <c r="A935" t="s">
        <v>1068</v>
      </c>
      <c r="B935" s="6">
        <v>45607.509722222225</v>
      </c>
      <c r="C935" t="s">
        <v>57</v>
      </c>
      <c r="D935" t="s">
        <v>1153</v>
      </c>
      <c r="E935" t="s">
        <v>1176</v>
      </c>
      <c r="F935" t="s">
        <v>1150</v>
      </c>
      <c r="G935" t="s">
        <v>1167</v>
      </c>
      <c r="H935" t="s">
        <v>1208</v>
      </c>
      <c r="I935" t="s">
        <v>1322</v>
      </c>
      <c r="J935" t="s">
        <v>1323</v>
      </c>
      <c r="K935">
        <v>1</v>
      </c>
      <c r="L935">
        <v>51470</v>
      </c>
      <c r="M935">
        <v>0.1</v>
      </c>
      <c r="N935">
        <v>46323</v>
      </c>
      <c r="O935">
        <v>0.05</v>
      </c>
      <c r="P935">
        <v>46323</v>
      </c>
      <c r="Q935">
        <v>2316.15</v>
      </c>
      <c r="R935">
        <v>48639.15</v>
      </c>
      <c r="S935" t="s">
        <v>1363</v>
      </c>
      <c r="T935" t="s">
        <v>1361</v>
      </c>
      <c r="U935" s="4">
        <v>45609</v>
      </c>
      <c r="V935" s="4">
        <v>45614</v>
      </c>
      <c r="W935" t="b">
        <v>0</v>
      </c>
      <c r="Z935" t="s">
        <v>1388</v>
      </c>
      <c r="AA935" t="s">
        <v>1394</v>
      </c>
      <c r="AB935" t="s">
        <v>1395</v>
      </c>
    </row>
    <row r="936" spans="1:28" x14ac:dyDescent="0.3">
      <c r="A936" t="s">
        <v>1077</v>
      </c>
      <c r="B936" s="6">
        <v>45748.499305555553</v>
      </c>
      <c r="C936" t="s">
        <v>378</v>
      </c>
      <c r="D936" t="s">
        <v>1157</v>
      </c>
      <c r="E936" t="s">
        <v>1158</v>
      </c>
      <c r="F936" t="s">
        <v>1150</v>
      </c>
      <c r="G936" t="s">
        <v>1163</v>
      </c>
      <c r="H936" t="s">
        <v>1240</v>
      </c>
      <c r="I936" t="s">
        <v>1241</v>
      </c>
      <c r="J936" t="s">
        <v>1242</v>
      </c>
      <c r="K936">
        <v>1</v>
      </c>
      <c r="L936">
        <v>555</v>
      </c>
      <c r="M936">
        <v>0</v>
      </c>
      <c r="N936">
        <v>555</v>
      </c>
      <c r="O936">
        <v>0.12</v>
      </c>
      <c r="P936">
        <v>555</v>
      </c>
      <c r="Q936">
        <v>66.599999999999994</v>
      </c>
      <c r="R936">
        <v>621.6</v>
      </c>
      <c r="S936" t="s">
        <v>1363</v>
      </c>
      <c r="T936" t="s">
        <v>1361</v>
      </c>
      <c r="U936" s="4">
        <v>45749</v>
      </c>
      <c r="V936" s="4">
        <v>45754</v>
      </c>
      <c r="W936" t="b">
        <v>0</v>
      </c>
      <c r="Z936" t="s">
        <v>1382</v>
      </c>
      <c r="AA936" t="s">
        <v>1400</v>
      </c>
      <c r="AB936" t="s">
        <v>1391</v>
      </c>
    </row>
    <row r="937" spans="1:28" x14ac:dyDescent="0.3">
      <c r="A937" t="s">
        <v>1079</v>
      </c>
      <c r="B937" s="6">
        <v>45524.576388888891</v>
      </c>
      <c r="C937" t="s">
        <v>251</v>
      </c>
      <c r="D937" t="s">
        <v>1148</v>
      </c>
      <c r="E937" t="s">
        <v>1171</v>
      </c>
      <c r="F937" t="s">
        <v>1150</v>
      </c>
      <c r="G937" t="s">
        <v>1177</v>
      </c>
      <c r="H937" t="s">
        <v>1236</v>
      </c>
      <c r="I937" t="s">
        <v>1254</v>
      </c>
      <c r="J937" t="s">
        <v>1255</v>
      </c>
      <c r="K937">
        <v>3</v>
      </c>
      <c r="L937">
        <v>590</v>
      </c>
      <c r="M937">
        <v>0.05</v>
      </c>
      <c r="N937">
        <v>560.5</v>
      </c>
      <c r="O937">
        <v>0.12</v>
      </c>
      <c r="P937">
        <v>1681.5</v>
      </c>
      <c r="Q937">
        <v>201.78</v>
      </c>
      <c r="R937">
        <v>1883.28</v>
      </c>
      <c r="S937" t="s">
        <v>1362</v>
      </c>
      <c r="T937" t="s">
        <v>1361</v>
      </c>
      <c r="U937" s="4">
        <v>45526</v>
      </c>
      <c r="V937" s="4">
        <v>45527</v>
      </c>
      <c r="W937" t="b">
        <v>0</v>
      </c>
      <c r="Z937" t="s">
        <v>1390</v>
      </c>
      <c r="AA937" t="s">
        <v>1397</v>
      </c>
      <c r="AB937" t="s">
        <v>1395</v>
      </c>
    </row>
    <row r="938" spans="1:28" x14ac:dyDescent="0.3">
      <c r="A938" t="s">
        <v>1081</v>
      </c>
      <c r="B938" s="6">
        <v>45359.479861111111</v>
      </c>
      <c r="C938" t="s">
        <v>38</v>
      </c>
      <c r="D938" t="s">
        <v>1148</v>
      </c>
      <c r="E938" t="s">
        <v>1149</v>
      </c>
      <c r="F938" t="s">
        <v>1150</v>
      </c>
      <c r="G938" t="s">
        <v>1172</v>
      </c>
      <c r="H938" t="s">
        <v>1229</v>
      </c>
      <c r="I938" t="s">
        <v>1295</v>
      </c>
      <c r="J938" t="s">
        <v>1296</v>
      </c>
      <c r="K938">
        <v>1</v>
      </c>
      <c r="L938">
        <v>8168</v>
      </c>
      <c r="M938">
        <v>0.05</v>
      </c>
      <c r="N938">
        <v>7759.5999999999995</v>
      </c>
      <c r="O938">
        <v>0.18</v>
      </c>
      <c r="P938">
        <v>7759.5999999999995</v>
      </c>
      <c r="Q938">
        <v>1396.7280000000001</v>
      </c>
      <c r="R938">
        <v>9156.3279999999995</v>
      </c>
      <c r="S938" t="s">
        <v>1362</v>
      </c>
      <c r="T938" t="s">
        <v>1369</v>
      </c>
      <c r="W938" t="b">
        <v>0</v>
      </c>
      <c r="Z938" t="s">
        <v>1376</v>
      </c>
      <c r="AA938" t="s">
        <v>1387</v>
      </c>
      <c r="AB938" t="s">
        <v>1389</v>
      </c>
    </row>
    <row r="939" spans="1:28" x14ac:dyDescent="0.3">
      <c r="A939" t="s">
        <v>1087</v>
      </c>
      <c r="B939" s="6">
        <v>45651.615972222222</v>
      </c>
      <c r="C939" t="s">
        <v>146</v>
      </c>
      <c r="D939" t="s">
        <v>1148</v>
      </c>
      <c r="E939" t="s">
        <v>1149</v>
      </c>
      <c r="F939" t="s">
        <v>1150</v>
      </c>
      <c r="G939" t="s">
        <v>1177</v>
      </c>
      <c r="H939" t="s">
        <v>1192</v>
      </c>
      <c r="I939" t="s">
        <v>1344</v>
      </c>
      <c r="J939" t="s">
        <v>1345</v>
      </c>
      <c r="K939">
        <v>3</v>
      </c>
      <c r="L939">
        <v>1910</v>
      </c>
      <c r="M939">
        <v>0.15</v>
      </c>
      <c r="N939">
        <v>1623.5</v>
      </c>
      <c r="O939">
        <v>0.18</v>
      </c>
      <c r="P939">
        <v>4870.5</v>
      </c>
      <c r="Q939">
        <v>876.68999999999994</v>
      </c>
      <c r="R939">
        <v>5747.19</v>
      </c>
      <c r="S939" t="s">
        <v>1363</v>
      </c>
      <c r="T939" t="s">
        <v>1361</v>
      </c>
      <c r="U939" s="4">
        <v>45651</v>
      </c>
      <c r="V939" s="4">
        <v>45654</v>
      </c>
      <c r="W939" t="b">
        <v>0</v>
      </c>
      <c r="Z939" t="s">
        <v>1382</v>
      </c>
      <c r="AA939" t="s">
        <v>1377</v>
      </c>
      <c r="AB939" t="s">
        <v>1380</v>
      </c>
    </row>
    <row r="940" spans="1:28" x14ac:dyDescent="0.3">
      <c r="A940" t="s">
        <v>1089</v>
      </c>
      <c r="B940" s="6">
        <v>45645.647916666669</v>
      </c>
      <c r="C940" t="s">
        <v>627</v>
      </c>
      <c r="D940" t="s">
        <v>1182</v>
      </c>
      <c r="E940" t="s">
        <v>1256</v>
      </c>
      <c r="F940" t="s">
        <v>1150</v>
      </c>
      <c r="G940" t="s">
        <v>1172</v>
      </c>
      <c r="H940" t="s">
        <v>1198</v>
      </c>
      <c r="I940" t="s">
        <v>1303</v>
      </c>
      <c r="J940" t="s">
        <v>1304</v>
      </c>
      <c r="K940">
        <v>2</v>
      </c>
      <c r="L940">
        <v>8250</v>
      </c>
      <c r="M940">
        <v>0</v>
      </c>
      <c r="N940">
        <v>8250</v>
      </c>
      <c r="O940">
        <v>0.18</v>
      </c>
      <c r="P940">
        <v>16500</v>
      </c>
      <c r="Q940">
        <v>2970</v>
      </c>
      <c r="R940">
        <v>19470</v>
      </c>
      <c r="S940" t="s">
        <v>1366</v>
      </c>
      <c r="T940" t="s">
        <v>1361</v>
      </c>
      <c r="U940" s="4">
        <v>45645</v>
      </c>
      <c r="V940" s="4">
        <v>45649</v>
      </c>
      <c r="W940" t="b">
        <v>0</v>
      </c>
      <c r="Z940" t="s">
        <v>1386</v>
      </c>
      <c r="AA940" t="s">
        <v>1394</v>
      </c>
      <c r="AB940" t="s">
        <v>1378</v>
      </c>
    </row>
    <row r="941" spans="1:28" x14ac:dyDescent="0.3">
      <c r="A941" t="s">
        <v>1094</v>
      </c>
      <c r="B941" s="6">
        <v>45714.559027777781</v>
      </c>
      <c r="C941" t="s">
        <v>32</v>
      </c>
      <c r="D941" t="s">
        <v>1157</v>
      </c>
      <c r="E941" t="s">
        <v>1201</v>
      </c>
      <c r="F941" t="s">
        <v>1150</v>
      </c>
      <c r="G941" t="s">
        <v>1163</v>
      </c>
      <c r="H941" t="s">
        <v>1164</v>
      </c>
      <c r="I941" t="s">
        <v>1165</v>
      </c>
      <c r="J941" t="s">
        <v>1166</v>
      </c>
      <c r="K941">
        <v>4</v>
      </c>
      <c r="L941">
        <v>672</v>
      </c>
      <c r="M941">
        <v>0.05</v>
      </c>
      <c r="N941">
        <v>638.4</v>
      </c>
      <c r="O941">
        <v>0.12</v>
      </c>
      <c r="P941">
        <v>2553.6</v>
      </c>
      <c r="Q941">
        <v>306.43200000000002</v>
      </c>
      <c r="R941">
        <v>2860.0320000000002</v>
      </c>
      <c r="S941" t="s">
        <v>1360</v>
      </c>
      <c r="T941" t="s">
        <v>1364</v>
      </c>
      <c r="U941" s="4">
        <v>45716</v>
      </c>
      <c r="W941" t="b">
        <v>1</v>
      </c>
      <c r="X941" s="4">
        <v>45722</v>
      </c>
      <c r="Y941" s="4">
        <v>45722</v>
      </c>
      <c r="Z941" t="s">
        <v>1376</v>
      </c>
      <c r="AA941" t="s">
        <v>1377</v>
      </c>
      <c r="AB941" t="s">
        <v>1380</v>
      </c>
    </row>
    <row r="942" spans="1:28" x14ac:dyDescent="0.3">
      <c r="A942" t="s">
        <v>1096</v>
      </c>
      <c r="B942" s="6">
        <v>45436.522222222222</v>
      </c>
      <c r="C942" t="s">
        <v>551</v>
      </c>
      <c r="D942" t="s">
        <v>1157</v>
      </c>
      <c r="E942" t="s">
        <v>1201</v>
      </c>
      <c r="F942" t="s">
        <v>1150</v>
      </c>
      <c r="G942" t="s">
        <v>1177</v>
      </c>
      <c r="H942" t="s">
        <v>1192</v>
      </c>
      <c r="I942" t="s">
        <v>1344</v>
      </c>
      <c r="J942" t="s">
        <v>1345</v>
      </c>
      <c r="K942">
        <v>1</v>
      </c>
      <c r="L942">
        <v>1499</v>
      </c>
      <c r="M942">
        <v>0</v>
      </c>
      <c r="N942">
        <v>1499</v>
      </c>
      <c r="O942">
        <v>0.18</v>
      </c>
      <c r="P942">
        <v>1499</v>
      </c>
      <c r="Q942">
        <v>269.82</v>
      </c>
      <c r="R942">
        <v>1768.82</v>
      </c>
      <c r="S942" t="s">
        <v>1365</v>
      </c>
      <c r="T942" t="s">
        <v>1361</v>
      </c>
      <c r="U942" s="4">
        <v>45437</v>
      </c>
      <c r="V942" s="4">
        <v>45439</v>
      </c>
      <c r="W942" t="b">
        <v>0</v>
      </c>
      <c r="Z942" t="s">
        <v>1390</v>
      </c>
      <c r="AA942" t="s">
        <v>1400</v>
      </c>
      <c r="AB942" t="s">
        <v>1389</v>
      </c>
    </row>
    <row r="943" spans="1:28" x14ac:dyDescent="0.3">
      <c r="A943" t="s">
        <v>1097</v>
      </c>
      <c r="B943" s="6">
        <v>45760.445138888892</v>
      </c>
      <c r="C943" t="s">
        <v>610</v>
      </c>
      <c r="D943" t="s">
        <v>1157</v>
      </c>
      <c r="E943" t="s">
        <v>1181</v>
      </c>
      <c r="F943" t="s">
        <v>1150</v>
      </c>
      <c r="G943" t="s">
        <v>1177</v>
      </c>
      <c r="H943" t="s">
        <v>1236</v>
      </c>
      <c r="I943" t="s">
        <v>1254</v>
      </c>
      <c r="J943" t="s">
        <v>1255</v>
      </c>
      <c r="K943">
        <v>2</v>
      </c>
      <c r="L943">
        <v>2125</v>
      </c>
      <c r="M943">
        <v>0.1</v>
      </c>
      <c r="N943">
        <v>1912.5</v>
      </c>
      <c r="O943">
        <v>0.18</v>
      </c>
      <c r="P943">
        <v>3825</v>
      </c>
      <c r="Q943">
        <v>688.5</v>
      </c>
      <c r="R943">
        <v>4513.5</v>
      </c>
      <c r="S943" t="s">
        <v>1365</v>
      </c>
      <c r="T943" t="s">
        <v>1361</v>
      </c>
      <c r="U943" s="4">
        <v>45762</v>
      </c>
      <c r="V943" s="4">
        <v>45766</v>
      </c>
      <c r="W943" t="b">
        <v>0</v>
      </c>
      <c r="Z943" t="s">
        <v>1386</v>
      </c>
      <c r="AA943" t="s">
        <v>1399</v>
      </c>
      <c r="AB943" t="s">
        <v>1391</v>
      </c>
    </row>
    <row r="944" spans="1:28" x14ac:dyDescent="0.3">
      <c r="A944" t="s">
        <v>1099</v>
      </c>
      <c r="B944" s="6">
        <v>45535.501388888886</v>
      </c>
      <c r="C944" t="s">
        <v>288</v>
      </c>
      <c r="D944" t="s">
        <v>1148</v>
      </c>
      <c r="E944" t="s">
        <v>1262</v>
      </c>
      <c r="F944" t="s">
        <v>1150</v>
      </c>
      <c r="G944" t="s">
        <v>1144</v>
      </c>
      <c r="H944" t="s">
        <v>1159</v>
      </c>
      <c r="I944" t="s">
        <v>1334</v>
      </c>
      <c r="J944" t="s">
        <v>1335</v>
      </c>
      <c r="K944">
        <v>1</v>
      </c>
      <c r="L944">
        <v>10088</v>
      </c>
      <c r="M944">
        <v>0.15</v>
      </c>
      <c r="N944">
        <v>8574.7999999999993</v>
      </c>
      <c r="O944">
        <v>0.18</v>
      </c>
      <c r="P944">
        <v>8574.7999999999993</v>
      </c>
      <c r="Q944">
        <v>1543.4639999999999</v>
      </c>
      <c r="R944">
        <v>10118.263999999999</v>
      </c>
      <c r="S944" t="s">
        <v>1362</v>
      </c>
      <c r="T944" t="s">
        <v>1361</v>
      </c>
      <c r="U944" s="4">
        <v>45535</v>
      </c>
      <c r="V944" s="4">
        <v>45540</v>
      </c>
      <c r="W944" t="b">
        <v>0</v>
      </c>
      <c r="Z944" t="s">
        <v>1386</v>
      </c>
      <c r="AA944" t="s">
        <v>1387</v>
      </c>
      <c r="AB944" t="s">
        <v>1391</v>
      </c>
    </row>
    <row r="945" spans="1:28" x14ac:dyDescent="0.3">
      <c r="A945" t="s">
        <v>1101</v>
      </c>
      <c r="B945" s="6">
        <v>45292.537499999999</v>
      </c>
      <c r="C945" t="s">
        <v>727</v>
      </c>
      <c r="D945" t="s">
        <v>1153</v>
      </c>
      <c r="E945" t="s">
        <v>1154</v>
      </c>
      <c r="F945" t="s">
        <v>1150</v>
      </c>
      <c r="G945" t="s">
        <v>1167</v>
      </c>
      <c r="H945" t="s">
        <v>1208</v>
      </c>
      <c r="I945" t="s">
        <v>1291</v>
      </c>
      <c r="J945" t="s">
        <v>1292</v>
      </c>
      <c r="K945">
        <v>3</v>
      </c>
      <c r="L945">
        <v>25999</v>
      </c>
      <c r="M945">
        <v>0</v>
      </c>
      <c r="N945">
        <v>25999</v>
      </c>
      <c r="O945">
        <v>0.18</v>
      </c>
      <c r="P945">
        <v>77997</v>
      </c>
      <c r="Q945">
        <v>14039.46</v>
      </c>
      <c r="R945">
        <v>92036.459999999992</v>
      </c>
      <c r="S945" t="s">
        <v>1363</v>
      </c>
      <c r="T945" t="s">
        <v>1361</v>
      </c>
      <c r="U945" s="4">
        <v>45293</v>
      </c>
      <c r="V945" s="4">
        <v>45294</v>
      </c>
      <c r="W945" t="b">
        <v>0</v>
      </c>
      <c r="Z945" t="s">
        <v>1379</v>
      </c>
      <c r="AA945" t="s">
        <v>1377</v>
      </c>
      <c r="AB945" t="s">
        <v>1393</v>
      </c>
    </row>
    <row r="946" spans="1:28" x14ac:dyDescent="0.3">
      <c r="A946" t="s">
        <v>1103</v>
      </c>
      <c r="B946" s="6">
        <v>45531.624305555553</v>
      </c>
      <c r="C946" t="s">
        <v>121</v>
      </c>
      <c r="D946" t="s">
        <v>1141</v>
      </c>
      <c r="E946" t="s">
        <v>1142</v>
      </c>
      <c r="F946" t="s">
        <v>1150</v>
      </c>
      <c r="G946" t="s">
        <v>1172</v>
      </c>
      <c r="H946" t="s">
        <v>1204</v>
      </c>
      <c r="I946" t="s">
        <v>1205</v>
      </c>
      <c r="J946" t="s">
        <v>1206</v>
      </c>
      <c r="K946">
        <v>1</v>
      </c>
      <c r="L946">
        <v>4560</v>
      </c>
      <c r="M946">
        <v>0</v>
      </c>
      <c r="N946">
        <v>4560</v>
      </c>
      <c r="O946">
        <v>0.12</v>
      </c>
      <c r="P946">
        <v>4560</v>
      </c>
      <c r="Q946">
        <v>547.19999999999993</v>
      </c>
      <c r="R946">
        <v>5107.2</v>
      </c>
      <c r="S946" t="s">
        <v>1360</v>
      </c>
      <c r="T946" t="s">
        <v>1361</v>
      </c>
      <c r="U946" s="4">
        <v>45531</v>
      </c>
      <c r="V946" s="4">
        <v>45532</v>
      </c>
      <c r="W946" t="b">
        <v>0</v>
      </c>
      <c r="Z946" t="s">
        <v>1392</v>
      </c>
      <c r="AA946" t="s">
        <v>1377</v>
      </c>
      <c r="AB946" t="s">
        <v>1378</v>
      </c>
    </row>
    <row r="947" spans="1:28" x14ac:dyDescent="0.3">
      <c r="A947" t="s">
        <v>1104</v>
      </c>
      <c r="B947" s="6">
        <v>45416.486111111109</v>
      </c>
      <c r="C947" t="s">
        <v>304</v>
      </c>
      <c r="D947" t="s">
        <v>1157</v>
      </c>
      <c r="E947" t="s">
        <v>1181</v>
      </c>
      <c r="F947" t="s">
        <v>1150</v>
      </c>
      <c r="G947" t="s">
        <v>1172</v>
      </c>
      <c r="H947" t="s">
        <v>1188</v>
      </c>
      <c r="I947" t="s">
        <v>1258</v>
      </c>
      <c r="J947" t="s">
        <v>1259</v>
      </c>
      <c r="K947">
        <v>1</v>
      </c>
      <c r="L947">
        <v>9535</v>
      </c>
      <c r="M947">
        <v>0</v>
      </c>
      <c r="N947">
        <v>9535</v>
      </c>
      <c r="O947">
        <v>0.18</v>
      </c>
      <c r="P947">
        <v>9535</v>
      </c>
      <c r="Q947">
        <v>1716.3</v>
      </c>
      <c r="R947">
        <v>11251.3</v>
      </c>
      <c r="S947" t="s">
        <v>1360</v>
      </c>
      <c r="T947" t="s">
        <v>1361</v>
      </c>
      <c r="U947" s="4">
        <v>45417</v>
      </c>
      <c r="V947" s="4">
        <v>45420</v>
      </c>
      <c r="W947" t="b">
        <v>0</v>
      </c>
      <c r="Z947" t="s">
        <v>1386</v>
      </c>
      <c r="AA947" t="s">
        <v>1400</v>
      </c>
      <c r="AB947" t="s">
        <v>1380</v>
      </c>
    </row>
    <row r="948" spans="1:28" x14ac:dyDescent="0.3">
      <c r="A948" t="s">
        <v>1107</v>
      </c>
      <c r="B948" s="6">
        <v>45524.472222222219</v>
      </c>
      <c r="C948" t="s">
        <v>396</v>
      </c>
      <c r="D948" t="s">
        <v>1157</v>
      </c>
      <c r="E948" t="s">
        <v>1158</v>
      </c>
      <c r="F948" t="s">
        <v>1150</v>
      </c>
      <c r="G948" t="s">
        <v>1172</v>
      </c>
      <c r="H948" t="s">
        <v>1188</v>
      </c>
      <c r="I948" t="s">
        <v>1189</v>
      </c>
      <c r="J948" t="s">
        <v>1190</v>
      </c>
      <c r="K948">
        <v>4</v>
      </c>
      <c r="L948">
        <v>2905</v>
      </c>
      <c r="M948">
        <v>0.15</v>
      </c>
      <c r="N948">
        <v>2469.25</v>
      </c>
      <c r="O948">
        <v>0.12</v>
      </c>
      <c r="P948">
        <v>9877</v>
      </c>
      <c r="Q948">
        <v>1185.24</v>
      </c>
      <c r="R948">
        <v>11062.24</v>
      </c>
      <c r="S948" t="s">
        <v>1362</v>
      </c>
      <c r="T948" t="s">
        <v>1361</v>
      </c>
      <c r="U948" s="4">
        <v>45526</v>
      </c>
      <c r="V948" s="4">
        <v>45528</v>
      </c>
      <c r="W948" t="b">
        <v>0</v>
      </c>
      <c r="Z948" t="s">
        <v>1388</v>
      </c>
      <c r="AA948" t="s">
        <v>1400</v>
      </c>
      <c r="AB948" t="s">
        <v>1380</v>
      </c>
    </row>
    <row r="949" spans="1:28" x14ac:dyDescent="0.3">
      <c r="A949" t="s">
        <v>1118</v>
      </c>
      <c r="B949" s="6">
        <v>45731.611111111109</v>
      </c>
      <c r="C949" t="s">
        <v>141</v>
      </c>
      <c r="D949" t="s">
        <v>1141</v>
      </c>
      <c r="E949" t="s">
        <v>1227</v>
      </c>
      <c r="F949" t="s">
        <v>1150</v>
      </c>
      <c r="G949" t="s">
        <v>1172</v>
      </c>
      <c r="H949" t="s">
        <v>1198</v>
      </c>
      <c r="I949" t="s">
        <v>1199</v>
      </c>
      <c r="J949" t="s">
        <v>1200</v>
      </c>
      <c r="K949">
        <v>2</v>
      </c>
      <c r="L949">
        <v>6136</v>
      </c>
      <c r="M949">
        <v>0</v>
      </c>
      <c r="N949">
        <v>6136</v>
      </c>
      <c r="O949">
        <v>0.18</v>
      </c>
      <c r="P949">
        <v>12272</v>
      </c>
      <c r="Q949">
        <v>2208.96</v>
      </c>
      <c r="R949">
        <v>14480.96</v>
      </c>
      <c r="S949" t="s">
        <v>1363</v>
      </c>
      <c r="T949" t="s">
        <v>1361</v>
      </c>
      <c r="U949" s="4">
        <v>45731</v>
      </c>
      <c r="V949" s="4">
        <v>45734</v>
      </c>
      <c r="W949" t="b">
        <v>0</v>
      </c>
      <c r="Z949" t="s">
        <v>1382</v>
      </c>
      <c r="AA949" t="s">
        <v>1397</v>
      </c>
      <c r="AB949" t="s">
        <v>1389</v>
      </c>
    </row>
    <row r="950" spans="1:28" x14ac:dyDescent="0.3">
      <c r="A950" t="s">
        <v>1121</v>
      </c>
      <c r="B950" s="6">
        <v>45721.482638888891</v>
      </c>
      <c r="C950" t="s">
        <v>83</v>
      </c>
      <c r="D950" t="s">
        <v>1141</v>
      </c>
      <c r="E950" t="s">
        <v>1239</v>
      </c>
      <c r="F950" t="s">
        <v>1150</v>
      </c>
      <c r="G950" t="s">
        <v>1172</v>
      </c>
      <c r="H950" t="s">
        <v>1198</v>
      </c>
      <c r="I950" t="s">
        <v>1250</v>
      </c>
      <c r="J950" t="s">
        <v>1251</v>
      </c>
      <c r="K950">
        <v>2</v>
      </c>
      <c r="L950">
        <v>7461</v>
      </c>
      <c r="M950">
        <v>0</v>
      </c>
      <c r="N950">
        <v>7461</v>
      </c>
      <c r="O950">
        <v>0.18</v>
      </c>
      <c r="P950">
        <v>14922</v>
      </c>
      <c r="Q950">
        <v>2685.96</v>
      </c>
      <c r="R950">
        <v>17607.96</v>
      </c>
      <c r="S950" t="s">
        <v>1366</v>
      </c>
      <c r="T950" t="s">
        <v>1361</v>
      </c>
      <c r="U950" s="4">
        <v>45723</v>
      </c>
      <c r="V950" s="4">
        <v>45726</v>
      </c>
      <c r="W950" t="b">
        <v>0</v>
      </c>
      <c r="Z950" t="s">
        <v>1396</v>
      </c>
      <c r="AA950" t="s">
        <v>1400</v>
      </c>
      <c r="AB950" t="s">
        <v>1395</v>
      </c>
    </row>
    <row r="951" spans="1:28" x14ac:dyDescent="0.3">
      <c r="A951" t="s">
        <v>1125</v>
      </c>
      <c r="B951" s="6">
        <v>45392.645138888889</v>
      </c>
      <c r="C951" t="s">
        <v>63</v>
      </c>
      <c r="D951" t="s">
        <v>1141</v>
      </c>
      <c r="E951" t="s">
        <v>1239</v>
      </c>
      <c r="F951" t="s">
        <v>1150</v>
      </c>
      <c r="G951" t="s">
        <v>1144</v>
      </c>
      <c r="H951" t="s">
        <v>1145</v>
      </c>
      <c r="I951" t="s">
        <v>1155</v>
      </c>
      <c r="J951" t="s">
        <v>1156</v>
      </c>
      <c r="K951">
        <v>3</v>
      </c>
      <c r="L951">
        <v>9086</v>
      </c>
      <c r="M951">
        <v>0</v>
      </c>
      <c r="N951">
        <v>9086</v>
      </c>
      <c r="O951">
        <v>0.12</v>
      </c>
      <c r="P951">
        <v>27258</v>
      </c>
      <c r="Q951">
        <v>3270.96</v>
      </c>
      <c r="R951">
        <v>30528.959999999999</v>
      </c>
      <c r="S951" t="s">
        <v>1365</v>
      </c>
      <c r="T951" t="s">
        <v>1361</v>
      </c>
      <c r="U951" s="4">
        <v>45394</v>
      </c>
      <c r="V951" s="4">
        <v>45397</v>
      </c>
      <c r="W951" t="b">
        <v>0</v>
      </c>
      <c r="Z951" t="s">
        <v>1390</v>
      </c>
      <c r="AA951" t="s">
        <v>1387</v>
      </c>
      <c r="AB951" t="s">
        <v>1383</v>
      </c>
    </row>
    <row r="952" spans="1:28" x14ac:dyDescent="0.3">
      <c r="A952" t="s">
        <v>1126</v>
      </c>
      <c r="B952" s="6">
        <v>45362.545138888891</v>
      </c>
      <c r="C952" t="s">
        <v>235</v>
      </c>
      <c r="D952" t="s">
        <v>1157</v>
      </c>
      <c r="E952" t="s">
        <v>1158</v>
      </c>
      <c r="F952" t="s">
        <v>1150</v>
      </c>
      <c r="G952" t="s">
        <v>1144</v>
      </c>
      <c r="H952" t="s">
        <v>1159</v>
      </c>
      <c r="I952" t="s">
        <v>1160</v>
      </c>
      <c r="J952" t="s">
        <v>1161</v>
      </c>
      <c r="K952">
        <v>3</v>
      </c>
      <c r="L952">
        <v>8474</v>
      </c>
      <c r="M952">
        <v>0.05</v>
      </c>
      <c r="N952">
        <v>8050.2999999999993</v>
      </c>
      <c r="O952">
        <v>0.12</v>
      </c>
      <c r="P952">
        <v>24150.9</v>
      </c>
      <c r="Q952">
        <v>2898.1080000000002</v>
      </c>
      <c r="R952">
        <v>27049.008000000002</v>
      </c>
      <c r="S952" t="s">
        <v>1360</v>
      </c>
      <c r="T952" t="s">
        <v>1361</v>
      </c>
      <c r="U952" s="4">
        <v>45363</v>
      </c>
      <c r="V952" s="4">
        <v>45366</v>
      </c>
      <c r="W952" t="b">
        <v>0</v>
      </c>
      <c r="Z952" t="s">
        <v>1388</v>
      </c>
      <c r="AA952" t="s">
        <v>1397</v>
      </c>
      <c r="AB952" t="s">
        <v>1391</v>
      </c>
    </row>
    <row r="953" spans="1:28" x14ac:dyDescent="0.3">
      <c r="A953" t="s">
        <v>1128</v>
      </c>
      <c r="B953" s="6">
        <v>45635.644444444442</v>
      </c>
      <c r="C953" t="s">
        <v>130</v>
      </c>
      <c r="D953" t="s">
        <v>1153</v>
      </c>
      <c r="E953" t="s">
        <v>1176</v>
      </c>
      <c r="F953" t="s">
        <v>1150</v>
      </c>
      <c r="G953" t="s">
        <v>1144</v>
      </c>
      <c r="H953" t="s">
        <v>1159</v>
      </c>
      <c r="I953" t="s">
        <v>1160</v>
      </c>
      <c r="J953" t="s">
        <v>1161</v>
      </c>
      <c r="K953">
        <v>3</v>
      </c>
      <c r="L953">
        <v>14246</v>
      </c>
      <c r="M953">
        <v>0</v>
      </c>
      <c r="N953">
        <v>14246</v>
      </c>
      <c r="O953">
        <v>0.12</v>
      </c>
      <c r="P953">
        <v>42738</v>
      </c>
      <c r="Q953">
        <v>5128.5599999999986</v>
      </c>
      <c r="R953">
        <v>47866.559999999998</v>
      </c>
      <c r="S953" t="s">
        <v>1365</v>
      </c>
      <c r="T953" t="s">
        <v>1361</v>
      </c>
      <c r="U953" s="4">
        <v>45635</v>
      </c>
      <c r="V953" s="4">
        <v>45638</v>
      </c>
      <c r="W953" t="b">
        <v>0</v>
      </c>
      <c r="Z953" t="s">
        <v>1386</v>
      </c>
      <c r="AA953" t="s">
        <v>1400</v>
      </c>
      <c r="AB953" t="s">
        <v>1378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C8D40-3539-4A84-9D14-878E15314431}">
  <dimension ref="A3:C20"/>
  <sheetViews>
    <sheetView workbookViewId="0">
      <selection activeCell="A3" sqref="A3"/>
    </sheetView>
  </sheetViews>
  <sheetFormatPr defaultRowHeight="14.4" x14ac:dyDescent="0.3"/>
  <sheetData>
    <row r="3" spans="1:3" x14ac:dyDescent="0.3">
      <c r="A3" s="9"/>
      <c r="B3" s="10"/>
      <c r="C3" s="11"/>
    </row>
    <row r="4" spans="1:3" x14ac:dyDescent="0.3">
      <c r="A4" s="12"/>
      <c r="B4" s="13"/>
      <c r="C4" s="14"/>
    </row>
    <row r="5" spans="1:3" x14ac:dyDescent="0.3">
      <c r="A5" s="12"/>
      <c r="B5" s="13"/>
      <c r="C5" s="14"/>
    </row>
    <row r="6" spans="1:3" x14ac:dyDescent="0.3">
      <c r="A6" s="12"/>
      <c r="B6" s="13"/>
      <c r="C6" s="14"/>
    </row>
    <row r="7" spans="1:3" x14ac:dyDescent="0.3">
      <c r="A7" s="12"/>
      <c r="B7" s="13"/>
      <c r="C7" s="14"/>
    </row>
    <row r="8" spans="1:3" x14ac:dyDescent="0.3">
      <c r="A8" s="12"/>
      <c r="B8" s="13"/>
      <c r="C8" s="14"/>
    </row>
    <row r="9" spans="1:3" x14ac:dyDescent="0.3">
      <c r="A9" s="12"/>
      <c r="B9" s="13"/>
      <c r="C9" s="14"/>
    </row>
    <row r="10" spans="1:3" x14ac:dyDescent="0.3">
      <c r="A10" s="12"/>
      <c r="B10" s="13"/>
      <c r="C10" s="14"/>
    </row>
    <row r="11" spans="1:3" x14ac:dyDescent="0.3">
      <c r="A11" s="12"/>
      <c r="B11" s="13"/>
      <c r="C11" s="14"/>
    </row>
    <row r="12" spans="1:3" x14ac:dyDescent="0.3">
      <c r="A12" s="12"/>
      <c r="B12" s="13"/>
      <c r="C12" s="14"/>
    </row>
    <row r="13" spans="1:3" x14ac:dyDescent="0.3">
      <c r="A13" s="12"/>
      <c r="B13" s="13"/>
      <c r="C13" s="14"/>
    </row>
    <row r="14" spans="1:3" x14ac:dyDescent="0.3">
      <c r="A14" s="12"/>
      <c r="B14" s="13"/>
      <c r="C14" s="14"/>
    </row>
    <row r="15" spans="1:3" x14ac:dyDescent="0.3">
      <c r="A15" s="12"/>
      <c r="B15" s="13"/>
      <c r="C15" s="14"/>
    </row>
    <row r="16" spans="1:3" x14ac:dyDescent="0.3">
      <c r="A16" s="12"/>
      <c r="B16" s="13"/>
      <c r="C16" s="14"/>
    </row>
    <row r="17" spans="1:3" x14ac:dyDescent="0.3">
      <c r="A17" s="12"/>
      <c r="B17" s="13"/>
      <c r="C17" s="14"/>
    </row>
    <row r="18" spans="1:3" x14ac:dyDescent="0.3">
      <c r="A18" s="12"/>
      <c r="B18" s="13"/>
      <c r="C18" s="14"/>
    </row>
    <row r="19" spans="1:3" x14ac:dyDescent="0.3">
      <c r="A19" s="12"/>
      <c r="B19" s="13"/>
      <c r="C19" s="14"/>
    </row>
    <row r="20" spans="1:3" x14ac:dyDescent="0.3">
      <c r="A20" s="15"/>
      <c r="B20" s="16"/>
      <c r="C20"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EFD72-4FC2-4E0E-8C71-C57F0F7FB7A1}">
  <dimension ref="A1"/>
  <sheetViews>
    <sheetView workbookViewId="0">
      <selection activeCell="A3" sqref="A3"/>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9BBEF-7479-4F04-BB7B-C548A63A08C0}">
  <dimension ref="A1:AE955"/>
  <sheetViews>
    <sheetView zoomScale="146" zoomScaleNormal="146" workbookViewId="0">
      <selection activeCell="E11" sqref="E11"/>
    </sheetView>
  </sheetViews>
  <sheetFormatPr defaultRowHeight="14.4" x14ac:dyDescent="0.3"/>
  <cols>
    <col min="1" max="1" width="9.44140625" customWidth="1"/>
    <col min="2" max="2" width="18" style="4" bestFit="1" customWidth="1"/>
    <col min="3" max="3" width="12.77734375" customWidth="1"/>
    <col min="4" max="4" width="8.6640625" customWidth="1"/>
    <col min="5" max="5" width="12" bestFit="1" customWidth="1"/>
    <col min="6" max="6" width="12" customWidth="1"/>
    <col min="7" max="7" width="14" customWidth="1"/>
    <col min="8" max="8" width="10.44140625" customWidth="1"/>
    <col min="9" max="9" width="13.6640625" customWidth="1"/>
    <col min="10" max="10" width="11.33203125" customWidth="1"/>
    <col min="11" max="11" width="18.88671875" bestFit="1" customWidth="1"/>
    <col min="12" max="12" width="10.21875" customWidth="1"/>
    <col min="13" max="13" width="10.5546875" customWidth="1"/>
    <col min="14" max="14" width="14" customWidth="1"/>
    <col min="15" max="15" width="13.5546875" customWidth="1"/>
    <col min="16" max="16" width="9.5546875" customWidth="1"/>
    <col min="17" max="17" width="10.33203125" customWidth="1"/>
    <col min="18" max="18" width="12.6640625" customWidth="1"/>
    <col min="19" max="20" width="14" customWidth="1"/>
    <col min="21" max="21" width="17.21875" customWidth="1"/>
    <col min="22" max="22" width="14.88671875" customWidth="1"/>
    <col min="23" max="23" width="10.44140625" style="4" customWidth="1"/>
    <col min="24" max="24" width="13.5546875" style="4" customWidth="1"/>
    <col min="25" max="25" width="12" customWidth="1"/>
    <col min="26" max="26" width="12.44140625" customWidth="1"/>
    <col min="27" max="28" width="14.6640625" customWidth="1"/>
    <col min="29" max="29" width="10.33203125" customWidth="1"/>
    <col min="30" max="30" width="13.6640625" bestFit="1" customWidth="1"/>
    <col min="31" max="31" width="10" bestFit="1" customWidth="1"/>
  </cols>
  <sheetData>
    <row r="1" spans="1:31" x14ac:dyDescent="0.3">
      <c r="A1" s="2" t="s">
        <v>0</v>
      </c>
      <c r="B1" s="3" t="s">
        <v>1</v>
      </c>
      <c r="C1" s="2" t="s">
        <v>2</v>
      </c>
      <c r="D1" s="2" t="s">
        <v>1132</v>
      </c>
      <c r="E1" s="2" t="s">
        <v>1133</v>
      </c>
      <c r="F1" s="2" t="s">
        <v>1413</v>
      </c>
      <c r="G1" s="2" t="s">
        <v>1134</v>
      </c>
      <c r="H1" s="2" t="s">
        <v>1135</v>
      </c>
      <c r="I1" s="2" t="s">
        <v>1136</v>
      </c>
      <c r="J1" s="2" t="s">
        <v>1137</v>
      </c>
      <c r="K1" s="2" t="s">
        <v>1138</v>
      </c>
      <c r="L1" s="2" t="s">
        <v>1139</v>
      </c>
      <c r="M1" s="2" t="s">
        <v>1140</v>
      </c>
      <c r="N1" s="2" t="s">
        <v>1350</v>
      </c>
      <c r="O1" s="2" t="s">
        <v>1351</v>
      </c>
      <c r="P1" s="2" t="s">
        <v>1352</v>
      </c>
      <c r="Q1" s="2" t="s">
        <v>1353</v>
      </c>
      <c r="R1" s="2" t="s">
        <v>1354</v>
      </c>
      <c r="S1" s="2" t="s">
        <v>1355</v>
      </c>
      <c r="T1" s="2" t="s">
        <v>1414</v>
      </c>
      <c r="U1" s="2" t="s">
        <v>1356</v>
      </c>
      <c r="V1" s="2" t="s">
        <v>1357</v>
      </c>
      <c r="W1" s="3" t="s">
        <v>1358</v>
      </c>
      <c r="X1" s="3" t="s">
        <v>1359</v>
      </c>
      <c r="Y1" s="2" t="s">
        <v>1370</v>
      </c>
      <c r="Z1" s="2" t="s">
        <v>1371</v>
      </c>
      <c r="AA1" s="2" t="s">
        <v>1372</v>
      </c>
      <c r="AB1" s="2" t="s">
        <v>1408</v>
      </c>
      <c r="AC1" s="2" t="s">
        <v>1373</v>
      </c>
      <c r="AD1" s="2" t="s">
        <v>1374</v>
      </c>
      <c r="AE1" s="2" t="s">
        <v>1375</v>
      </c>
    </row>
    <row r="2" spans="1:31" x14ac:dyDescent="0.3">
      <c r="A2" t="s">
        <v>3</v>
      </c>
      <c r="B2" s="4">
        <v>45597.490972222222</v>
      </c>
      <c r="C2" t="s">
        <v>4</v>
      </c>
      <c r="D2" t="s">
        <v>1141</v>
      </c>
      <c r="E2" t="s">
        <v>1142</v>
      </c>
      <c r="F2" t="str" cm="1">
        <f t="array" ref="F2">_xlfn.IFS(
E2="Ahmedabad","Gujarat",
E2="Bengaluru","Karnataka",
E2="Bhopal","Madhya Pradesh",
E2="Bhubaneswar","Odisha",
E2="Chandigarh","Chandigarh",
E2="Chennai","Tamil Nadu",
E2="Delhi","Delhi",
E2="Guwahati","Assam",
E2="Hyderabad","Telangana",
E2="Indore","Madhya Pradesh",
E2="Jaipur","Rajasthan",
E2="Kochi","Kerala",
E2="Kolkata","West Bengal",
E2="Lucknow","Uttar Pradesh",
E2="Mumbai","Maharashtra",
E2="Nagpur","Maharashtra",
E2="Patna","Bihar",
E2="Pune","Maharashtra",
E2="Raipur","Chhattisgarh",
E2="Surat","Gujarat",
TRUE,"Not Found"
)</f>
        <v>West Bengal</v>
      </c>
      <c r="G2" t="s">
        <v>1143</v>
      </c>
      <c r="H2" t="s">
        <v>1144</v>
      </c>
      <c r="I2" t="s">
        <v>1145</v>
      </c>
      <c r="J2" t="s">
        <v>1146</v>
      </c>
      <c r="K2" t="s">
        <v>1147</v>
      </c>
      <c r="L2">
        <v>1</v>
      </c>
      <c r="M2">
        <v>14986</v>
      </c>
      <c r="N2">
        <v>0.05</v>
      </c>
      <c r="O2">
        <v>14236.7</v>
      </c>
      <c r="P2">
        <v>0.12</v>
      </c>
      <c r="Q2">
        <v>14236.7</v>
      </c>
      <c r="R2">
        <v>1708.404</v>
      </c>
      <c r="S2">
        <v>15945.103999999999</v>
      </c>
      <c r="T2">
        <f>ROUND(Table2[[#This Row],[TotalAmount]],0)</f>
        <v>15945</v>
      </c>
      <c r="U2" t="s">
        <v>1360</v>
      </c>
      <c r="V2" t="s">
        <v>1361</v>
      </c>
      <c r="W2" s="4">
        <v>45598</v>
      </c>
      <c r="X2" s="4">
        <v>45601</v>
      </c>
      <c r="Y2" t="b">
        <v>0</v>
      </c>
      <c r="Z2" t="s">
        <v>1412</v>
      </c>
      <c r="AA2" t="s">
        <v>1412</v>
      </c>
      <c r="AB2" t="s">
        <v>1412</v>
      </c>
      <c r="AC2" t="s">
        <v>1376</v>
      </c>
      <c r="AD2" t="s">
        <v>1377</v>
      </c>
      <c r="AE2" t="s">
        <v>1378</v>
      </c>
    </row>
    <row r="3" spans="1:31" x14ac:dyDescent="0.3">
      <c r="A3" t="s">
        <v>5</v>
      </c>
      <c r="B3" s="4">
        <v>45452.568749999999</v>
      </c>
      <c r="C3" t="s">
        <v>6</v>
      </c>
      <c r="D3" t="s">
        <v>1148</v>
      </c>
      <c r="E3" t="s">
        <v>1149</v>
      </c>
      <c r="F3" t="str" cm="1">
        <f t="array" ref="F3">_xlfn.IFS(
E3="Ahmedabad","Gujarat",
E3="Bengaluru","Karnataka",
E3="Bhopal","Madhya Pradesh",
E3="Bhubaneswar","Odisha",
E3="Chandigarh","Chandigarh",
E3="Chennai","Tamil Nadu",
E3="Delhi","Delhi",
E3="Guwahati","Assam",
E3="Hyderabad","Telangana",
E3="Indore","Madhya Pradesh",
E3="Jaipur","Rajasthan",
E3="Kochi","Kerala",
E3="Kolkata","West Bengal",
E3="Lucknow","Uttar Pradesh",
E3="Mumbai","Maharashtra",
E3="Nagpur","Maharashtra",
E3="Patna","Bihar",
E3="Pune","Maharashtra",
E3="Raipur","Chhattisgarh",
E3="Surat","Gujarat",
TRUE,"Not Found"
)</f>
        <v>Uttar Pradesh</v>
      </c>
      <c r="G3" t="s">
        <v>1150</v>
      </c>
      <c r="H3" t="s">
        <v>1144</v>
      </c>
      <c r="I3" t="s">
        <v>1145</v>
      </c>
      <c r="J3" t="s">
        <v>1151</v>
      </c>
      <c r="K3" t="s">
        <v>1152</v>
      </c>
      <c r="L3">
        <v>3</v>
      </c>
      <c r="M3">
        <v>9949</v>
      </c>
      <c r="N3">
        <v>0.15</v>
      </c>
      <c r="O3">
        <v>8456.65</v>
      </c>
      <c r="P3">
        <v>0.18</v>
      </c>
      <c r="Q3">
        <v>25369.95</v>
      </c>
      <c r="R3">
        <v>4566.5909999999994</v>
      </c>
      <c r="S3">
        <v>29936.541000000001</v>
      </c>
      <c r="T3">
        <f>ROUND(Table2[[#This Row],[TotalAmount]],0)</f>
        <v>29937</v>
      </c>
      <c r="U3" t="s">
        <v>1362</v>
      </c>
      <c r="V3" t="s">
        <v>1361</v>
      </c>
      <c r="W3" s="4">
        <v>45453</v>
      </c>
      <c r="X3" s="4">
        <v>45456</v>
      </c>
      <c r="Y3" t="b">
        <v>0</v>
      </c>
      <c r="Z3" t="s">
        <v>1412</v>
      </c>
      <c r="AA3" t="s">
        <v>1412</v>
      </c>
      <c r="AB3" t="s">
        <v>1412</v>
      </c>
      <c r="AC3" t="s">
        <v>1379</v>
      </c>
      <c r="AD3" t="s">
        <v>1377</v>
      </c>
      <c r="AE3" t="s">
        <v>1380</v>
      </c>
    </row>
    <row r="4" spans="1:31" x14ac:dyDescent="0.3">
      <c r="A4" t="s">
        <v>7</v>
      </c>
      <c r="B4" s="4">
        <v>45614.472916666673</v>
      </c>
      <c r="C4" t="s">
        <v>8</v>
      </c>
      <c r="D4" t="s">
        <v>1153</v>
      </c>
      <c r="E4" t="s">
        <v>1154</v>
      </c>
      <c r="F4" t="str" cm="1">
        <f t="array" ref="F4">_xlfn.IFS(
E4="Ahmedabad","Gujarat",
E4="Bengaluru","Karnataka",
E4="Bhopal","Madhya Pradesh",
E4="Bhubaneswar","Odisha",
E4="Chandigarh","Chandigarh",
E4="Chennai","Tamil Nadu",
E4="Delhi","Delhi",
E4="Guwahati","Assam",
E4="Hyderabad","Telangana",
E4="Indore","Madhya Pradesh",
E4="Jaipur","Rajasthan",
E4="Kochi","Kerala",
E4="Kolkata","West Bengal",
E4="Lucknow","Uttar Pradesh",
E4="Mumbai","Maharashtra",
E4="Nagpur","Maharashtra",
E4="Patna","Bihar",
E4="Pune","Maharashtra",
E4="Raipur","Chhattisgarh",
E4="Surat","Gujarat",
TRUE,"Not Found"
)</f>
        <v>Maharashtra</v>
      </c>
      <c r="G4" t="s">
        <v>1143</v>
      </c>
      <c r="H4" t="s">
        <v>1144</v>
      </c>
      <c r="I4" t="s">
        <v>1145</v>
      </c>
      <c r="J4" t="s">
        <v>1155</v>
      </c>
      <c r="K4" t="s">
        <v>1156</v>
      </c>
      <c r="L4">
        <v>4</v>
      </c>
      <c r="M4">
        <v>6782</v>
      </c>
      <c r="N4">
        <v>0.2</v>
      </c>
      <c r="O4">
        <v>5425.6</v>
      </c>
      <c r="P4">
        <v>0.18</v>
      </c>
      <c r="Q4">
        <v>21702.400000000001</v>
      </c>
      <c r="R4">
        <v>3906.4319999999998</v>
      </c>
      <c r="S4">
        <v>25608.831999999999</v>
      </c>
      <c r="T4">
        <f>ROUND(Table2[[#This Row],[TotalAmount]],0)</f>
        <v>25609</v>
      </c>
      <c r="U4" t="s">
        <v>1363</v>
      </c>
      <c r="V4" t="s">
        <v>1364</v>
      </c>
      <c r="W4" s="4">
        <v>45616</v>
      </c>
      <c r="X4" s="4" t="s">
        <v>1412</v>
      </c>
      <c r="Y4" t="b">
        <v>1</v>
      </c>
      <c r="Z4" s="1">
        <v>45626</v>
      </c>
      <c r="AA4" s="1">
        <v>45626</v>
      </c>
      <c r="AB4" t="s">
        <v>1381</v>
      </c>
      <c r="AC4" t="s">
        <v>1382</v>
      </c>
      <c r="AD4" t="s">
        <v>1377</v>
      </c>
      <c r="AE4" t="s">
        <v>1383</v>
      </c>
    </row>
    <row r="5" spans="1:31" x14ac:dyDescent="0.3">
      <c r="A5" t="s">
        <v>9</v>
      </c>
      <c r="B5" s="4">
        <v>45318.476388888892</v>
      </c>
      <c r="C5" t="s">
        <v>10</v>
      </c>
      <c r="D5" t="s">
        <v>1157</v>
      </c>
      <c r="E5" t="s">
        <v>1158</v>
      </c>
      <c r="F5" t="str" cm="1">
        <f t="array" ref="F5">_xlfn.IFS(
E5="Ahmedabad","Gujarat",
E5="Bengaluru","Karnataka",
E5="Bhopal","Madhya Pradesh",
E5="Bhubaneswar","Odisha",
E5="Chandigarh","Chandigarh",
E5="Chennai","Tamil Nadu",
E5="Delhi","Delhi",
E5="Guwahati","Assam",
E5="Hyderabad","Telangana",
E5="Indore","Madhya Pradesh",
E5="Jaipur","Rajasthan",
E5="Kochi","Kerala",
E5="Kolkata","West Bengal",
E5="Lucknow","Uttar Pradesh",
E5="Mumbai","Maharashtra",
E5="Nagpur","Maharashtra",
E5="Patna","Bihar",
E5="Pune","Maharashtra",
E5="Raipur","Chhattisgarh",
E5="Surat","Gujarat",
TRUE,"Not Found"
)</f>
        <v>Gujarat</v>
      </c>
      <c r="G5" t="s">
        <v>1150</v>
      </c>
      <c r="H5" t="s">
        <v>1144</v>
      </c>
      <c r="I5" t="s">
        <v>1159</v>
      </c>
      <c r="J5" t="s">
        <v>1160</v>
      </c>
      <c r="K5" t="s">
        <v>1161</v>
      </c>
      <c r="L5">
        <v>3</v>
      </c>
      <c r="M5">
        <v>5201</v>
      </c>
      <c r="N5">
        <v>0</v>
      </c>
      <c r="O5">
        <v>5201</v>
      </c>
      <c r="P5">
        <v>0.05</v>
      </c>
      <c r="Q5">
        <v>15603</v>
      </c>
      <c r="R5">
        <v>780.15000000000009</v>
      </c>
      <c r="S5">
        <v>16383.15</v>
      </c>
      <c r="T5">
        <f>ROUND(Table2[[#This Row],[TotalAmount]],0)</f>
        <v>16383</v>
      </c>
      <c r="U5" t="s">
        <v>1360</v>
      </c>
      <c r="V5" t="s">
        <v>1361</v>
      </c>
      <c r="W5" s="4">
        <v>45319</v>
      </c>
      <c r="X5" s="4">
        <v>45320</v>
      </c>
      <c r="Y5" t="b">
        <v>0</v>
      </c>
      <c r="Z5" t="s">
        <v>1412</v>
      </c>
      <c r="AA5" t="s">
        <v>1412</v>
      </c>
      <c r="AB5" t="s">
        <v>1412</v>
      </c>
      <c r="AC5" t="s">
        <v>1384</v>
      </c>
      <c r="AD5" t="s">
        <v>1385</v>
      </c>
      <c r="AE5" t="s">
        <v>1383</v>
      </c>
    </row>
    <row r="6" spans="1:31" x14ac:dyDescent="0.3">
      <c r="A6" t="s">
        <v>11</v>
      </c>
      <c r="B6" s="4">
        <v>45627.498611111107</v>
      </c>
      <c r="C6" t="s">
        <v>12</v>
      </c>
      <c r="D6" t="s">
        <v>1153</v>
      </c>
      <c r="E6" t="s">
        <v>1162</v>
      </c>
      <c r="F6" t="str" cm="1">
        <f t="array" ref="F6">_xlfn.IFS(
E6="Ahmedabad","Gujarat",
E6="Bengaluru","Karnataka",
E6="Bhopal","Madhya Pradesh",
E6="Bhubaneswar","Odisha",
E6="Chandigarh","Chandigarh",
E6="Chennai","Tamil Nadu",
E6="Delhi","Delhi",
E6="Guwahati","Assam",
E6="Hyderabad","Telangana",
E6="Indore","Madhya Pradesh",
E6="Jaipur","Rajasthan",
E6="Kochi","Kerala",
E6="Kolkata","West Bengal",
E6="Lucknow","Uttar Pradesh",
E6="Mumbai","Maharashtra",
E6="Nagpur","Maharashtra",
E6="Patna","Bihar",
E6="Pune","Maharashtra",
E6="Raipur","Chhattisgarh",
E6="Surat","Gujarat",
TRUE,"Not Found"
)</f>
        <v>Madhya Pradesh</v>
      </c>
      <c r="G6" t="s">
        <v>1143</v>
      </c>
      <c r="H6" t="s">
        <v>1163</v>
      </c>
      <c r="I6" t="s">
        <v>1164</v>
      </c>
      <c r="J6" t="s">
        <v>1165</v>
      </c>
      <c r="K6" t="s">
        <v>1166</v>
      </c>
      <c r="L6">
        <v>2</v>
      </c>
      <c r="M6">
        <v>730</v>
      </c>
      <c r="N6">
        <v>0.15</v>
      </c>
      <c r="O6">
        <v>620.5</v>
      </c>
      <c r="P6">
        <v>0.18</v>
      </c>
      <c r="Q6">
        <v>1241</v>
      </c>
      <c r="R6">
        <v>223.38</v>
      </c>
      <c r="S6">
        <v>1464.38</v>
      </c>
      <c r="T6">
        <f>ROUND(Table2[[#This Row],[TotalAmount]],0)</f>
        <v>1464</v>
      </c>
      <c r="U6" t="s">
        <v>1365</v>
      </c>
      <c r="V6" t="s">
        <v>1361</v>
      </c>
      <c r="W6" s="4">
        <v>45629</v>
      </c>
      <c r="X6" s="4">
        <v>45630</v>
      </c>
      <c r="Y6" t="b">
        <v>0</v>
      </c>
      <c r="Z6" t="s">
        <v>1412</v>
      </c>
      <c r="AA6" t="s">
        <v>1412</v>
      </c>
      <c r="AB6" t="s">
        <v>1412</v>
      </c>
      <c r="AC6" t="s">
        <v>1386</v>
      </c>
      <c r="AD6" t="s">
        <v>1387</v>
      </c>
      <c r="AE6" t="s">
        <v>1383</v>
      </c>
    </row>
    <row r="7" spans="1:31" x14ac:dyDescent="0.3">
      <c r="A7" t="s">
        <v>13</v>
      </c>
      <c r="B7" s="4">
        <v>45358.463888888888</v>
      </c>
      <c r="C7" t="s">
        <v>14</v>
      </c>
      <c r="D7" t="s">
        <v>1153</v>
      </c>
      <c r="E7" t="s">
        <v>1162</v>
      </c>
      <c r="F7" t="str" cm="1">
        <f t="array" ref="F7">_xlfn.IFS(
E7="Ahmedabad","Gujarat",
E7="Bengaluru","Karnataka",
E7="Bhopal","Madhya Pradesh",
E7="Bhubaneswar","Odisha",
E7="Chandigarh","Chandigarh",
E7="Chennai","Tamil Nadu",
E7="Delhi","Delhi",
E7="Guwahati","Assam",
E7="Hyderabad","Telangana",
E7="Indore","Madhya Pradesh",
E7="Jaipur","Rajasthan",
E7="Kochi","Kerala",
E7="Kolkata","West Bengal",
E7="Lucknow","Uttar Pradesh",
E7="Mumbai","Maharashtra",
E7="Nagpur","Maharashtra",
E7="Patna","Bihar",
E7="Pune","Maharashtra",
E7="Raipur","Chhattisgarh",
E7="Surat","Gujarat",
TRUE,"Not Found"
)</f>
        <v>Madhya Pradesh</v>
      </c>
      <c r="G7" t="s">
        <v>1150</v>
      </c>
      <c r="H7" t="s">
        <v>1167</v>
      </c>
      <c r="I7" t="s">
        <v>1168</v>
      </c>
      <c r="J7" t="s">
        <v>1169</v>
      </c>
      <c r="K7" t="s">
        <v>1170</v>
      </c>
      <c r="L7">
        <v>2</v>
      </c>
      <c r="M7">
        <v>59543</v>
      </c>
      <c r="N7">
        <v>0.05</v>
      </c>
      <c r="O7">
        <v>56565.85</v>
      </c>
      <c r="P7">
        <v>0.12</v>
      </c>
      <c r="Q7">
        <v>113131.7</v>
      </c>
      <c r="R7">
        <v>13575.804</v>
      </c>
      <c r="S7">
        <v>126707.504</v>
      </c>
      <c r="T7">
        <f>ROUND(Table2[[#This Row],[TotalAmount]],0)</f>
        <v>126708</v>
      </c>
      <c r="U7" t="s">
        <v>1360</v>
      </c>
      <c r="V7" t="s">
        <v>1361</v>
      </c>
      <c r="W7" s="4">
        <v>45359</v>
      </c>
      <c r="X7" s="4">
        <v>45361</v>
      </c>
      <c r="Y7" t="b">
        <v>0</v>
      </c>
      <c r="Z7" t="s">
        <v>1412</v>
      </c>
      <c r="AA7" t="s">
        <v>1412</v>
      </c>
      <c r="AB7" t="s">
        <v>1412</v>
      </c>
      <c r="AC7" t="s">
        <v>1388</v>
      </c>
      <c r="AD7" t="s">
        <v>1377</v>
      </c>
      <c r="AE7" t="s">
        <v>1378</v>
      </c>
    </row>
    <row r="8" spans="1:31" x14ac:dyDescent="0.3">
      <c r="A8" t="s">
        <v>15</v>
      </c>
      <c r="B8" s="4">
        <v>45716.523611111108</v>
      </c>
      <c r="C8" t="s">
        <v>16</v>
      </c>
      <c r="D8" t="s">
        <v>1148</v>
      </c>
      <c r="E8" t="s">
        <v>1171</v>
      </c>
      <c r="F8" t="str" cm="1">
        <f t="array" ref="F8">_xlfn.IFS(
E8="Ahmedabad","Gujarat",
E8="Bengaluru","Karnataka",
E8="Bhopal","Madhya Pradesh",
E8="Bhubaneswar","Odisha",
E8="Chandigarh","Chandigarh",
E8="Chennai","Tamil Nadu",
E8="Delhi","Delhi",
E8="Guwahati","Assam",
E8="Hyderabad","Telangana",
E8="Indore","Madhya Pradesh",
E8="Jaipur","Rajasthan",
E8="Kochi","Kerala",
E8="Kolkata","West Bengal",
E8="Lucknow","Uttar Pradesh",
E8="Mumbai","Maharashtra",
E8="Nagpur","Maharashtra",
E8="Patna","Bihar",
E8="Pune","Maharashtra",
E8="Raipur","Chhattisgarh",
E8="Surat","Gujarat",
TRUE,"Not Found"
)</f>
        <v>Chandigarh</v>
      </c>
      <c r="G8" t="s">
        <v>1143</v>
      </c>
      <c r="H8" t="s">
        <v>1172</v>
      </c>
      <c r="I8" t="s">
        <v>1173</v>
      </c>
      <c r="J8" t="s">
        <v>1174</v>
      </c>
      <c r="K8" t="s">
        <v>1175</v>
      </c>
      <c r="L8">
        <v>3</v>
      </c>
      <c r="M8">
        <v>5345</v>
      </c>
      <c r="N8">
        <v>0.1</v>
      </c>
      <c r="O8">
        <v>4810.5</v>
      </c>
      <c r="P8">
        <v>0.12</v>
      </c>
      <c r="Q8">
        <v>14431.5</v>
      </c>
      <c r="R8">
        <v>1731.78</v>
      </c>
      <c r="S8">
        <v>16163.28</v>
      </c>
      <c r="T8">
        <f>ROUND(Table2[[#This Row],[TotalAmount]],0)</f>
        <v>16163</v>
      </c>
      <c r="U8" t="s">
        <v>1365</v>
      </c>
      <c r="V8" t="s">
        <v>1361</v>
      </c>
      <c r="W8" s="4">
        <v>45717</v>
      </c>
      <c r="X8" s="4">
        <v>45722</v>
      </c>
      <c r="Y8" t="b">
        <v>0</v>
      </c>
      <c r="Z8" t="s">
        <v>1412</v>
      </c>
      <c r="AA8" t="s">
        <v>1412</v>
      </c>
      <c r="AB8" t="s">
        <v>1412</v>
      </c>
      <c r="AC8" t="s">
        <v>1388</v>
      </c>
      <c r="AD8" t="s">
        <v>1385</v>
      </c>
      <c r="AE8" t="s">
        <v>1389</v>
      </c>
    </row>
    <row r="9" spans="1:31" x14ac:dyDescent="0.3">
      <c r="A9" t="s">
        <v>17</v>
      </c>
      <c r="B9" s="4">
        <v>45452.529166666667</v>
      </c>
      <c r="C9" t="s">
        <v>18</v>
      </c>
      <c r="D9" t="s">
        <v>1153</v>
      </c>
      <c r="E9" t="s">
        <v>1176</v>
      </c>
      <c r="F9" t="str" cm="1">
        <f t="array" ref="F9">_xlfn.IFS(
E9="Ahmedabad","Gujarat",
E9="Bengaluru","Karnataka",
E9="Bhopal","Madhya Pradesh",
E9="Bhubaneswar","Odisha",
E9="Chandigarh","Chandigarh",
E9="Chennai","Tamil Nadu",
E9="Delhi","Delhi",
E9="Guwahati","Assam",
E9="Hyderabad","Telangana",
E9="Indore","Madhya Pradesh",
E9="Jaipur","Rajasthan",
E9="Kochi","Kerala",
E9="Kolkata","West Bengal",
E9="Lucknow","Uttar Pradesh",
E9="Mumbai","Maharashtra",
E9="Nagpur","Maharashtra",
E9="Patna","Bihar",
E9="Pune","Maharashtra",
E9="Raipur","Chhattisgarh",
E9="Surat","Gujarat",
TRUE,"Not Found"
)</f>
        <v>Chhattisgarh</v>
      </c>
      <c r="G9" t="s">
        <v>1143</v>
      </c>
      <c r="H9" t="s">
        <v>1177</v>
      </c>
      <c r="I9" t="s">
        <v>1178</v>
      </c>
      <c r="J9" t="s">
        <v>1179</v>
      </c>
      <c r="K9" t="s">
        <v>1180</v>
      </c>
      <c r="L9">
        <v>4</v>
      </c>
      <c r="M9">
        <v>1607</v>
      </c>
      <c r="N9">
        <v>0</v>
      </c>
      <c r="O9">
        <v>1607</v>
      </c>
      <c r="P9">
        <v>0.12</v>
      </c>
      <c r="Q9">
        <v>6428</v>
      </c>
      <c r="R9">
        <v>771.36</v>
      </c>
      <c r="S9">
        <v>7199.36</v>
      </c>
      <c r="T9">
        <f>ROUND(Table2[[#This Row],[TotalAmount]],0)</f>
        <v>7199</v>
      </c>
      <c r="U9" t="s">
        <v>1366</v>
      </c>
      <c r="V9" t="s">
        <v>1367</v>
      </c>
      <c r="W9" s="4">
        <v>45453</v>
      </c>
      <c r="X9" s="4" t="s">
        <v>1412</v>
      </c>
      <c r="Y9" t="b">
        <v>0</v>
      </c>
      <c r="Z9" t="s">
        <v>1412</v>
      </c>
      <c r="AA9" t="s">
        <v>1412</v>
      </c>
      <c r="AB9" t="s">
        <v>1412</v>
      </c>
      <c r="AC9" t="s">
        <v>1390</v>
      </c>
      <c r="AD9" t="s">
        <v>1385</v>
      </c>
      <c r="AE9" t="s">
        <v>1391</v>
      </c>
    </row>
    <row r="10" spans="1:31" x14ac:dyDescent="0.3">
      <c r="A10" t="s">
        <v>19</v>
      </c>
      <c r="B10" s="4">
        <v>45602.490972222222</v>
      </c>
      <c r="C10" t="s">
        <v>20</v>
      </c>
      <c r="D10" t="s">
        <v>1157</v>
      </c>
      <c r="E10" t="s">
        <v>1181</v>
      </c>
      <c r="F10" t="str" cm="1">
        <f t="array" ref="F10">_xlfn.IFS(
E10="Ahmedabad","Gujarat",
E10="Bengaluru","Karnataka",
E10="Bhopal","Madhya Pradesh",
E10="Bhubaneswar","Odisha",
E10="Chandigarh","Chandigarh",
E10="Chennai","Tamil Nadu",
E10="Delhi","Delhi",
E10="Guwahati","Assam",
E10="Hyderabad","Telangana",
E10="Indore","Madhya Pradesh",
E10="Jaipur","Rajasthan",
E10="Kochi","Kerala",
E10="Kolkata","West Bengal",
E10="Lucknow","Uttar Pradesh",
E10="Mumbai","Maharashtra",
E10="Nagpur","Maharashtra",
E10="Patna","Bihar",
E10="Pune","Maharashtra",
E10="Raipur","Chhattisgarh",
E10="Surat","Gujarat",
TRUE,"Not Found"
)</f>
        <v>Gujarat</v>
      </c>
      <c r="G10" t="s">
        <v>1143</v>
      </c>
      <c r="H10" t="s">
        <v>1144</v>
      </c>
      <c r="I10" t="s">
        <v>1145</v>
      </c>
      <c r="J10" t="s">
        <v>1146</v>
      </c>
      <c r="K10" t="s">
        <v>1147</v>
      </c>
      <c r="L10">
        <v>1</v>
      </c>
      <c r="M10">
        <v>2340</v>
      </c>
      <c r="N10">
        <v>0.1</v>
      </c>
      <c r="O10">
        <v>2106</v>
      </c>
      <c r="P10">
        <v>0.12</v>
      </c>
      <c r="Q10">
        <v>2106</v>
      </c>
      <c r="R10">
        <v>252.72</v>
      </c>
      <c r="S10">
        <v>2358.7199999999998</v>
      </c>
      <c r="T10">
        <f>ROUND(Table2[[#This Row],[TotalAmount]],0)</f>
        <v>2359</v>
      </c>
      <c r="U10" t="s">
        <v>1362</v>
      </c>
      <c r="V10" t="s">
        <v>1361</v>
      </c>
      <c r="W10" s="4">
        <v>45602</v>
      </c>
      <c r="X10" s="4">
        <v>45607</v>
      </c>
      <c r="Y10" t="b">
        <v>0</v>
      </c>
      <c r="Z10" t="s">
        <v>1412</v>
      </c>
      <c r="AA10" t="s">
        <v>1412</v>
      </c>
      <c r="AB10" t="s">
        <v>1412</v>
      </c>
      <c r="AC10" t="s">
        <v>1392</v>
      </c>
      <c r="AD10" t="s">
        <v>1387</v>
      </c>
      <c r="AE10" t="s">
        <v>1393</v>
      </c>
    </row>
    <row r="11" spans="1:31" x14ac:dyDescent="0.3">
      <c r="A11" t="s">
        <v>21</v>
      </c>
      <c r="B11" s="4">
        <v>45373.501388888893</v>
      </c>
      <c r="C11" t="s">
        <v>22</v>
      </c>
      <c r="D11" t="s">
        <v>1182</v>
      </c>
      <c r="E11" t="s">
        <v>1183</v>
      </c>
      <c r="F11" t="str" cm="1">
        <f t="array" ref="F11">_xlfn.IFS(
E11="Ahmedabad","Gujarat",
E11="Bengaluru","Karnataka",
E11="Bhopal","Madhya Pradesh",
E11="Bhubaneswar","Odisha",
E11="Chandigarh","Chandigarh",
E11="Chennai","Tamil Nadu",
E11="Delhi","Delhi",
E11="Guwahati","Assam",
E11="Hyderabad","Telangana",
E11="Indore","Madhya Pradesh",
E11="Jaipur","Rajasthan",
E11="Kochi","Kerala",
E11="Kolkata","West Bengal",
E11="Lucknow","Uttar Pradesh",
E11="Mumbai","Maharashtra",
E11="Nagpur","Maharashtra",
E11="Patna","Bihar",
E11="Pune","Maharashtra",
E11="Raipur","Chhattisgarh",
E11="Surat","Gujarat",
TRUE,"Not Found"
)</f>
        <v>Telangana</v>
      </c>
      <c r="G11" t="s">
        <v>1143</v>
      </c>
      <c r="H11" t="s">
        <v>1163</v>
      </c>
      <c r="I11" t="s">
        <v>1184</v>
      </c>
      <c r="J11" t="s">
        <v>1185</v>
      </c>
      <c r="K11" t="s">
        <v>1186</v>
      </c>
      <c r="L11">
        <v>5</v>
      </c>
      <c r="M11">
        <v>308</v>
      </c>
      <c r="N11">
        <v>0</v>
      </c>
      <c r="O11">
        <v>308</v>
      </c>
      <c r="P11">
        <v>0.12</v>
      </c>
      <c r="Q11">
        <v>1540</v>
      </c>
      <c r="R11">
        <v>184.8</v>
      </c>
      <c r="S11">
        <v>1724.8</v>
      </c>
      <c r="T11">
        <f>ROUND(Table2[[#This Row],[TotalAmount]],0)</f>
        <v>1725</v>
      </c>
      <c r="U11" t="s">
        <v>1362</v>
      </c>
      <c r="V11" t="s">
        <v>1361</v>
      </c>
      <c r="W11" s="4">
        <v>45374</v>
      </c>
      <c r="X11" s="4">
        <v>45376</v>
      </c>
      <c r="Y11" t="b">
        <v>0</v>
      </c>
      <c r="Z11" t="s">
        <v>1412</v>
      </c>
      <c r="AA11" t="s">
        <v>1412</v>
      </c>
      <c r="AB11" t="s">
        <v>1412</v>
      </c>
      <c r="AC11" t="s">
        <v>1384</v>
      </c>
      <c r="AD11" t="s">
        <v>1394</v>
      </c>
      <c r="AE11" t="s">
        <v>1395</v>
      </c>
    </row>
    <row r="12" spans="1:31" x14ac:dyDescent="0.3">
      <c r="A12" t="s">
        <v>23</v>
      </c>
      <c r="B12" s="4">
        <v>45529.553472222222</v>
      </c>
      <c r="C12" t="s">
        <v>24</v>
      </c>
      <c r="D12" t="s">
        <v>1153</v>
      </c>
      <c r="E12" t="s">
        <v>1154</v>
      </c>
      <c r="F12" t="str" cm="1">
        <f t="array" ref="F12">_xlfn.IFS(
E12="Ahmedabad","Gujarat",
E12="Bengaluru","Karnataka",
E12="Bhopal","Madhya Pradesh",
E12="Bhubaneswar","Odisha",
E12="Chandigarh","Chandigarh",
E12="Chennai","Tamil Nadu",
E12="Delhi","Delhi",
E12="Guwahati","Assam",
E12="Hyderabad","Telangana",
E12="Indore","Madhya Pradesh",
E12="Jaipur","Rajasthan",
E12="Kochi","Kerala",
E12="Kolkata","West Bengal",
E12="Lucknow","Uttar Pradesh",
E12="Mumbai","Maharashtra",
E12="Nagpur","Maharashtra",
E12="Patna","Bihar",
E12="Pune","Maharashtra",
E12="Raipur","Chhattisgarh",
E12="Surat","Gujarat",
TRUE,"Not Found"
)</f>
        <v>Maharashtra</v>
      </c>
      <c r="G12" t="s">
        <v>1187</v>
      </c>
      <c r="H12" t="s">
        <v>1172</v>
      </c>
      <c r="I12" t="s">
        <v>1188</v>
      </c>
      <c r="J12" t="s">
        <v>1189</v>
      </c>
      <c r="K12" t="s">
        <v>1190</v>
      </c>
      <c r="L12">
        <v>2</v>
      </c>
      <c r="M12">
        <v>2696</v>
      </c>
      <c r="N12">
        <v>0.1</v>
      </c>
      <c r="O12">
        <v>2426.4</v>
      </c>
      <c r="P12">
        <v>0.05</v>
      </c>
      <c r="Q12">
        <v>4852.8</v>
      </c>
      <c r="R12">
        <v>242.64</v>
      </c>
      <c r="S12">
        <v>5095.4400000000014</v>
      </c>
      <c r="T12">
        <f>ROUND(Table2[[#This Row],[TotalAmount]],0)</f>
        <v>5095</v>
      </c>
      <c r="U12" t="s">
        <v>1366</v>
      </c>
      <c r="V12" t="s">
        <v>1368</v>
      </c>
      <c r="W12" s="4">
        <v>45530</v>
      </c>
      <c r="X12" s="4" t="s">
        <v>1412</v>
      </c>
      <c r="Y12" t="b">
        <v>0</v>
      </c>
      <c r="Z12" t="s">
        <v>1412</v>
      </c>
      <c r="AA12" t="s">
        <v>1412</v>
      </c>
      <c r="AB12" t="s">
        <v>1412</v>
      </c>
      <c r="AC12" t="s">
        <v>1396</v>
      </c>
      <c r="AD12" t="s">
        <v>1385</v>
      </c>
      <c r="AE12" t="s">
        <v>1389</v>
      </c>
    </row>
    <row r="13" spans="1:31" x14ac:dyDescent="0.3">
      <c r="A13" t="s">
        <v>25</v>
      </c>
      <c r="B13" s="4">
        <v>45368.400694444441</v>
      </c>
      <c r="C13" t="s">
        <v>26</v>
      </c>
      <c r="D13" t="s">
        <v>1153</v>
      </c>
      <c r="E13" t="s">
        <v>1191</v>
      </c>
      <c r="F13" t="str" cm="1">
        <f t="array" ref="F13">_xlfn.IFS(
E13="Ahmedabad","Gujarat",
E13="Bengaluru","Karnataka",
E13="Bhopal","Madhya Pradesh",
E13="Bhubaneswar","Odisha",
E13="Chandigarh","Chandigarh",
E13="Chennai","Tamil Nadu",
E13="Delhi","Delhi",
E13="Guwahati","Assam",
E13="Hyderabad","Telangana",
E13="Indore","Madhya Pradesh",
E13="Jaipur","Rajasthan",
E13="Kochi","Kerala",
E13="Kolkata","West Bengal",
E13="Lucknow","Uttar Pradesh",
E13="Mumbai","Maharashtra",
E13="Nagpur","Maharashtra",
E13="Patna","Bihar",
E13="Pune","Maharashtra",
E13="Raipur","Chhattisgarh",
E13="Surat","Gujarat",
TRUE,"Not Found"
)</f>
        <v>Madhya Pradesh</v>
      </c>
      <c r="G13" t="s">
        <v>1150</v>
      </c>
      <c r="H13" t="s">
        <v>1177</v>
      </c>
      <c r="I13" t="s">
        <v>1192</v>
      </c>
      <c r="J13" t="s">
        <v>1193</v>
      </c>
      <c r="K13" t="s">
        <v>1194</v>
      </c>
      <c r="L13">
        <v>2</v>
      </c>
      <c r="M13">
        <v>570</v>
      </c>
      <c r="N13">
        <v>0.05</v>
      </c>
      <c r="O13">
        <v>541.5</v>
      </c>
      <c r="P13">
        <v>0.12</v>
      </c>
      <c r="Q13">
        <v>1083</v>
      </c>
      <c r="R13">
        <v>129.96</v>
      </c>
      <c r="S13">
        <v>1212.96</v>
      </c>
      <c r="T13">
        <f>ROUND(Table2[[#This Row],[TotalAmount]],0)</f>
        <v>1213</v>
      </c>
      <c r="U13" t="s">
        <v>1362</v>
      </c>
      <c r="V13" t="s">
        <v>1361</v>
      </c>
      <c r="W13" s="4">
        <v>45369</v>
      </c>
      <c r="X13" s="4">
        <v>45372</v>
      </c>
      <c r="Y13" t="b">
        <v>0</v>
      </c>
      <c r="Z13" t="s">
        <v>1412</v>
      </c>
      <c r="AA13" t="s">
        <v>1412</v>
      </c>
      <c r="AB13" t="s">
        <v>1412</v>
      </c>
      <c r="AC13" t="s">
        <v>1384</v>
      </c>
      <c r="AD13" t="s">
        <v>1394</v>
      </c>
      <c r="AE13" t="s">
        <v>1378</v>
      </c>
    </row>
    <row r="14" spans="1:31" x14ac:dyDescent="0.3">
      <c r="A14" t="s">
        <v>27</v>
      </c>
      <c r="B14" s="4">
        <v>45750.501388888893</v>
      </c>
      <c r="C14" t="s">
        <v>28</v>
      </c>
      <c r="D14" t="s">
        <v>1153</v>
      </c>
      <c r="E14" t="s">
        <v>1162</v>
      </c>
      <c r="F14" t="str" cm="1">
        <f t="array" ref="F14">_xlfn.IFS(
E14="Ahmedabad","Gujarat",
E14="Bengaluru","Karnataka",
E14="Bhopal","Madhya Pradesh",
E14="Bhubaneswar","Odisha",
E14="Chandigarh","Chandigarh",
E14="Chennai","Tamil Nadu",
E14="Delhi","Delhi",
E14="Guwahati","Assam",
E14="Hyderabad","Telangana",
E14="Indore","Madhya Pradesh",
E14="Jaipur","Rajasthan",
E14="Kochi","Kerala",
E14="Kolkata","West Bengal",
E14="Lucknow","Uttar Pradesh",
E14="Mumbai","Maharashtra",
E14="Nagpur","Maharashtra",
E14="Patna","Bihar",
E14="Pune","Maharashtra",
E14="Raipur","Chhattisgarh",
E14="Surat","Gujarat",
TRUE,"Not Found"
)</f>
        <v>Madhya Pradesh</v>
      </c>
      <c r="G14" t="s">
        <v>1143</v>
      </c>
      <c r="H14" t="s">
        <v>1177</v>
      </c>
      <c r="I14" t="s">
        <v>1195</v>
      </c>
      <c r="J14" t="s">
        <v>1196</v>
      </c>
      <c r="K14" t="s">
        <v>1197</v>
      </c>
      <c r="L14">
        <v>1</v>
      </c>
      <c r="M14">
        <v>1363</v>
      </c>
      <c r="N14">
        <v>0.05</v>
      </c>
      <c r="O14">
        <v>1294.8499999999999</v>
      </c>
      <c r="P14">
        <v>0.05</v>
      </c>
      <c r="Q14">
        <v>1294.8499999999999</v>
      </c>
      <c r="R14">
        <v>64.742499999999993</v>
      </c>
      <c r="S14">
        <v>1359.5925</v>
      </c>
      <c r="T14">
        <f>ROUND(Table2[[#This Row],[TotalAmount]],0)</f>
        <v>1360</v>
      </c>
      <c r="U14" t="s">
        <v>1360</v>
      </c>
      <c r="V14" t="s">
        <v>1361</v>
      </c>
      <c r="W14" s="4">
        <v>45750</v>
      </c>
      <c r="X14" s="4">
        <v>45753</v>
      </c>
      <c r="Y14" t="b">
        <v>0</v>
      </c>
      <c r="Z14" t="s">
        <v>1412</v>
      </c>
      <c r="AA14" t="s">
        <v>1412</v>
      </c>
      <c r="AB14" t="s">
        <v>1412</v>
      </c>
      <c r="AC14" t="s">
        <v>1390</v>
      </c>
      <c r="AD14" t="s">
        <v>1397</v>
      </c>
      <c r="AE14" t="s">
        <v>1391</v>
      </c>
    </row>
    <row r="15" spans="1:31" x14ac:dyDescent="0.3">
      <c r="A15" t="s">
        <v>29</v>
      </c>
      <c r="B15" s="4">
        <v>45661.683333333327</v>
      </c>
      <c r="C15" t="s">
        <v>30</v>
      </c>
      <c r="D15" t="s">
        <v>1153</v>
      </c>
      <c r="E15" t="s">
        <v>1162</v>
      </c>
      <c r="F15" t="str" cm="1">
        <f t="array" ref="F15">_xlfn.IFS(
E15="Ahmedabad","Gujarat",
E15="Bengaluru","Karnataka",
E15="Bhopal","Madhya Pradesh",
E15="Bhubaneswar","Odisha",
E15="Chandigarh","Chandigarh",
E15="Chennai","Tamil Nadu",
E15="Delhi","Delhi",
E15="Guwahati","Assam",
E15="Hyderabad","Telangana",
E15="Indore","Madhya Pradesh",
E15="Jaipur","Rajasthan",
E15="Kochi","Kerala",
E15="Kolkata","West Bengal",
E15="Lucknow","Uttar Pradesh",
E15="Mumbai","Maharashtra",
E15="Nagpur","Maharashtra",
E15="Patna","Bihar",
E15="Pune","Maharashtra",
E15="Raipur","Chhattisgarh",
E15="Surat","Gujarat",
TRUE,"Not Found"
)</f>
        <v>Madhya Pradesh</v>
      </c>
      <c r="G15" t="s">
        <v>1187</v>
      </c>
      <c r="H15" t="s">
        <v>1172</v>
      </c>
      <c r="I15" t="s">
        <v>1198</v>
      </c>
      <c r="J15" t="s">
        <v>1199</v>
      </c>
      <c r="K15" t="s">
        <v>1200</v>
      </c>
      <c r="L15">
        <v>2</v>
      </c>
      <c r="M15">
        <v>9370</v>
      </c>
      <c r="N15">
        <v>0.1</v>
      </c>
      <c r="O15">
        <v>8433</v>
      </c>
      <c r="P15">
        <v>0.12</v>
      </c>
      <c r="Q15">
        <v>16866</v>
      </c>
      <c r="R15">
        <v>2023.92</v>
      </c>
      <c r="S15">
        <v>18889.919999999998</v>
      </c>
      <c r="T15">
        <f>ROUND(Table2[[#This Row],[TotalAmount]],0)</f>
        <v>18890</v>
      </c>
      <c r="U15" t="s">
        <v>1363</v>
      </c>
      <c r="V15" t="s">
        <v>1361</v>
      </c>
      <c r="W15" s="4">
        <v>45662</v>
      </c>
      <c r="X15" s="4">
        <v>45665</v>
      </c>
      <c r="Y15" t="b">
        <v>0</v>
      </c>
      <c r="Z15" t="s">
        <v>1412</v>
      </c>
      <c r="AA15" t="s">
        <v>1412</v>
      </c>
      <c r="AB15" t="s">
        <v>1412</v>
      </c>
      <c r="AC15" t="s">
        <v>1398</v>
      </c>
      <c r="AD15" t="s">
        <v>1399</v>
      </c>
      <c r="AE15" t="s">
        <v>1378</v>
      </c>
    </row>
    <row r="16" spans="1:31" x14ac:dyDescent="0.3">
      <c r="A16" t="s">
        <v>31</v>
      </c>
      <c r="B16" s="4">
        <v>45636.591666666667</v>
      </c>
      <c r="C16" t="s">
        <v>32</v>
      </c>
      <c r="D16" t="s">
        <v>1157</v>
      </c>
      <c r="E16" t="s">
        <v>1201</v>
      </c>
      <c r="F16" t="str" cm="1">
        <f t="array" ref="F16">_xlfn.IFS(
E16="Ahmedabad","Gujarat",
E16="Bengaluru","Karnataka",
E16="Bhopal","Madhya Pradesh",
E16="Bhubaneswar","Odisha",
E16="Chandigarh","Chandigarh",
E16="Chennai","Tamil Nadu",
E16="Delhi","Delhi",
E16="Guwahati","Assam",
E16="Hyderabad","Telangana",
E16="Indore","Madhya Pradesh",
E16="Jaipur","Rajasthan",
E16="Kochi","Kerala",
E16="Kolkata","West Bengal",
E16="Lucknow","Uttar Pradesh",
E16="Mumbai","Maharashtra",
E16="Nagpur","Maharashtra",
E16="Patna","Bihar",
E16="Pune","Maharashtra",
E16="Raipur","Chhattisgarh",
E16="Surat","Gujarat",
TRUE,"Not Found"
)</f>
        <v>Maharashtra</v>
      </c>
      <c r="G16" t="s">
        <v>1143</v>
      </c>
      <c r="H16" t="s">
        <v>1177</v>
      </c>
      <c r="I16" t="s">
        <v>1195</v>
      </c>
      <c r="J16" t="s">
        <v>1202</v>
      </c>
      <c r="K16" t="s">
        <v>1203</v>
      </c>
      <c r="L16">
        <v>2</v>
      </c>
      <c r="M16">
        <v>1267</v>
      </c>
      <c r="N16">
        <v>0.1</v>
      </c>
      <c r="O16">
        <v>1140.3</v>
      </c>
      <c r="P16">
        <v>0.12</v>
      </c>
      <c r="Q16">
        <v>2280.6</v>
      </c>
      <c r="R16">
        <v>273.67200000000003</v>
      </c>
      <c r="S16">
        <v>2554.2719999999999</v>
      </c>
      <c r="T16">
        <f>ROUND(Table2[[#This Row],[TotalAmount]],0)</f>
        <v>2554</v>
      </c>
      <c r="U16" t="s">
        <v>1365</v>
      </c>
      <c r="V16" t="s">
        <v>1368</v>
      </c>
      <c r="W16" s="4">
        <v>45636</v>
      </c>
      <c r="X16" s="4" t="s">
        <v>1412</v>
      </c>
      <c r="Y16" t="b">
        <v>0</v>
      </c>
      <c r="Z16" t="s">
        <v>1412</v>
      </c>
      <c r="AA16" t="s">
        <v>1412</v>
      </c>
      <c r="AB16" t="s">
        <v>1412</v>
      </c>
      <c r="AC16" t="s">
        <v>1396</v>
      </c>
      <c r="AD16" t="s">
        <v>1399</v>
      </c>
      <c r="AE16" t="s">
        <v>1380</v>
      </c>
    </row>
    <row r="17" spans="1:31" x14ac:dyDescent="0.3">
      <c r="A17" t="s">
        <v>33</v>
      </c>
      <c r="B17" s="4">
        <v>45617.612500000003</v>
      </c>
      <c r="C17" t="s">
        <v>34</v>
      </c>
      <c r="D17" t="s">
        <v>1148</v>
      </c>
      <c r="E17" t="s">
        <v>1149</v>
      </c>
      <c r="F17" t="str" cm="1">
        <f t="array" ref="F17">_xlfn.IFS(
E17="Ahmedabad","Gujarat",
E17="Bengaluru","Karnataka",
E17="Bhopal","Madhya Pradesh",
E17="Bhubaneswar","Odisha",
E17="Chandigarh","Chandigarh",
E17="Chennai","Tamil Nadu",
E17="Delhi","Delhi",
E17="Guwahati","Assam",
E17="Hyderabad","Telangana",
E17="Indore","Madhya Pradesh",
E17="Jaipur","Rajasthan",
E17="Kochi","Kerala",
E17="Kolkata","West Bengal",
E17="Lucknow","Uttar Pradesh",
E17="Mumbai","Maharashtra",
E17="Nagpur","Maharashtra",
E17="Patna","Bihar",
E17="Pune","Maharashtra",
E17="Raipur","Chhattisgarh",
E17="Surat","Gujarat",
TRUE,"Not Found"
)</f>
        <v>Uttar Pradesh</v>
      </c>
      <c r="G17" t="s">
        <v>1143</v>
      </c>
      <c r="H17" t="s">
        <v>1172</v>
      </c>
      <c r="I17" t="s">
        <v>1204</v>
      </c>
      <c r="J17" t="s">
        <v>1205</v>
      </c>
      <c r="K17" t="s">
        <v>1206</v>
      </c>
      <c r="L17">
        <v>1</v>
      </c>
      <c r="M17">
        <v>7214</v>
      </c>
      <c r="N17">
        <v>0</v>
      </c>
      <c r="O17">
        <v>7214</v>
      </c>
      <c r="P17">
        <v>0.18</v>
      </c>
      <c r="Q17">
        <v>7214</v>
      </c>
      <c r="R17">
        <v>1298.52</v>
      </c>
      <c r="S17">
        <v>8512.52</v>
      </c>
      <c r="T17">
        <f>ROUND(Table2[[#This Row],[TotalAmount]],0)</f>
        <v>8513</v>
      </c>
      <c r="U17" t="s">
        <v>1365</v>
      </c>
      <c r="V17" t="s">
        <v>1361</v>
      </c>
      <c r="W17" s="4">
        <v>45618</v>
      </c>
      <c r="X17" s="4">
        <v>45622</v>
      </c>
      <c r="Y17" t="b">
        <v>0</v>
      </c>
      <c r="Z17" t="s">
        <v>1412</v>
      </c>
      <c r="AA17" t="s">
        <v>1412</v>
      </c>
      <c r="AB17" t="s">
        <v>1412</v>
      </c>
      <c r="AC17" t="s">
        <v>1379</v>
      </c>
      <c r="AD17" t="s">
        <v>1394</v>
      </c>
      <c r="AE17" t="s">
        <v>1389</v>
      </c>
    </row>
    <row r="18" spans="1:31" x14ac:dyDescent="0.3">
      <c r="A18" t="s">
        <v>35</v>
      </c>
      <c r="B18" s="4">
        <v>45602.525000000001</v>
      </c>
      <c r="C18" t="s">
        <v>36</v>
      </c>
      <c r="D18" t="s">
        <v>1182</v>
      </c>
      <c r="E18" t="s">
        <v>1207</v>
      </c>
      <c r="F18" t="str" cm="1">
        <f t="array" ref="F18">_xlfn.IFS(
E18="Ahmedabad","Gujarat",
E18="Bengaluru","Karnataka",
E18="Bhopal","Madhya Pradesh",
E18="Bhubaneswar","Odisha",
E18="Chandigarh","Chandigarh",
E18="Chennai","Tamil Nadu",
E18="Delhi","Delhi",
E18="Guwahati","Assam",
E18="Hyderabad","Telangana",
E18="Indore","Madhya Pradesh",
E18="Jaipur","Rajasthan",
E18="Kochi","Kerala",
E18="Kolkata","West Bengal",
E18="Lucknow","Uttar Pradesh",
E18="Mumbai","Maharashtra",
E18="Nagpur","Maharashtra",
E18="Patna","Bihar",
E18="Pune","Maharashtra",
E18="Raipur","Chhattisgarh",
E18="Surat","Gujarat",
TRUE,"Not Found"
)</f>
        <v>Tamil Nadu</v>
      </c>
      <c r="G18" t="s">
        <v>1150</v>
      </c>
      <c r="H18" t="s">
        <v>1167</v>
      </c>
      <c r="I18" t="s">
        <v>1208</v>
      </c>
      <c r="J18" t="s">
        <v>1209</v>
      </c>
      <c r="K18" t="s">
        <v>1210</v>
      </c>
      <c r="L18">
        <v>3</v>
      </c>
      <c r="M18">
        <v>38376</v>
      </c>
      <c r="N18">
        <v>0</v>
      </c>
      <c r="O18">
        <v>38376</v>
      </c>
      <c r="P18">
        <v>0.12</v>
      </c>
      <c r="Q18">
        <v>115128</v>
      </c>
      <c r="R18">
        <v>13815.36</v>
      </c>
      <c r="S18">
        <v>128943.36</v>
      </c>
      <c r="T18">
        <f>ROUND(Table2[[#This Row],[TotalAmount]],0)</f>
        <v>128943</v>
      </c>
      <c r="U18" t="s">
        <v>1360</v>
      </c>
      <c r="V18" t="s">
        <v>1368</v>
      </c>
      <c r="W18" s="4">
        <v>45604</v>
      </c>
      <c r="X18" s="4" t="s">
        <v>1412</v>
      </c>
      <c r="Y18" t="b">
        <v>0</v>
      </c>
      <c r="Z18" t="s">
        <v>1412</v>
      </c>
      <c r="AA18" t="s">
        <v>1412</v>
      </c>
      <c r="AB18" t="s">
        <v>1412</v>
      </c>
      <c r="AC18" t="s">
        <v>1379</v>
      </c>
      <c r="AD18" t="s">
        <v>1385</v>
      </c>
      <c r="AE18" t="s">
        <v>1378</v>
      </c>
    </row>
    <row r="19" spans="1:31" x14ac:dyDescent="0.3">
      <c r="A19" t="s">
        <v>37</v>
      </c>
      <c r="B19" s="4">
        <v>45722.520138888889</v>
      </c>
      <c r="C19" t="s">
        <v>38</v>
      </c>
      <c r="D19" t="s">
        <v>1148</v>
      </c>
      <c r="E19" t="s">
        <v>1149</v>
      </c>
      <c r="F19" t="str" cm="1">
        <f t="array" ref="F19">_xlfn.IFS(
E19="Ahmedabad","Gujarat",
E19="Bengaluru","Karnataka",
E19="Bhopal","Madhya Pradesh",
E19="Bhubaneswar","Odisha",
E19="Chandigarh","Chandigarh",
E19="Chennai","Tamil Nadu",
E19="Delhi","Delhi",
E19="Guwahati","Assam",
E19="Hyderabad","Telangana",
E19="Indore","Madhya Pradesh",
E19="Jaipur","Rajasthan",
E19="Kochi","Kerala",
E19="Kolkata","West Bengal",
E19="Lucknow","Uttar Pradesh",
E19="Mumbai","Maharashtra",
E19="Nagpur","Maharashtra",
E19="Patna","Bihar",
E19="Pune","Maharashtra",
E19="Raipur","Chhattisgarh",
E19="Surat","Gujarat",
TRUE,"Not Found"
)</f>
        <v>Uttar Pradesh</v>
      </c>
      <c r="G19" t="s">
        <v>1143</v>
      </c>
      <c r="H19" t="s">
        <v>1167</v>
      </c>
      <c r="I19" t="s">
        <v>1211</v>
      </c>
      <c r="J19" t="s">
        <v>1212</v>
      </c>
      <c r="K19" t="s">
        <v>1213</v>
      </c>
      <c r="L19">
        <v>1</v>
      </c>
      <c r="M19">
        <v>24583</v>
      </c>
      <c r="N19">
        <v>0.05</v>
      </c>
      <c r="O19">
        <v>23353.85</v>
      </c>
      <c r="P19">
        <v>0.12</v>
      </c>
      <c r="Q19">
        <v>23353.85</v>
      </c>
      <c r="R19">
        <v>2802.462</v>
      </c>
      <c r="S19">
        <v>26156.312000000002</v>
      </c>
      <c r="T19">
        <f>ROUND(Table2[[#This Row],[TotalAmount]],0)</f>
        <v>26156</v>
      </c>
      <c r="U19" t="s">
        <v>1363</v>
      </c>
      <c r="V19" t="s">
        <v>1361</v>
      </c>
      <c r="W19" s="4">
        <v>45722</v>
      </c>
      <c r="X19" s="4">
        <v>45724</v>
      </c>
      <c r="Y19" t="b">
        <v>0</v>
      </c>
      <c r="Z19" t="s">
        <v>1412</v>
      </c>
      <c r="AA19" t="s">
        <v>1412</v>
      </c>
      <c r="AB19" t="s">
        <v>1412</v>
      </c>
      <c r="AC19" t="s">
        <v>1382</v>
      </c>
      <c r="AD19" t="s">
        <v>1397</v>
      </c>
      <c r="AE19" t="s">
        <v>1391</v>
      </c>
    </row>
    <row r="20" spans="1:31" x14ac:dyDescent="0.3">
      <c r="A20" t="s">
        <v>39</v>
      </c>
      <c r="B20" s="4">
        <v>45658.520138888889</v>
      </c>
      <c r="C20" t="s">
        <v>40</v>
      </c>
      <c r="D20" t="s">
        <v>1141</v>
      </c>
      <c r="E20" t="s">
        <v>1142</v>
      </c>
      <c r="F20" t="str" cm="1">
        <f t="array" ref="F20">_xlfn.IFS(
E20="Ahmedabad","Gujarat",
E20="Bengaluru","Karnataka",
E20="Bhopal","Madhya Pradesh",
E20="Bhubaneswar","Odisha",
E20="Chandigarh","Chandigarh",
E20="Chennai","Tamil Nadu",
E20="Delhi","Delhi",
E20="Guwahati","Assam",
E20="Hyderabad","Telangana",
E20="Indore","Madhya Pradesh",
E20="Jaipur","Rajasthan",
E20="Kochi","Kerala",
E20="Kolkata","West Bengal",
E20="Lucknow","Uttar Pradesh",
E20="Mumbai","Maharashtra",
E20="Nagpur","Maharashtra",
E20="Patna","Bihar",
E20="Pune","Maharashtra",
E20="Raipur","Chhattisgarh",
E20="Surat","Gujarat",
TRUE,"Not Found"
)</f>
        <v>West Bengal</v>
      </c>
      <c r="G20" t="s">
        <v>1143</v>
      </c>
      <c r="H20" t="s">
        <v>1144</v>
      </c>
      <c r="I20" t="s">
        <v>1214</v>
      </c>
      <c r="J20" t="s">
        <v>1215</v>
      </c>
      <c r="K20" t="s">
        <v>1216</v>
      </c>
      <c r="L20">
        <v>1</v>
      </c>
      <c r="M20">
        <v>10764</v>
      </c>
      <c r="N20">
        <v>0.1</v>
      </c>
      <c r="O20">
        <v>9687.6</v>
      </c>
      <c r="P20">
        <v>0.05</v>
      </c>
      <c r="Q20">
        <v>9687.6</v>
      </c>
      <c r="R20">
        <v>484.38000000000011</v>
      </c>
      <c r="S20">
        <v>10171.98</v>
      </c>
      <c r="T20">
        <f>ROUND(Table2[[#This Row],[TotalAmount]],0)</f>
        <v>10172</v>
      </c>
      <c r="U20" t="s">
        <v>1363</v>
      </c>
      <c r="V20" t="s">
        <v>1361</v>
      </c>
      <c r="W20" s="4">
        <v>45520</v>
      </c>
      <c r="X20" s="4">
        <v>45521</v>
      </c>
      <c r="Y20" t="b">
        <v>0</v>
      </c>
      <c r="Z20" t="s">
        <v>1412</v>
      </c>
      <c r="AA20" t="s">
        <v>1412</v>
      </c>
      <c r="AB20" t="s">
        <v>1412</v>
      </c>
      <c r="AC20" t="s">
        <v>1376</v>
      </c>
      <c r="AD20" t="s">
        <v>1400</v>
      </c>
      <c r="AE20" t="s">
        <v>1389</v>
      </c>
    </row>
    <row r="21" spans="1:31" x14ac:dyDescent="0.3">
      <c r="A21" t="s">
        <v>41</v>
      </c>
      <c r="B21" s="4">
        <v>45722.698611111111</v>
      </c>
      <c r="C21" t="s">
        <v>42</v>
      </c>
      <c r="D21" t="s">
        <v>1148</v>
      </c>
      <c r="E21" t="s">
        <v>1217</v>
      </c>
      <c r="F21" t="str" cm="1">
        <f t="array" ref="F21">_xlfn.IFS(
E21="Ahmedabad","Gujarat",
E21="Bengaluru","Karnataka",
E21="Bhopal","Madhya Pradesh",
E21="Bhubaneswar","Odisha",
E21="Chandigarh","Chandigarh",
E21="Chennai","Tamil Nadu",
E21="Delhi","Delhi",
E21="Guwahati","Assam",
E21="Hyderabad","Telangana",
E21="Indore","Madhya Pradesh",
E21="Jaipur","Rajasthan",
E21="Kochi","Kerala",
E21="Kolkata","West Bengal",
E21="Lucknow","Uttar Pradesh",
E21="Mumbai","Maharashtra",
E21="Nagpur","Maharashtra",
E21="Patna","Bihar",
E21="Pune","Maharashtra",
E21="Raipur","Chhattisgarh",
E21="Surat","Gujarat",
TRUE,"Not Found"
)</f>
        <v>Delhi</v>
      </c>
      <c r="G21" t="s">
        <v>1187</v>
      </c>
      <c r="H21" t="s">
        <v>1177</v>
      </c>
      <c r="I21" t="s">
        <v>1195</v>
      </c>
      <c r="J21" t="s">
        <v>1218</v>
      </c>
      <c r="K21" t="s">
        <v>1219</v>
      </c>
      <c r="L21">
        <v>3</v>
      </c>
      <c r="M21">
        <v>2424</v>
      </c>
      <c r="N21">
        <v>0.1</v>
      </c>
      <c r="O21">
        <v>2181.6</v>
      </c>
      <c r="P21">
        <v>0.05</v>
      </c>
      <c r="Q21">
        <v>6544.7999999999993</v>
      </c>
      <c r="R21">
        <v>327.24</v>
      </c>
      <c r="S21">
        <v>6872.0399999999991</v>
      </c>
      <c r="T21">
        <f>ROUND(Table2[[#This Row],[TotalAmount]],0)</f>
        <v>6872</v>
      </c>
      <c r="U21" t="s">
        <v>1365</v>
      </c>
      <c r="V21" t="s">
        <v>1369</v>
      </c>
      <c r="W21" s="4" t="s">
        <v>1412</v>
      </c>
      <c r="X21" s="4" t="s">
        <v>1412</v>
      </c>
      <c r="Y21" t="b">
        <v>0</v>
      </c>
      <c r="Z21" t="s">
        <v>1412</v>
      </c>
      <c r="AA21" t="s">
        <v>1412</v>
      </c>
      <c r="AB21" t="s">
        <v>1412</v>
      </c>
      <c r="AC21" t="s">
        <v>1384</v>
      </c>
      <c r="AD21" t="s">
        <v>1397</v>
      </c>
      <c r="AE21" t="s">
        <v>1389</v>
      </c>
    </row>
    <row r="22" spans="1:31" x14ac:dyDescent="0.3">
      <c r="A22" t="s">
        <v>43</v>
      </c>
      <c r="B22" s="4">
        <v>45514.534722222219</v>
      </c>
      <c r="C22" t="s">
        <v>24</v>
      </c>
      <c r="D22" t="s">
        <v>1153</v>
      </c>
      <c r="E22" t="s">
        <v>1154</v>
      </c>
      <c r="F22" t="str" cm="1">
        <f t="array" ref="F22">_xlfn.IFS(
E22="Ahmedabad","Gujarat",
E22="Bengaluru","Karnataka",
E22="Bhopal","Madhya Pradesh",
E22="Bhubaneswar","Odisha",
E22="Chandigarh","Chandigarh",
E22="Chennai","Tamil Nadu",
E22="Delhi","Delhi",
E22="Guwahati","Assam",
E22="Hyderabad","Telangana",
E22="Indore","Madhya Pradesh",
E22="Jaipur","Rajasthan",
E22="Kochi","Kerala",
E22="Kolkata","West Bengal",
E22="Lucknow","Uttar Pradesh",
E22="Mumbai","Maharashtra",
E22="Nagpur","Maharashtra",
E22="Patna","Bihar",
E22="Pune","Maharashtra",
E22="Raipur","Chhattisgarh",
E22="Surat","Gujarat",
TRUE,"Not Found"
)</f>
        <v>Maharashtra</v>
      </c>
      <c r="G22" t="s">
        <v>1187</v>
      </c>
      <c r="H22" t="s">
        <v>1177</v>
      </c>
      <c r="I22" t="s">
        <v>1178</v>
      </c>
      <c r="J22" t="s">
        <v>1220</v>
      </c>
      <c r="K22" t="s">
        <v>1221</v>
      </c>
      <c r="L22">
        <v>4</v>
      </c>
      <c r="M22">
        <v>1983</v>
      </c>
      <c r="N22">
        <v>0.15</v>
      </c>
      <c r="O22">
        <v>1685.55</v>
      </c>
      <c r="P22">
        <v>0.05</v>
      </c>
      <c r="Q22">
        <v>6742.2</v>
      </c>
      <c r="R22">
        <v>337.11</v>
      </c>
      <c r="S22">
        <v>7079.3099999999986</v>
      </c>
      <c r="T22">
        <f>ROUND(Table2[[#This Row],[TotalAmount]],0)</f>
        <v>7079</v>
      </c>
      <c r="U22" t="s">
        <v>1365</v>
      </c>
      <c r="V22" t="s">
        <v>1361</v>
      </c>
      <c r="W22" s="4">
        <v>45514</v>
      </c>
      <c r="X22" s="4">
        <v>45515</v>
      </c>
      <c r="Y22" t="b">
        <v>0</v>
      </c>
      <c r="Z22" t="s">
        <v>1412</v>
      </c>
      <c r="AA22" t="s">
        <v>1412</v>
      </c>
      <c r="AB22" t="s">
        <v>1412</v>
      </c>
      <c r="AC22" t="s">
        <v>1388</v>
      </c>
      <c r="AD22" t="s">
        <v>1387</v>
      </c>
      <c r="AE22" t="s">
        <v>1391</v>
      </c>
    </row>
    <row r="23" spans="1:31" x14ac:dyDescent="0.3">
      <c r="A23" t="s">
        <v>44</v>
      </c>
      <c r="B23" s="4">
        <v>45425.552777777782</v>
      </c>
      <c r="C23" t="s">
        <v>45</v>
      </c>
      <c r="D23" t="s">
        <v>1141</v>
      </c>
      <c r="E23" t="s">
        <v>1142</v>
      </c>
      <c r="F23" t="str" cm="1">
        <f t="array" ref="F23">_xlfn.IFS(
E23="Ahmedabad","Gujarat",
E23="Bengaluru","Karnataka",
E23="Bhopal","Madhya Pradesh",
E23="Bhubaneswar","Odisha",
E23="Chandigarh","Chandigarh",
E23="Chennai","Tamil Nadu",
E23="Delhi","Delhi",
E23="Guwahati","Assam",
E23="Hyderabad","Telangana",
E23="Indore","Madhya Pradesh",
E23="Jaipur","Rajasthan",
E23="Kochi","Kerala",
E23="Kolkata","West Bengal",
E23="Lucknow","Uttar Pradesh",
E23="Mumbai","Maharashtra",
E23="Nagpur","Maharashtra",
E23="Patna","Bihar",
E23="Pune","Maharashtra",
E23="Raipur","Chhattisgarh",
E23="Surat","Gujarat",
TRUE,"Not Found"
)</f>
        <v>West Bengal</v>
      </c>
      <c r="G23" t="s">
        <v>1143</v>
      </c>
      <c r="H23" t="s">
        <v>1172</v>
      </c>
      <c r="I23" t="s">
        <v>1173</v>
      </c>
      <c r="J23" t="s">
        <v>1222</v>
      </c>
      <c r="K23" t="s">
        <v>1223</v>
      </c>
      <c r="L23">
        <v>2</v>
      </c>
      <c r="M23">
        <v>9718</v>
      </c>
      <c r="N23">
        <v>0</v>
      </c>
      <c r="O23">
        <v>9718</v>
      </c>
      <c r="P23">
        <v>0.12</v>
      </c>
      <c r="Q23">
        <v>19436</v>
      </c>
      <c r="R23">
        <v>2332.3200000000002</v>
      </c>
      <c r="S23">
        <v>21768.32</v>
      </c>
      <c r="T23">
        <f>ROUND(Table2[[#This Row],[TotalAmount]],0)</f>
        <v>21768</v>
      </c>
      <c r="U23" t="s">
        <v>1360</v>
      </c>
      <c r="V23" t="s">
        <v>1361</v>
      </c>
      <c r="W23" s="4">
        <v>45425</v>
      </c>
      <c r="X23" s="4">
        <v>45426</v>
      </c>
      <c r="Y23" t="b">
        <v>0</v>
      </c>
      <c r="Z23" t="s">
        <v>1412</v>
      </c>
      <c r="AA23" t="s">
        <v>1412</v>
      </c>
      <c r="AB23" t="s">
        <v>1412</v>
      </c>
      <c r="AC23" t="s">
        <v>1398</v>
      </c>
      <c r="AD23" t="s">
        <v>1399</v>
      </c>
      <c r="AE23" t="s">
        <v>1393</v>
      </c>
    </row>
    <row r="24" spans="1:31" x14ac:dyDescent="0.3">
      <c r="A24" t="s">
        <v>46</v>
      </c>
      <c r="B24" s="4">
        <v>45733.446527777778</v>
      </c>
      <c r="C24" t="s">
        <v>47</v>
      </c>
      <c r="D24" t="s">
        <v>1182</v>
      </c>
      <c r="E24" t="s">
        <v>1183</v>
      </c>
      <c r="F24" t="str" cm="1">
        <f t="array" ref="F24">_xlfn.IFS(
E24="Ahmedabad","Gujarat",
E24="Bengaluru","Karnataka",
E24="Bhopal","Madhya Pradesh",
E24="Bhubaneswar","Odisha",
E24="Chandigarh","Chandigarh",
E24="Chennai","Tamil Nadu",
E24="Delhi","Delhi",
E24="Guwahati","Assam",
E24="Hyderabad","Telangana",
E24="Indore","Madhya Pradesh",
E24="Jaipur","Rajasthan",
E24="Kochi","Kerala",
E24="Kolkata","West Bengal",
E24="Lucknow","Uttar Pradesh",
E24="Mumbai","Maharashtra",
E24="Nagpur","Maharashtra",
E24="Patna","Bihar",
E24="Pune","Maharashtra",
E24="Raipur","Chhattisgarh",
E24="Surat","Gujarat",
TRUE,"Not Found"
)</f>
        <v>Telangana</v>
      </c>
      <c r="G24" t="s">
        <v>1150</v>
      </c>
      <c r="H24" t="s">
        <v>1163</v>
      </c>
      <c r="I24" t="s">
        <v>1224</v>
      </c>
      <c r="J24" t="s">
        <v>1225</v>
      </c>
      <c r="K24" t="s">
        <v>1226</v>
      </c>
      <c r="L24">
        <v>3</v>
      </c>
      <c r="M24">
        <v>746</v>
      </c>
      <c r="N24">
        <v>0</v>
      </c>
      <c r="O24">
        <v>746</v>
      </c>
      <c r="P24">
        <v>0.12</v>
      </c>
      <c r="Q24">
        <v>2238</v>
      </c>
      <c r="R24">
        <v>268.56</v>
      </c>
      <c r="S24">
        <v>2506.56</v>
      </c>
      <c r="T24">
        <f>ROUND(Table2[[#This Row],[TotalAmount]],0)</f>
        <v>2507</v>
      </c>
      <c r="U24" t="s">
        <v>1366</v>
      </c>
      <c r="V24" t="s">
        <v>1361</v>
      </c>
      <c r="W24" s="4">
        <v>45733</v>
      </c>
      <c r="X24" s="4">
        <v>45734</v>
      </c>
      <c r="Y24" t="b">
        <v>0</v>
      </c>
      <c r="Z24" t="s">
        <v>1412</v>
      </c>
      <c r="AA24" t="s">
        <v>1412</v>
      </c>
      <c r="AB24" t="s">
        <v>1412</v>
      </c>
      <c r="AC24" t="s">
        <v>1390</v>
      </c>
      <c r="AD24" t="s">
        <v>1400</v>
      </c>
      <c r="AE24" t="s">
        <v>1393</v>
      </c>
    </row>
    <row r="25" spans="1:31" x14ac:dyDescent="0.3">
      <c r="A25" t="s">
        <v>48</v>
      </c>
      <c r="B25" s="4">
        <v>45543.50277777778</v>
      </c>
      <c r="C25" t="s">
        <v>16</v>
      </c>
      <c r="D25" t="s">
        <v>1148</v>
      </c>
      <c r="E25" t="s">
        <v>1171</v>
      </c>
      <c r="F25" t="str" cm="1">
        <f t="array" ref="F25">_xlfn.IFS(
E25="Ahmedabad","Gujarat",
E25="Bengaluru","Karnataka",
E25="Bhopal","Madhya Pradesh",
E25="Bhubaneswar","Odisha",
E25="Chandigarh","Chandigarh",
E25="Chennai","Tamil Nadu",
E25="Delhi","Delhi",
E25="Guwahati","Assam",
E25="Hyderabad","Telangana",
E25="Indore","Madhya Pradesh",
E25="Jaipur","Rajasthan",
E25="Kochi","Kerala",
E25="Kolkata","West Bengal",
E25="Lucknow","Uttar Pradesh",
E25="Mumbai","Maharashtra",
E25="Nagpur","Maharashtra",
E25="Patna","Bihar",
E25="Pune","Maharashtra",
E25="Raipur","Chhattisgarh",
E25="Surat","Gujarat",
TRUE,"Not Found"
)</f>
        <v>Chandigarh</v>
      </c>
      <c r="G25" t="s">
        <v>1143</v>
      </c>
      <c r="H25" t="s">
        <v>1177</v>
      </c>
      <c r="I25" t="s">
        <v>1195</v>
      </c>
      <c r="J25" t="s">
        <v>1218</v>
      </c>
      <c r="K25" t="s">
        <v>1219</v>
      </c>
      <c r="L25">
        <v>2</v>
      </c>
      <c r="M25">
        <v>2227</v>
      </c>
      <c r="N25">
        <v>0.1</v>
      </c>
      <c r="O25">
        <v>2004.3</v>
      </c>
      <c r="P25">
        <v>0.05</v>
      </c>
      <c r="Q25">
        <v>4008.6</v>
      </c>
      <c r="R25">
        <v>200.43</v>
      </c>
      <c r="S25">
        <v>4209.03</v>
      </c>
      <c r="T25">
        <f>ROUND(Table2[[#This Row],[TotalAmount]],0)</f>
        <v>4209</v>
      </c>
      <c r="U25" t="s">
        <v>1363</v>
      </c>
      <c r="V25" t="s">
        <v>1361</v>
      </c>
      <c r="W25" s="4">
        <v>45545</v>
      </c>
      <c r="X25" s="4">
        <v>45549</v>
      </c>
      <c r="Y25" t="b">
        <v>0</v>
      </c>
      <c r="Z25" t="s">
        <v>1412</v>
      </c>
      <c r="AA25" t="s">
        <v>1412</v>
      </c>
      <c r="AB25" t="s">
        <v>1412</v>
      </c>
      <c r="AC25" t="s">
        <v>1384</v>
      </c>
      <c r="AD25" t="s">
        <v>1399</v>
      </c>
      <c r="AE25" t="s">
        <v>1395</v>
      </c>
    </row>
    <row r="26" spans="1:31" x14ac:dyDescent="0.3">
      <c r="A26" t="s">
        <v>49</v>
      </c>
      <c r="B26" s="4">
        <v>45364.500694444447</v>
      </c>
      <c r="C26" t="s">
        <v>22</v>
      </c>
      <c r="D26" t="s">
        <v>1182</v>
      </c>
      <c r="E26" t="s">
        <v>1183</v>
      </c>
      <c r="F26" t="str" cm="1">
        <f t="array" ref="F26">_xlfn.IFS(
E26="Ahmedabad","Gujarat",
E26="Bengaluru","Karnataka",
E26="Bhopal","Madhya Pradesh",
E26="Bhubaneswar","Odisha",
E26="Chandigarh","Chandigarh",
E26="Chennai","Tamil Nadu",
E26="Delhi","Delhi",
E26="Guwahati","Assam",
E26="Hyderabad","Telangana",
E26="Indore","Madhya Pradesh",
E26="Jaipur","Rajasthan",
E26="Kochi","Kerala",
E26="Kolkata","West Bengal",
E26="Lucknow","Uttar Pradesh",
E26="Mumbai","Maharashtra",
E26="Nagpur","Maharashtra",
E26="Patna","Bihar",
E26="Pune","Maharashtra",
E26="Raipur","Chhattisgarh",
E26="Surat","Gujarat",
TRUE,"Not Found"
)</f>
        <v>Telangana</v>
      </c>
      <c r="G26" t="s">
        <v>1150</v>
      </c>
      <c r="H26" t="s">
        <v>1167</v>
      </c>
      <c r="I26" t="s">
        <v>1211</v>
      </c>
      <c r="J26" t="s">
        <v>1212</v>
      </c>
      <c r="K26" t="s">
        <v>1213</v>
      </c>
      <c r="L26">
        <v>1</v>
      </c>
      <c r="M26">
        <v>37296</v>
      </c>
      <c r="N26">
        <v>0</v>
      </c>
      <c r="O26">
        <v>37296</v>
      </c>
      <c r="P26">
        <v>0.12</v>
      </c>
      <c r="Q26">
        <v>37296</v>
      </c>
      <c r="R26">
        <v>4475.5200000000004</v>
      </c>
      <c r="S26">
        <v>41771.519999999997</v>
      </c>
      <c r="T26">
        <f>ROUND(Table2[[#This Row],[TotalAmount]],0)</f>
        <v>41772</v>
      </c>
      <c r="U26" t="s">
        <v>1360</v>
      </c>
      <c r="V26" t="s">
        <v>1364</v>
      </c>
      <c r="W26" s="4">
        <v>45366</v>
      </c>
      <c r="X26" s="4" t="s">
        <v>1412</v>
      </c>
      <c r="Y26" t="b">
        <v>1</v>
      </c>
      <c r="Z26" s="1">
        <v>45378</v>
      </c>
      <c r="AA26" s="1">
        <v>45378</v>
      </c>
      <c r="AB26" t="s">
        <v>1401</v>
      </c>
      <c r="AC26" t="s">
        <v>1388</v>
      </c>
      <c r="AD26" t="s">
        <v>1397</v>
      </c>
      <c r="AE26" t="s">
        <v>1380</v>
      </c>
    </row>
    <row r="27" spans="1:31" x14ac:dyDescent="0.3">
      <c r="A27" t="s">
        <v>50</v>
      </c>
      <c r="B27" s="4">
        <v>45608.629166666673</v>
      </c>
      <c r="C27" t="s">
        <v>51</v>
      </c>
      <c r="D27" t="s">
        <v>1141</v>
      </c>
      <c r="E27" t="s">
        <v>1227</v>
      </c>
      <c r="F27" t="str" cm="1">
        <f t="array" ref="F27">_xlfn.IFS(
E27="Ahmedabad","Gujarat",
E27="Bengaluru","Karnataka",
E27="Bhopal","Madhya Pradesh",
E27="Bhubaneswar","Odisha",
E27="Chandigarh","Chandigarh",
E27="Chennai","Tamil Nadu",
E27="Delhi","Delhi",
E27="Guwahati","Assam",
E27="Hyderabad","Telangana",
E27="Indore","Madhya Pradesh",
E27="Jaipur","Rajasthan",
E27="Kochi","Kerala",
E27="Kolkata","West Bengal",
E27="Lucknow","Uttar Pradesh",
E27="Mumbai","Maharashtra",
E27="Nagpur","Maharashtra",
E27="Patna","Bihar",
E27="Pune","Maharashtra",
E27="Raipur","Chhattisgarh",
E27="Surat","Gujarat",
TRUE,"Not Found"
)</f>
        <v>Bihar</v>
      </c>
      <c r="G27" t="s">
        <v>1143</v>
      </c>
      <c r="H27" t="s">
        <v>1167</v>
      </c>
      <c r="I27" t="s">
        <v>1208</v>
      </c>
      <c r="J27" t="s">
        <v>1209</v>
      </c>
      <c r="K27" t="s">
        <v>1210</v>
      </c>
      <c r="L27">
        <v>3</v>
      </c>
      <c r="M27">
        <v>50822</v>
      </c>
      <c r="N27">
        <v>0</v>
      </c>
      <c r="O27">
        <v>50822</v>
      </c>
      <c r="P27">
        <v>0.18</v>
      </c>
      <c r="Q27">
        <v>152466</v>
      </c>
      <c r="R27">
        <v>27443.88</v>
      </c>
      <c r="S27">
        <v>179909.88</v>
      </c>
      <c r="T27">
        <f>ROUND(Table2[[#This Row],[TotalAmount]],0)</f>
        <v>179910</v>
      </c>
      <c r="U27" t="s">
        <v>1362</v>
      </c>
      <c r="V27" t="s">
        <v>1361</v>
      </c>
      <c r="W27" s="4">
        <v>45608</v>
      </c>
      <c r="X27" s="4">
        <v>45611</v>
      </c>
      <c r="Y27" t="b">
        <v>0</v>
      </c>
      <c r="Z27" t="s">
        <v>1412</v>
      </c>
      <c r="AA27" t="s">
        <v>1412</v>
      </c>
      <c r="AB27" t="s">
        <v>1412</v>
      </c>
      <c r="AC27" t="s">
        <v>1396</v>
      </c>
      <c r="AD27" t="s">
        <v>1387</v>
      </c>
      <c r="AE27" t="s">
        <v>1378</v>
      </c>
    </row>
    <row r="28" spans="1:31" x14ac:dyDescent="0.3">
      <c r="A28" t="s">
        <v>52</v>
      </c>
      <c r="B28" s="4">
        <v>45590.61041666667</v>
      </c>
      <c r="C28" t="s">
        <v>53</v>
      </c>
      <c r="D28" t="s">
        <v>1141</v>
      </c>
      <c r="E28" t="s">
        <v>1227</v>
      </c>
      <c r="F28" t="str" cm="1">
        <f t="array" ref="F28">_xlfn.IFS(
E28="Ahmedabad","Gujarat",
E28="Bengaluru","Karnataka",
E28="Bhopal","Madhya Pradesh",
E28="Bhubaneswar","Odisha",
E28="Chandigarh","Chandigarh",
E28="Chennai","Tamil Nadu",
E28="Delhi","Delhi",
E28="Guwahati","Assam",
E28="Hyderabad","Telangana",
E28="Indore","Madhya Pradesh",
E28="Jaipur","Rajasthan",
E28="Kochi","Kerala",
E28="Kolkata","West Bengal",
E28="Lucknow","Uttar Pradesh",
E28="Mumbai","Maharashtra",
E28="Nagpur","Maharashtra",
E28="Patna","Bihar",
E28="Pune","Maharashtra",
E28="Raipur","Chhattisgarh",
E28="Surat","Gujarat",
TRUE,"Not Found"
)</f>
        <v>Bihar</v>
      </c>
      <c r="G28" t="s">
        <v>1228</v>
      </c>
      <c r="H28" t="s">
        <v>1172</v>
      </c>
      <c r="I28" t="s">
        <v>1204</v>
      </c>
      <c r="J28" t="s">
        <v>1205</v>
      </c>
      <c r="K28" t="s">
        <v>1206</v>
      </c>
      <c r="L28">
        <v>2</v>
      </c>
      <c r="M28">
        <v>5106</v>
      </c>
      <c r="N28">
        <v>0</v>
      </c>
      <c r="O28">
        <v>5106</v>
      </c>
      <c r="P28">
        <v>0.12</v>
      </c>
      <c r="Q28">
        <v>10212</v>
      </c>
      <c r="R28">
        <v>1225.44</v>
      </c>
      <c r="S28">
        <v>11437.44</v>
      </c>
      <c r="T28">
        <f>ROUND(Table2[[#This Row],[TotalAmount]],0)</f>
        <v>11437</v>
      </c>
      <c r="U28" t="s">
        <v>1360</v>
      </c>
      <c r="V28" t="s">
        <v>1361</v>
      </c>
      <c r="W28" s="4">
        <v>45592</v>
      </c>
      <c r="X28" s="4">
        <v>45594</v>
      </c>
      <c r="Y28" t="b">
        <v>0</v>
      </c>
      <c r="Z28" t="s">
        <v>1412</v>
      </c>
      <c r="AA28" t="s">
        <v>1412</v>
      </c>
      <c r="AB28" t="s">
        <v>1412</v>
      </c>
      <c r="AC28" t="s">
        <v>1384</v>
      </c>
      <c r="AD28" t="s">
        <v>1377</v>
      </c>
      <c r="AE28" t="s">
        <v>1393</v>
      </c>
    </row>
    <row r="29" spans="1:31" x14ac:dyDescent="0.3">
      <c r="A29" t="s">
        <v>54</v>
      </c>
      <c r="B29" s="4">
        <v>45698.57708333333</v>
      </c>
      <c r="C29" t="s">
        <v>55</v>
      </c>
      <c r="D29" t="s">
        <v>1157</v>
      </c>
      <c r="E29" t="s">
        <v>1158</v>
      </c>
      <c r="F29" t="str" cm="1">
        <f t="array" ref="F29">_xlfn.IFS(
E29="Ahmedabad","Gujarat",
E29="Bengaluru","Karnataka",
E29="Bhopal","Madhya Pradesh",
E29="Bhubaneswar","Odisha",
E29="Chandigarh","Chandigarh",
E29="Chennai","Tamil Nadu",
E29="Delhi","Delhi",
E29="Guwahati","Assam",
E29="Hyderabad","Telangana",
E29="Indore","Madhya Pradesh",
E29="Jaipur","Rajasthan",
E29="Kochi","Kerala",
E29="Kolkata","West Bengal",
E29="Lucknow","Uttar Pradesh",
E29="Mumbai","Maharashtra",
E29="Nagpur","Maharashtra",
E29="Patna","Bihar",
E29="Pune","Maharashtra",
E29="Raipur","Chhattisgarh",
E29="Surat","Gujarat",
TRUE,"Not Found"
)</f>
        <v>Gujarat</v>
      </c>
      <c r="G29" t="s">
        <v>1150</v>
      </c>
      <c r="H29" t="s">
        <v>1172</v>
      </c>
      <c r="I29" t="s">
        <v>1229</v>
      </c>
      <c r="J29" t="s">
        <v>1230</v>
      </c>
      <c r="K29" t="s">
        <v>1231</v>
      </c>
      <c r="L29">
        <v>3</v>
      </c>
      <c r="M29">
        <v>6814</v>
      </c>
      <c r="N29">
        <v>0.15</v>
      </c>
      <c r="O29">
        <v>5791.9</v>
      </c>
      <c r="P29">
        <v>0.18</v>
      </c>
      <c r="Q29">
        <v>17375.7</v>
      </c>
      <c r="R29">
        <v>3127.6259999999988</v>
      </c>
      <c r="S29">
        <v>20503.326000000001</v>
      </c>
      <c r="T29">
        <f>ROUND(Table2[[#This Row],[TotalAmount]],0)</f>
        <v>20503</v>
      </c>
      <c r="U29" t="s">
        <v>1366</v>
      </c>
      <c r="V29" t="s">
        <v>1367</v>
      </c>
      <c r="W29" s="4">
        <v>45700</v>
      </c>
      <c r="X29" s="4" t="s">
        <v>1412</v>
      </c>
      <c r="Y29" t="b">
        <v>0</v>
      </c>
      <c r="Z29" t="s">
        <v>1412</v>
      </c>
      <c r="AA29" t="s">
        <v>1412</v>
      </c>
      <c r="AB29" t="s">
        <v>1412</v>
      </c>
      <c r="AC29" t="s">
        <v>1392</v>
      </c>
      <c r="AD29" t="s">
        <v>1397</v>
      </c>
      <c r="AE29" t="s">
        <v>1378</v>
      </c>
    </row>
    <row r="30" spans="1:31" x14ac:dyDescent="0.3">
      <c r="A30" t="s">
        <v>56</v>
      </c>
      <c r="B30" s="4">
        <v>45350.52847222222</v>
      </c>
      <c r="C30" t="s">
        <v>57</v>
      </c>
      <c r="D30" t="s">
        <v>1153</v>
      </c>
      <c r="E30" t="s">
        <v>1176</v>
      </c>
      <c r="F30" t="str" cm="1">
        <f t="array" ref="F30">_xlfn.IFS(
E30="Ahmedabad","Gujarat",
E30="Bengaluru","Karnataka",
E30="Bhopal","Madhya Pradesh",
E30="Bhubaneswar","Odisha",
E30="Chandigarh","Chandigarh",
E30="Chennai","Tamil Nadu",
E30="Delhi","Delhi",
E30="Guwahati","Assam",
E30="Hyderabad","Telangana",
E30="Indore","Madhya Pradesh",
E30="Jaipur","Rajasthan",
E30="Kochi","Kerala",
E30="Kolkata","West Bengal",
E30="Lucknow","Uttar Pradesh",
E30="Mumbai","Maharashtra",
E30="Nagpur","Maharashtra",
E30="Patna","Bihar",
E30="Pune","Maharashtra",
E30="Raipur","Chhattisgarh",
E30="Surat","Gujarat",
TRUE,"Not Found"
)</f>
        <v>Chhattisgarh</v>
      </c>
      <c r="G30" t="s">
        <v>1143</v>
      </c>
      <c r="H30" t="s">
        <v>1172</v>
      </c>
      <c r="I30" t="s">
        <v>1188</v>
      </c>
      <c r="J30" t="s">
        <v>1232</v>
      </c>
      <c r="K30" t="s">
        <v>1233</v>
      </c>
      <c r="L30">
        <v>1</v>
      </c>
      <c r="M30">
        <v>2695</v>
      </c>
      <c r="N30">
        <v>0.05</v>
      </c>
      <c r="O30">
        <v>2560.25</v>
      </c>
      <c r="P30">
        <v>0.12</v>
      </c>
      <c r="Q30">
        <v>2560.25</v>
      </c>
      <c r="R30">
        <v>307.23</v>
      </c>
      <c r="S30">
        <v>2867.48</v>
      </c>
      <c r="T30">
        <f>ROUND(Table2[[#This Row],[TotalAmount]],0)</f>
        <v>2867</v>
      </c>
      <c r="U30" t="s">
        <v>1365</v>
      </c>
      <c r="V30" t="s">
        <v>1367</v>
      </c>
      <c r="W30" s="4">
        <v>45352</v>
      </c>
      <c r="X30" s="4" t="s">
        <v>1412</v>
      </c>
      <c r="Y30" t="b">
        <v>0</v>
      </c>
      <c r="Z30" t="s">
        <v>1412</v>
      </c>
      <c r="AA30" t="s">
        <v>1412</v>
      </c>
      <c r="AB30" t="s">
        <v>1412</v>
      </c>
      <c r="AC30" t="s">
        <v>1379</v>
      </c>
      <c r="AD30" t="s">
        <v>1397</v>
      </c>
      <c r="AE30" t="s">
        <v>1378</v>
      </c>
    </row>
    <row r="31" spans="1:31" x14ac:dyDescent="0.3">
      <c r="A31" t="s">
        <v>58</v>
      </c>
      <c r="B31" s="4">
        <v>45576.494444444441</v>
      </c>
      <c r="C31" t="s">
        <v>59</v>
      </c>
      <c r="D31" t="s">
        <v>1148</v>
      </c>
      <c r="E31" t="s">
        <v>1217</v>
      </c>
      <c r="F31" t="str" cm="1">
        <f t="array" ref="F31">_xlfn.IFS(
E31="Ahmedabad","Gujarat",
E31="Bengaluru","Karnataka",
E31="Bhopal","Madhya Pradesh",
E31="Bhubaneswar","Odisha",
E31="Chandigarh","Chandigarh",
E31="Chennai","Tamil Nadu",
E31="Delhi","Delhi",
E31="Guwahati","Assam",
E31="Hyderabad","Telangana",
E31="Indore","Madhya Pradesh",
E31="Jaipur","Rajasthan",
E31="Kochi","Kerala",
E31="Kolkata","West Bengal",
E31="Lucknow","Uttar Pradesh",
E31="Mumbai","Maharashtra",
E31="Nagpur","Maharashtra",
E31="Patna","Bihar",
E31="Pune","Maharashtra",
E31="Raipur","Chhattisgarh",
E31="Surat","Gujarat",
TRUE,"Not Found"
)</f>
        <v>Delhi</v>
      </c>
      <c r="G31" t="s">
        <v>1143</v>
      </c>
      <c r="H31" t="s">
        <v>1172</v>
      </c>
      <c r="I31" t="s">
        <v>1204</v>
      </c>
      <c r="J31" t="s">
        <v>1234</v>
      </c>
      <c r="K31" t="s">
        <v>1235</v>
      </c>
      <c r="L31">
        <v>1</v>
      </c>
      <c r="M31">
        <v>2986</v>
      </c>
      <c r="N31">
        <v>0.05</v>
      </c>
      <c r="O31">
        <v>2836.7</v>
      </c>
      <c r="P31">
        <v>0.05</v>
      </c>
      <c r="Q31">
        <v>2836.7</v>
      </c>
      <c r="R31">
        <v>141.83500000000001</v>
      </c>
      <c r="S31">
        <v>2978.5349999999999</v>
      </c>
      <c r="T31">
        <f>ROUND(Table2[[#This Row],[TotalAmount]],0)</f>
        <v>2979</v>
      </c>
      <c r="U31" t="s">
        <v>1362</v>
      </c>
      <c r="V31" t="s">
        <v>1361</v>
      </c>
      <c r="W31" s="4">
        <v>45576</v>
      </c>
      <c r="X31" s="4">
        <v>45578</v>
      </c>
      <c r="Y31" t="b">
        <v>0</v>
      </c>
      <c r="Z31" t="s">
        <v>1412</v>
      </c>
      <c r="AA31" t="s">
        <v>1412</v>
      </c>
      <c r="AB31" t="s">
        <v>1412</v>
      </c>
      <c r="AC31" t="s">
        <v>1379</v>
      </c>
      <c r="AD31" t="s">
        <v>1387</v>
      </c>
      <c r="AE31" t="s">
        <v>1393</v>
      </c>
    </row>
    <row r="32" spans="1:31" x14ac:dyDescent="0.3">
      <c r="A32" t="s">
        <v>60</v>
      </c>
      <c r="B32" s="4">
        <v>45352.57708333333</v>
      </c>
      <c r="C32" t="s">
        <v>61</v>
      </c>
      <c r="D32" t="s">
        <v>1153</v>
      </c>
      <c r="E32" t="s">
        <v>1176</v>
      </c>
      <c r="F32" t="str" cm="1">
        <f t="array" ref="F32">_xlfn.IFS(
E32="Ahmedabad","Gujarat",
E32="Bengaluru","Karnataka",
E32="Bhopal","Madhya Pradesh",
E32="Bhubaneswar","Odisha",
E32="Chandigarh","Chandigarh",
E32="Chennai","Tamil Nadu",
E32="Delhi","Delhi",
E32="Guwahati","Assam",
E32="Hyderabad","Telangana",
E32="Indore","Madhya Pradesh",
E32="Jaipur","Rajasthan",
E32="Kochi","Kerala",
E32="Kolkata","West Bengal",
E32="Lucknow","Uttar Pradesh",
E32="Mumbai","Maharashtra",
E32="Nagpur","Maharashtra",
E32="Patna","Bihar",
E32="Pune","Maharashtra",
E32="Raipur","Chhattisgarh",
E32="Surat","Gujarat",
TRUE,"Not Found"
)</f>
        <v>Chhattisgarh</v>
      </c>
      <c r="G32" t="s">
        <v>1150</v>
      </c>
      <c r="H32" t="s">
        <v>1177</v>
      </c>
      <c r="I32" t="s">
        <v>1236</v>
      </c>
      <c r="J32" t="s">
        <v>1237</v>
      </c>
      <c r="K32" t="s">
        <v>1238</v>
      </c>
      <c r="L32">
        <v>1</v>
      </c>
      <c r="M32">
        <v>1193</v>
      </c>
      <c r="N32">
        <v>0.05</v>
      </c>
      <c r="O32">
        <v>1133.3499999999999</v>
      </c>
      <c r="P32">
        <v>0.12</v>
      </c>
      <c r="Q32">
        <v>1133.3499999999999</v>
      </c>
      <c r="R32">
        <v>136.00200000000001</v>
      </c>
      <c r="S32">
        <v>1269.3520000000001</v>
      </c>
      <c r="T32">
        <f>ROUND(Table2[[#This Row],[TotalAmount]],0)</f>
        <v>1269</v>
      </c>
      <c r="U32" t="s">
        <v>1363</v>
      </c>
      <c r="V32" t="s">
        <v>1361</v>
      </c>
      <c r="W32" s="4">
        <v>45354</v>
      </c>
      <c r="X32" s="4">
        <v>45358</v>
      </c>
      <c r="Y32" t="b">
        <v>0</v>
      </c>
      <c r="Z32" t="s">
        <v>1412</v>
      </c>
      <c r="AA32" t="s">
        <v>1412</v>
      </c>
      <c r="AB32" t="s">
        <v>1412</v>
      </c>
      <c r="AC32" t="s">
        <v>1376</v>
      </c>
      <c r="AD32" t="s">
        <v>1394</v>
      </c>
      <c r="AE32" t="s">
        <v>1383</v>
      </c>
    </row>
    <row r="33" spans="1:31" x14ac:dyDescent="0.3">
      <c r="A33" t="s">
        <v>62</v>
      </c>
      <c r="B33" s="4">
        <v>45576.423611111109</v>
      </c>
      <c r="C33" t="s">
        <v>63</v>
      </c>
      <c r="D33" t="s">
        <v>1141</v>
      </c>
      <c r="E33" t="s">
        <v>1239</v>
      </c>
      <c r="F33" t="str" cm="1">
        <f t="array" ref="F33">_xlfn.IFS(
E33="Ahmedabad","Gujarat",
E33="Bengaluru","Karnataka",
E33="Bhopal","Madhya Pradesh",
E33="Bhubaneswar","Odisha",
E33="Chandigarh","Chandigarh",
E33="Chennai","Tamil Nadu",
E33="Delhi","Delhi",
E33="Guwahati","Assam",
E33="Hyderabad","Telangana",
E33="Indore","Madhya Pradesh",
E33="Jaipur","Rajasthan",
E33="Kochi","Kerala",
E33="Kolkata","West Bengal",
E33="Lucknow","Uttar Pradesh",
E33="Mumbai","Maharashtra",
E33="Nagpur","Maharashtra",
E33="Patna","Bihar",
E33="Pune","Maharashtra",
E33="Raipur","Chhattisgarh",
E33="Surat","Gujarat",
TRUE,"Not Found"
)</f>
        <v>Odisha</v>
      </c>
      <c r="G33" t="s">
        <v>1143</v>
      </c>
      <c r="H33" t="s">
        <v>1163</v>
      </c>
      <c r="I33" t="s">
        <v>1240</v>
      </c>
      <c r="J33" t="s">
        <v>1241</v>
      </c>
      <c r="K33" t="s">
        <v>1242</v>
      </c>
      <c r="L33">
        <v>1</v>
      </c>
      <c r="M33">
        <v>925</v>
      </c>
      <c r="N33">
        <v>0.1</v>
      </c>
      <c r="O33">
        <v>832.5</v>
      </c>
      <c r="P33">
        <v>0.18</v>
      </c>
      <c r="Q33">
        <v>832.5</v>
      </c>
      <c r="R33">
        <v>149.85</v>
      </c>
      <c r="S33">
        <v>982.35</v>
      </c>
      <c r="T33">
        <f>ROUND(Table2[[#This Row],[TotalAmount]],0)</f>
        <v>982</v>
      </c>
      <c r="U33" t="s">
        <v>1365</v>
      </c>
      <c r="V33" t="s">
        <v>1361</v>
      </c>
      <c r="W33" s="4">
        <v>45577</v>
      </c>
      <c r="X33" s="4">
        <v>45581</v>
      </c>
      <c r="Y33" t="b">
        <v>0</v>
      </c>
      <c r="Z33" t="s">
        <v>1412</v>
      </c>
      <c r="AA33" t="s">
        <v>1412</v>
      </c>
      <c r="AB33" t="s">
        <v>1412</v>
      </c>
      <c r="AC33" t="s">
        <v>1392</v>
      </c>
      <c r="AD33" t="s">
        <v>1400</v>
      </c>
      <c r="AE33" t="s">
        <v>1395</v>
      </c>
    </row>
    <row r="34" spans="1:31" x14ac:dyDescent="0.3">
      <c r="A34" t="s">
        <v>64</v>
      </c>
      <c r="B34" s="4">
        <v>45466.652083333327</v>
      </c>
      <c r="C34" t="s">
        <v>65</v>
      </c>
      <c r="D34" t="s">
        <v>1141</v>
      </c>
      <c r="E34" t="s">
        <v>1142</v>
      </c>
      <c r="F34" t="str" cm="1">
        <f t="array" ref="F34">_xlfn.IFS(
E34="Ahmedabad","Gujarat",
E34="Bengaluru","Karnataka",
E34="Bhopal","Madhya Pradesh",
E34="Bhubaneswar","Odisha",
E34="Chandigarh","Chandigarh",
E34="Chennai","Tamil Nadu",
E34="Delhi","Delhi",
E34="Guwahati","Assam",
E34="Hyderabad","Telangana",
E34="Indore","Madhya Pradesh",
E34="Jaipur","Rajasthan",
E34="Kochi","Kerala",
E34="Kolkata","West Bengal",
E34="Lucknow","Uttar Pradesh",
E34="Mumbai","Maharashtra",
E34="Nagpur","Maharashtra",
E34="Patna","Bihar",
E34="Pune","Maharashtra",
E34="Raipur","Chhattisgarh",
E34="Surat","Gujarat",
TRUE,"Not Found"
)</f>
        <v>West Bengal</v>
      </c>
      <c r="G34" t="s">
        <v>1143</v>
      </c>
      <c r="H34" t="s">
        <v>1163</v>
      </c>
      <c r="I34" t="s">
        <v>1224</v>
      </c>
      <c r="J34" t="s">
        <v>1243</v>
      </c>
      <c r="K34" t="s">
        <v>1244</v>
      </c>
      <c r="L34">
        <v>4</v>
      </c>
      <c r="M34">
        <v>217</v>
      </c>
      <c r="N34">
        <v>0</v>
      </c>
      <c r="O34">
        <v>217</v>
      </c>
      <c r="P34">
        <v>0.05</v>
      </c>
      <c r="Q34">
        <v>868</v>
      </c>
      <c r="R34">
        <v>43.400000000000013</v>
      </c>
      <c r="S34">
        <v>911.4</v>
      </c>
      <c r="T34">
        <f>ROUND(Table2[[#This Row],[TotalAmount]],0)</f>
        <v>911</v>
      </c>
      <c r="U34" t="s">
        <v>1365</v>
      </c>
      <c r="V34" t="s">
        <v>1361</v>
      </c>
      <c r="W34" s="4">
        <v>45467</v>
      </c>
      <c r="X34" s="4">
        <v>45469</v>
      </c>
      <c r="Y34" t="b">
        <v>0</v>
      </c>
      <c r="Z34" t="s">
        <v>1412</v>
      </c>
      <c r="AA34" t="s">
        <v>1412</v>
      </c>
      <c r="AB34" t="s">
        <v>1412</v>
      </c>
      <c r="AC34" t="s">
        <v>1382</v>
      </c>
      <c r="AD34" t="s">
        <v>1394</v>
      </c>
      <c r="AE34" t="s">
        <v>1378</v>
      </c>
    </row>
    <row r="35" spans="1:31" x14ac:dyDescent="0.3">
      <c r="A35" t="s">
        <v>66</v>
      </c>
      <c r="B35" s="4">
        <v>45501.443055555559</v>
      </c>
      <c r="C35" t="s">
        <v>67</v>
      </c>
      <c r="D35" t="s">
        <v>1148</v>
      </c>
      <c r="E35" t="s">
        <v>1149</v>
      </c>
      <c r="F35" t="str" cm="1">
        <f t="array" ref="F35">_xlfn.IFS(
E35="Ahmedabad","Gujarat",
E35="Bengaluru","Karnataka",
E35="Bhopal","Madhya Pradesh",
E35="Bhubaneswar","Odisha",
E35="Chandigarh","Chandigarh",
E35="Chennai","Tamil Nadu",
E35="Delhi","Delhi",
E35="Guwahati","Assam",
E35="Hyderabad","Telangana",
E35="Indore","Madhya Pradesh",
E35="Jaipur","Rajasthan",
E35="Kochi","Kerala",
E35="Kolkata","West Bengal",
E35="Lucknow","Uttar Pradesh",
E35="Mumbai","Maharashtra",
E35="Nagpur","Maharashtra",
E35="Patna","Bihar",
E35="Pune","Maharashtra",
E35="Raipur","Chhattisgarh",
E35="Surat","Gujarat",
TRUE,"Not Found"
)</f>
        <v>Uttar Pradesh</v>
      </c>
      <c r="G35" t="s">
        <v>1150</v>
      </c>
      <c r="H35" t="s">
        <v>1163</v>
      </c>
      <c r="I35" t="s">
        <v>1184</v>
      </c>
      <c r="J35" t="s">
        <v>1245</v>
      </c>
      <c r="K35" t="s">
        <v>1246</v>
      </c>
      <c r="L35">
        <v>2</v>
      </c>
      <c r="M35">
        <v>893</v>
      </c>
      <c r="N35">
        <v>0.15</v>
      </c>
      <c r="O35">
        <v>759.05</v>
      </c>
      <c r="P35">
        <v>0.18</v>
      </c>
      <c r="Q35">
        <v>1518.1</v>
      </c>
      <c r="R35">
        <v>273.25799999999998</v>
      </c>
      <c r="S35">
        <v>1791.3579999999999</v>
      </c>
      <c r="T35">
        <f>ROUND(Table2[[#This Row],[TotalAmount]],0)</f>
        <v>1791</v>
      </c>
      <c r="U35" t="s">
        <v>1366</v>
      </c>
      <c r="V35" t="s">
        <v>1361</v>
      </c>
      <c r="W35" s="4">
        <v>45503</v>
      </c>
      <c r="X35" s="4">
        <v>45507</v>
      </c>
      <c r="Y35" t="b">
        <v>0</v>
      </c>
      <c r="Z35" t="s">
        <v>1412</v>
      </c>
      <c r="AA35" t="s">
        <v>1412</v>
      </c>
      <c r="AB35" t="s">
        <v>1412</v>
      </c>
      <c r="AC35" t="s">
        <v>1392</v>
      </c>
      <c r="AD35" t="s">
        <v>1394</v>
      </c>
      <c r="AE35" t="s">
        <v>1389</v>
      </c>
    </row>
    <row r="36" spans="1:31" x14ac:dyDescent="0.3">
      <c r="A36" t="s">
        <v>68</v>
      </c>
      <c r="B36" s="4">
        <v>45584.666666666657</v>
      </c>
      <c r="C36" t="s">
        <v>69</v>
      </c>
      <c r="D36" t="s">
        <v>1153</v>
      </c>
      <c r="E36" t="s">
        <v>1191</v>
      </c>
      <c r="F36" t="str" cm="1">
        <f t="array" ref="F36">_xlfn.IFS(
E36="Ahmedabad","Gujarat",
E36="Bengaluru","Karnataka",
E36="Bhopal","Madhya Pradesh",
E36="Bhubaneswar","Odisha",
E36="Chandigarh","Chandigarh",
E36="Chennai","Tamil Nadu",
E36="Delhi","Delhi",
E36="Guwahati","Assam",
E36="Hyderabad","Telangana",
E36="Indore","Madhya Pradesh",
E36="Jaipur","Rajasthan",
E36="Kochi","Kerala",
E36="Kolkata","West Bengal",
E36="Lucknow","Uttar Pradesh",
E36="Mumbai","Maharashtra",
E36="Nagpur","Maharashtra",
E36="Patna","Bihar",
E36="Pune","Maharashtra",
E36="Raipur","Chhattisgarh",
E36="Surat","Gujarat",
TRUE,"Not Found"
)</f>
        <v>Madhya Pradesh</v>
      </c>
      <c r="G36" t="s">
        <v>1187</v>
      </c>
      <c r="H36" t="s">
        <v>1163</v>
      </c>
      <c r="I36" t="s">
        <v>1240</v>
      </c>
      <c r="J36" t="s">
        <v>1247</v>
      </c>
      <c r="K36" t="s">
        <v>1248</v>
      </c>
      <c r="L36">
        <v>2</v>
      </c>
      <c r="M36">
        <v>934</v>
      </c>
      <c r="N36">
        <v>0.1</v>
      </c>
      <c r="O36">
        <v>840.6</v>
      </c>
      <c r="P36">
        <v>0.18</v>
      </c>
      <c r="Q36">
        <v>1681.2</v>
      </c>
      <c r="R36">
        <v>302.61599999999999</v>
      </c>
      <c r="S36">
        <v>1983.816</v>
      </c>
      <c r="T36">
        <f>ROUND(Table2[[#This Row],[TotalAmount]],0)</f>
        <v>1984</v>
      </c>
      <c r="U36" t="s">
        <v>1362</v>
      </c>
      <c r="V36" t="s">
        <v>1361</v>
      </c>
      <c r="W36" s="4">
        <v>45584</v>
      </c>
      <c r="X36" s="4">
        <v>45586</v>
      </c>
      <c r="Y36" t="b">
        <v>0</v>
      </c>
      <c r="Z36" t="s">
        <v>1412</v>
      </c>
      <c r="AA36" t="s">
        <v>1412</v>
      </c>
      <c r="AB36" t="s">
        <v>1412</v>
      </c>
      <c r="AC36" t="s">
        <v>1390</v>
      </c>
      <c r="AD36" t="s">
        <v>1387</v>
      </c>
      <c r="AE36" t="s">
        <v>1383</v>
      </c>
    </row>
    <row r="37" spans="1:31" x14ac:dyDescent="0.3">
      <c r="A37" t="s">
        <v>70</v>
      </c>
      <c r="B37" s="4">
        <v>45637.599999999999</v>
      </c>
      <c r="C37" t="s">
        <v>71</v>
      </c>
      <c r="D37" t="s">
        <v>1157</v>
      </c>
      <c r="E37" t="s">
        <v>1249</v>
      </c>
      <c r="F37" t="str" cm="1">
        <f t="array" ref="F37">_xlfn.IFS(
E37="Ahmedabad","Gujarat",
E37="Bengaluru","Karnataka",
E37="Bhopal","Madhya Pradesh",
E37="Bhubaneswar","Odisha",
E37="Chandigarh","Chandigarh",
E37="Chennai","Tamil Nadu",
E37="Delhi","Delhi",
E37="Guwahati","Assam",
E37="Hyderabad","Telangana",
E37="Indore","Madhya Pradesh",
E37="Jaipur","Rajasthan",
E37="Kochi","Kerala",
E37="Kolkata","West Bengal",
E37="Lucknow","Uttar Pradesh",
E37="Mumbai","Maharashtra",
E37="Nagpur","Maharashtra",
E37="Patna","Bihar",
E37="Pune","Maharashtra",
E37="Raipur","Chhattisgarh",
E37="Surat","Gujarat",
TRUE,"Not Found"
)</f>
        <v>Maharashtra</v>
      </c>
      <c r="G37" t="s">
        <v>1150</v>
      </c>
      <c r="H37" t="s">
        <v>1172</v>
      </c>
      <c r="I37" t="s">
        <v>1198</v>
      </c>
      <c r="J37" t="s">
        <v>1250</v>
      </c>
      <c r="K37" t="s">
        <v>1251</v>
      </c>
      <c r="L37">
        <v>3</v>
      </c>
      <c r="M37">
        <v>6459</v>
      </c>
      <c r="N37">
        <v>0.1</v>
      </c>
      <c r="O37">
        <v>5813.1</v>
      </c>
      <c r="P37">
        <v>0.12</v>
      </c>
      <c r="Q37">
        <v>17439.3</v>
      </c>
      <c r="R37">
        <v>2092.7159999999999</v>
      </c>
      <c r="S37">
        <v>19532.016</v>
      </c>
      <c r="T37">
        <f>ROUND(Table2[[#This Row],[TotalAmount]],0)</f>
        <v>19532</v>
      </c>
      <c r="U37" t="s">
        <v>1365</v>
      </c>
      <c r="V37" t="s">
        <v>1368</v>
      </c>
      <c r="W37" s="4">
        <v>45639</v>
      </c>
      <c r="X37" s="4" t="s">
        <v>1412</v>
      </c>
      <c r="Y37" t="b">
        <v>0</v>
      </c>
      <c r="Z37" t="s">
        <v>1412</v>
      </c>
      <c r="AA37" t="s">
        <v>1412</v>
      </c>
      <c r="AB37" t="s">
        <v>1412</v>
      </c>
      <c r="AC37" t="s">
        <v>1376</v>
      </c>
      <c r="AD37" t="s">
        <v>1399</v>
      </c>
      <c r="AE37" t="s">
        <v>1380</v>
      </c>
    </row>
    <row r="38" spans="1:31" x14ac:dyDescent="0.3">
      <c r="A38" t="s">
        <v>72</v>
      </c>
      <c r="B38" s="4">
        <v>45669.574305555558</v>
      </c>
      <c r="C38" t="s">
        <v>73</v>
      </c>
      <c r="D38" t="s">
        <v>1157</v>
      </c>
      <c r="E38" t="s">
        <v>1249</v>
      </c>
      <c r="F38" t="str" cm="1">
        <f t="array" ref="F38">_xlfn.IFS(
E38="Ahmedabad","Gujarat",
E38="Bengaluru","Karnataka",
E38="Bhopal","Madhya Pradesh",
E38="Bhubaneswar","Odisha",
E38="Chandigarh","Chandigarh",
E38="Chennai","Tamil Nadu",
E38="Delhi","Delhi",
E38="Guwahati","Assam",
E38="Hyderabad","Telangana",
E38="Indore","Madhya Pradesh",
E38="Jaipur","Rajasthan",
E38="Kochi","Kerala",
E38="Kolkata","West Bengal",
E38="Lucknow","Uttar Pradesh",
E38="Mumbai","Maharashtra",
E38="Nagpur","Maharashtra",
E38="Patna","Bihar",
E38="Pune","Maharashtra",
E38="Raipur","Chhattisgarh",
E38="Surat","Gujarat",
TRUE,"Not Found"
)</f>
        <v>Maharashtra</v>
      </c>
      <c r="G38" t="s">
        <v>1187</v>
      </c>
      <c r="H38" t="s">
        <v>1144</v>
      </c>
      <c r="I38" t="s">
        <v>1214</v>
      </c>
      <c r="J38" t="s">
        <v>1252</v>
      </c>
      <c r="K38" t="s">
        <v>1253</v>
      </c>
      <c r="L38">
        <v>3</v>
      </c>
      <c r="M38">
        <v>10613</v>
      </c>
      <c r="N38">
        <v>0.05</v>
      </c>
      <c r="O38">
        <v>10082.35</v>
      </c>
      <c r="P38">
        <v>0.18</v>
      </c>
      <c r="Q38">
        <v>30247.05</v>
      </c>
      <c r="R38">
        <v>5444.4690000000001</v>
      </c>
      <c r="S38">
        <v>35691.519</v>
      </c>
      <c r="T38">
        <f>ROUND(Table2[[#This Row],[TotalAmount]],0)</f>
        <v>35692</v>
      </c>
      <c r="U38" t="s">
        <v>1360</v>
      </c>
      <c r="V38" t="s">
        <v>1361</v>
      </c>
      <c r="W38" s="4">
        <v>45669</v>
      </c>
      <c r="X38" s="4">
        <v>45671</v>
      </c>
      <c r="Y38" t="b">
        <v>0</v>
      </c>
      <c r="Z38" t="s">
        <v>1412</v>
      </c>
      <c r="AA38" t="s">
        <v>1412</v>
      </c>
      <c r="AB38" t="s">
        <v>1412</v>
      </c>
      <c r="AC38" t="s">
        <v>1398</v>
      </c>
      <c r="AD38" t="s">
        <v>1399</v>
      </c>
      <c r="AE38" t="s">
        <v>1383</v>
      </c>
    </row>
    <row r="39" spans="1:31" x14ac:dyDescent="0.3">
      <c r="A39" t="s">
        <v>74</v>
      </c>
      <c r="B39" s="4">
        <v>45593.577777777777</v>
      </c>
      <c r="C39" t="s">
        <v>75</v>
      </c>
      <c r="D39" t="s">
        <v>1182</v>
      </c>
      <c r="E39" t="s">
        <v>1183</v>
      </c>
      <c r="F39" t="str" cm="1">
        <f t="array" ref="F39">_xlfn.IFS(
E39="Ahmedabad","Gujarat",
E39="Bengaluru","Karnataka",
E39="Bhopal","Madhya Pradesh",
E39="Bhubaneswar","Odisha",
E39="Chandigarh","Chandigarh",
E39="Chennai","Tamil Nadu",
E39="Delhi","Delhi",
E39="Guwahati","Assam",
E39="Hyderabad","Telangana",
E39="Indore","Madhya Pradesh",
E39="Jaipur","Rajasthan",
E39="Kochi","Kerala",
E39="Kolkata","West Bengal",
E39="Lucknow","Uttar Pradesh",
E39="Mumbai","Maharashtra",
E39="Nagpur","Maharashtra",
E39="Patna","Bihar",
E39="Pune","Maharashtra",
E39="Raipur","Chhattisgarh",
E39="Surat","Gujarat",
TRUE,"Not Found"
)</f>
        <v>Telangana</v>
      </c>
      <c r="G39" t="s">
        <v>1143</v>
      </c>
      <c r="H39" t="s">
        <v>1177</v>
      </c>
      <c r="I39" t="s">
        <v>1236</v>
      </c>
      <c r="J39" t="s">
        <v>1254</v>
      </c>
      <c r="K39" t="s">
        <v>1255</v>
      </c>
      <c r="L39">
        <v>1</v>
      </c>
      <c r="M39">
        <v>1020</v>
      </c>
      <c r="N39">
        <v>0.05</v>
      </c>
      <c r="O39">
        <v>969</v>
      </c>
      <c r="P39">
        <v>0.18</v>
      </c>
      <c r="Q39">
        <v>969</v>
      </c>
      <c r="R39">
        <v>174.42</v>
      </c>
      <c r="S39">
        <v>1143.42</v>
      </c>
      <c r="T39">
        <f>ROUND(Table2[[#This Row],[TotalAmount]],0)</f>
        <v>1143</v>
      </c>
      <c r="U39" t="s">
        <v>1360</v>
      </c>
      <c r="V39" t="s">
        <v>1361</v>
      </c>
      <c r="W39" s="4">
        <v>45593</v>
      </c>
      <c r="X39" s="4">
        <v>45595</v>
      </c>
      <c r="Y39" t="b">
        <v>0</v>
      </c>
      <c r="Z39" t="s">
        <v>1412</v>
      </c>
      <c r="AA39" t="s">
        <v>1412</v>
      </c>
      <c r="AB39" t="s">
        <v>1412</v>
      </c>
      <c r="AC39" t="s">
        <v>1386</v>
      </c>
      <c r="AD39" t="s">
        <v>1394</v>
      </c>
      <c r="AE39" t="s">
        <v>1383</v>
      </c>
    </row>
    <row r="40" spans="1:31" x14ac:dyDescent="0.3">
      <c r="A40" t="s">
        <v>76</v>
      </c>
      <c r="B40" s="4">
        <v>45756.611805555563</v>
      </c>
      <c r="C40" t="s">
        <v>77</v>
      </c>
      <c r="D40" t="s">
        <v>1182</v>
      </c>
      <c r="E40" t="s">
        <v>1256</v>
      </c>
      <c r="F40" t="str" cm="1">
        <f t="array" ref="F40">_xlfn.IFS(
E40="Ahmedabad","Gujarat",
E40="Bengaluru","Karnataka",
E40="Bhopal","Madhya Pradesh",
E40="Bhubaneswar","Odisha",
E40="Chandigarh","Chandigarh",
E40="Chennai","Tamil Nadu",
E40="Delhi","Delhi",
E40="Guwahati","Assam",
E40="Hyderabad","Telangana",
E40="Indore","Madhya Pradesh",
E40="Jaipur","Rajasthan",
E40="Kochi","Kerala",
E40="Kolkata","West Bengal",
E40="Lucknow","Uttar Pradesh",
E40="Mumbai","Maharashtra",
E40="Nagpur","Maharashtra",
E40="Patna","Bihar",
E40="Pune","Maharashtra",
E40="Raipur","Chhattisgarh",
E40="Surat","Gujarat",
TRUE,"Not Found"
)</f>
        <v>Karnataka</v>
      </c>
      <c r="G40" t="s">
        <v>1150</v>
      </c>
      <c r="H40" t="s">
        <v>1144</v>
      </c>
      <c r="I40" t="s">
        <v>1214</v>
      </c>
      <c r="J40" t="s">
        <v>1252</v>
      </c>
      <c r="K40" t="s">
        <v>1253</v>
      </c>
      <c r="L40">
        <v>1</v>
      </c>
      <c r="M40">
        <v>11507</v>
      </c>
      <c r="N40">
        <v>0</v>
      </c>
      <c r="O40">
        <v>11507</v>
      </c>
      <c r="P40">
        <v>0.12</v>
      </c>
      <c r="Q40">
        <v>11507</v>
      </c>
      <c r="R40">
        <v>1380.84</v>
      </c>
      <c r="S40">
        <v>12887.84</v>
      </c>
      <c r="T40">
        <f>ROUND(Table2[[#This Row],[TotalAmount]],0)</f>
        <v>12888</v>
      </c>
      <c r="U40" t="s">
        <v>1363</v>
      </c>
      <c r="V40" t="s">
        <v>1361</v>
      </c>
      <c r="W40" s="4">
        <v>45757</v>
      </c>
      <c r="X40" s="4">
        <v>45759</v>
      </c>
      <c r="Y40" t="b">
        <v>0</v>
      </c>
      <c r="Z40" t="s">
        <v>1412</v>
      </c>
      <c r="AA40" t="s">
        <v>1412</v>
      </c>
      <c r="AB40" t="s">
        <v>1412</v>
      </c>
      <c r="AC40" t="s">
        <v>1376</v>
      </c>
      <c r="AD40" t="s">
        <v>1385</v>
      </c>
      <c r="AE40" t="s">
        <v>1393</v>
      </c>
    </row>
    <row r="41" spans="1:31" x14ac:dyDescent="0.3">
      <c r="A41" t="s">
        <v>78</v>
      </c>
      <c r="B41" s="4">
        <v>45593.597916666673</v>
      </c>
      <c r="C41" t="s">
        <v>79</v>
      </c>
      <c r="D41" t="s">
        <v>1182</v>
      </c>
      <c r="E41" t="s">
        <v>1257</v>
      </c>
      <c r="F41" t="str" cm="1">
        <f t="array" ref="F41">_xlfn.IFS(
E41="Ahmedabad","Gujarat",
E41="Bengaluru","Karnataka",
E41="Bhopal","Madhya Pradesh",
E41="Bhubaneswar","Odisha",
E41="Chandigarh","Chandigarh",
E41="Chennai","Tamil Nadu",
E41="Delhi","Delhi",
E41="Guwahati","Assam",
E41="Hyderabad","Telangana",
E41="Indore","Madhya Pradesh",
E41="Jaipur","Rajasthan",
E41="Kochi","Kerala",
E41="Kolkata","West Bengal",
E41="Lucknow","Uttar Pradesh",
E41="Mumbai","Maharashtra",
E41="Nagpur","Maharashtra",
E41="Patna","Bihar",
E41="Pune","Maharashtra",
E41="Raipur","Chhattisgarh",
E41="Surat","Gujarat",
TRUE,"Not Found"
)</f>
        <v>Kerala</v>
      </c>
      <c r="G41" t="s">
        <v>1143</v>
      </c>
      <c r="H41" t="s">
        <v>1172</v>
      </c>
      <c r="I41" t="s">
        <v>1188</v>
      </c>
      <c r="J41" t="s">
        <v>1258</v>
      </c>
      <c r="K41" t="s">
        <v>1259</v>
      </c>
      <c r="L41">
        <v>3</v>
      </c>
      <c r="M41">
        <v>5257</v>
      </c>
      <c r="N41">
        <v>0.05</v>
      </c>
      <c r="O41">
        <v>4994.1499999999996</v>
      </c>
      <c r="P41">
        <v>0.12</v>
      </c>
      <c r="Q41">
        <v>14982.45</v>
      </c>
      <c r="R41">
        <v>1797.894</v>
      </c>
      <c r="S41">
        <v>16780.344000000001</v>
      </c>
      <c r="T41">
        <f>ROUND(Table2[[#This Row],[TotalAmount]],0)</f>
        <v>16780</v>
      </c>
      <c r="U41" t="s">
        <v>1362</v>
      </c>
      <c r="V41" t="s">
        <v>1361</v>
      </c>
      <c r="W41" s="4">
        <v>45595</v>
      </c>
      <c r="X41" s="4">
        <v>45597</v>
      </c>
      <c r="Y41" t="b">
        <v>0</v>
      </c>
      <c r="Z41" t="s">
        <v>1412</v>
      </c>
      <c r="AA41" t="s">
        <v>1412</v>
      </c>
      <c r="AB41" t="s">
        <v>1412</v>
      </c>
      <c r="AC41" t="s">
        <v>1396</v>
      </c>
      <c r="AD41" t="s">
        <v>1385</v>
      </c>
      <c r="AE41" t="s">
        <v>1393</v>
      </c>
    </row>
    <row r="42" spans="1:31" x14ac:dyDescent="0.3">
      <c r="A42" t="s">
        <v>80</v>
      </c>
      <c r="B42" s="4">
        <v>45378.474305555559</v>
      </c>
      <c r="C42" t="s">
        <v>81</v>
      </c>
      <c r="D42" t="s">
        <v>1148</v>
      </c>
      <c r="E42" t="s">
        <v>1149</v>
      </c>
      <c r="F42" t="str" cm="1">
        <f t="array" ref="F42">_xlfn.IFS(
E42="Ahmedabad","Gujarat",
E42="Bengaluru","Karnataka",
E42="Bhopal","Madhya Pradesh",
E42="Bhubaneswar","Odisha",
E42="Chandigarh","Chandigarh",
E42="Chennai","Tamil Nadu",
E42="Delhi","Delhi",
E42="Guwahati","Assam",
E42="Hyderabad","Telangana",
E42="Indore","Madhya Pradesh",
E42="Jaipur","Rajasthan",
E42="Kochi","Kerala",
E42="Kolkata","West Bengal",
E42="Lucknow","Uttar Pradesh",
E42="Mumbai","Maharashtra",
E42="Nagpur","Maharashtra",
E42="Patna","Bihar",
E42="Pune","Maharashtra",
E42="Raipur","Chhattisgarh",
E42="Surat","Gujarat",
TRUE,"Not Found"
)</f>
        <v>Uttar Pradesh</v>
      </c>
      <c r="G42" t="s">
        <v>1187</v>
      </c>
      <c r="H42" t="s">
        <v>1163</v>
      </c>
      <c r="I42" t="s">
        <v>1184</v>
      </c>
      <c r="J42" t="s">
        <v>1260</v>
      </c>
      <c r="K42" t="s">
        <v>1261</v>
      </c>
      <c r="L42">
        <v>4</v>
      </c>
      <c r="M42">
        <v>183</v>
      </c>
      <c r="N42">
        <v>0.05</v>
      </c>
      <c r="O42">
        <v>173.85</v>
      </c>
      <c r="P42">
        <v>0.05</v>
      </c>
      <c r="Q42">
        <v>695.4</v>
      </c>
      <c r="R42">
        <v>34.770000000000003</v>
      </c>
      <c r="S42">
        <v>730.17</v>
      </c>
      <c r="T42">
        <f>ROUND(Table2[[#This Row],[TotalAmount]],0)</f>
        <v>730</v>
      </c>
      <c r="U42" t="s">
        <v>1365</v>
      </c>
      <c r="V42" t="s">
        <v>1361</v>
      </c>
      <c r="W42" s="4">
        <v>45378</v>
      </c>
      <c r="X42" s="4">
        <v>45379</v>
      </c>
      <c r="Y42" t="b">
        <v>0</v>
      </c>
      <c r="Z42" t="s">
        <v>1412</v>
      </c>
      <c r="AA42" t="s">
        <v>1412</v>
      </c>
      <c r="AB42" t="s">
        <v>1412</v>
      </c>
      <c r="AC42" t="s">
        <v>1396</v>
      </c>
      <c r="AD42" t="s">
        <v>1387</v>
      </c>
      <c r="AE42" t="s">
        <v>1393</v>
      </c>
    </row>
    <row r="43" spans="1:31" x14ac:dyDescent="0.3">
      <c r="A43" t="s">
        <v>82</v>
      </c>
      <c r="B43" s="4">
        <v>45421.498611111107</v>
      </c>
      <c r="C43" t="s">
        <v>83</v>
      </c>
      <c r="D43" t="s">
        <v>1141</v>
      </c>
      <c r="E43" t="s">
        <v>1239</v>
      </c>
      <c r="F43" t="str" cm="1">
        <f t="array" ref="F43">_xlfn.IFS(
E43="Ahmedabad","Gujarat",
E43="Bengaluru","Karnataka",
E43="Bhopal","Madhya Pradesh",
E43="Bhubaneswar","Odisha",
E43="Chandigarh","Chandigarh",
E43="Chennai","Tamil Nadu",
E43="Delhi","Delhi",
E43="Guwahati","Assam",
E43="Hyderabad","Telangana",
E43="Indore","Madhya Pradesh",
E43="Jaipur","Rajasthan",
E43="Kochi","Kerala",
E43="Kolkata","West Bengal",
E43="Lucknow","Uttar Pradesh",
E43="Mumbai","Maharashtra",
E43="Nagpur","Maharashtra",
E43="Patna","Bihar",
E43="Pune","Maharashtra",
E43="Raipur","Chhattisgarh",
E43="Surat","Gujarat",
TRUE,"Not Found"
)</f>
        <v>Odisha</v>
      </c>
      <c r="G43" t="s">
        <v>1150</v>
      </c>
      <c r="H43" t="s">
        <v>1177</v>
      </c>
      <c r="I43" t="s">
        <v>1178</v>
      </c>
      <c r="J43" t="s">
        <v>1179</v>
      </c>
      <c r="K43" t="s">
        <v>1180</v>
      </c>
      <c r="L43">
        <v>1</v>
      </c>
      <c r="M43">
        <v>646</v>
      </c>
      <c r="N43">
        <v>0.15</v>
      </c>
      <c r="O43">
        <v>549.1</v>
      </c>
      <c r="P43">
        <v>0.12</v>
      </c>
      <c r="Q43">
        <v>549.1</v>
      </c>
      <c r="R43">
        <v>65.891999999999996</v>
      </c>
      <c r="S43">
        <v>614.99199999999996</v>
      </c>
      <c r="T43">
        <f>ROUND(Table2[[#This Row],[TotalAmount]],0)</f>
        <v>615</v>
      </c>
      <c r="U43" t="s">
        <v>1363</v>
      </c>
      <c r="V43" t="s">
        <v>1361</v>
      </c>
      <c r="W43" s="4">
        <v>45423</v>
      </c>
      <c r="X43" s="4">
        <v>45426</v>
      </c>
      <c r="Y43" t="b">
        <v>0</v>
      </c>
      <c r="Z43" t="s">
        <v>1412</v>
      </c>
      <c r="AA43" t="s">
        <v>1412</v>
      </c>
      <c r="AB43" t="s">
        <v>1412</v>
      </c>
      <c r="AC43" t="s">
        <v>1396</v>
      </c>
      <c r="AD43" t="s">
        <v>1394</v>
      </c>
      <c r="AE43" t="s">
        <v>1391</v>
      </c>
    </row>
    <row r="44" spans="1:31" x14ac:dyDescent="0.3">
      <c r="A44" t="s">
        <v>84</v>
      </c>
      <c r="B44" s="4">
        <v>45427.67291666667</v>
      </c>
      <c r="C44" t="s">
        <v>12</v>
      </c>
      <c r="D44" t="s">
        <v>1153</v>
      </c>
      <c r="E44" t="s">
        <v>1162</v>
      </c>
      <c r="F44" t="str" cm="1">
        <f t="array" ref="F44">_xlfn.IFS(
E44="Ahmedabad","Gujarat",
E44="Bengaluru","Karnataka",
E44="Bhopal","Madhya Pradesh",
E44="Bhubaneswar","Odisha",
E44="Chandigarh","Chandigarh",
E44="Chennai","Tamil Nadu",
E44="Delhi","Delhi",
E44="Guwahati","Assam",
E44="Hyderabad","Telangana",
E44="Indore","Madhya Pradesh",
E44="Jaipur","Rajasthan",
E44="Kochi","Kerala",
E44="Kolkata","West Bengal",
E44="Lucknow","Uttar Pradesh",
E44="Mumbai","Maharashtra",
E44="Nagpur","Maharashtra",
E44="Patna","Bihar",
E44="Pune","Maharashtra",
E44="Raipur","Chhattisgarh",
E44="Surat","Gujarat",
TRUE,"Not Found"
)</f>
        <v>Madhya Pradesh</v>
      </c>
      <c r="G44" t="s">
        <v>1143</v>
      </c>
      <c r="H44" t="s">
        <v>1163</v>
      </c>
      <c r="I44" t="s">
        <v>1240</v>
      </c>
      <c r="J44" t="s">
        <v>1247</v>
      </c>
      <c r="K44" t="s">
        <v>1248</v>
      </c>
      <c r="L44">
        <v>1</v>
      </c>
      <c r="M44">
        <v>281</v>
      </c>
      <c r="N44">
        <v>0</v>
      </c>
      <c r="O44">
        <v>281</v>
      </c>
      <c r="P44">
        <v>0.12</v>
      </c>
      <c r="Q44">
        <v>281</v>
      </c>
      <c r="R44">
        <v>33.72</v>
      </c>
      <c r="S44">
        <v>314.72000000000003</v>
      </c>
      <c r="T44">
        <f>ROUND(Table2[[#This Row],[TotalAmount]],0)</f>
        <v>315</v>
      </c>
      <c r="U44" t="s">
        <v>1362</v>
      </c>
      <c r="V44" t="s">
        <v>1361</v>
      </c>
      <c r="W44" s="4">
        <v>45428</v>
      </c>
      <c r="X44" s="4">
        <v>45429</v>
      </c>
      <c r="Y44" t="b">
        <v>0</v>
      </c>
      <c r="Z44" t="s">
        <v>1412</v>
      </c>
      <c r="AA44" t="s">
        <v>1412</v>
      </c>
      <c r="AB44" t="s">
        <v>1412</v>
      </c>
      <c r="AC44" t="s">
        <v>1388</v>
      </c>
      <c r="AD44" t="s">
        <v>1387</v>
      </c>
      <c r="AE44" t="s">
        <v>1380</v>
      </c>
    </row>
    <row r="45" spans="1:31" x14ac:dyDescent="0.3">
      <c r="A45" t="s">
        <v>85</v>
      </c>
      <c r="B45" s="4">
        <v>45614.604166666657</v>
      </c>
      <c r="C45" t="s">
        <v>86</v>
      </c>
      <c r="D45" t="s">
        <v>1182</v>
      </c>
      <c r="E45" t="s">
        <v>1207</v>
      </c>
      <c r="F45" t="str" cm="1">
        <f t="array" ref="F45">_xlfn.IFS(
E45="Ahmedabad","Gujarat",
E45="Bengaluru","Karnataka",
E45="Bhopal","Madhya Pradesh",
E45="Bhubaneswar","Odisha",
E45="Chandigarh","Chandigarh",
E45="Chennai","Tamil Nadu",
E45="Delhi","Delhi",
E45="Guwahati","Assam",
E45="Hyderabad","Telangana",
E45="Indore","Madhya Pradesh",
E45="Jaipur","Rajasthan",
E45="Kochi","Kerala",
E45="Kolkata","West Bengal",
E45="Lucknow","Uttar Pradesh",
E45="Mumbai","Maharashtra",
E45="Nagpur","Maharashtra",
E45="Patna","Bihar",
E45="Pune","Maharashtra",
E45="Raipur","Chhattisgarh",
E45="Surat","Gujarat",
TRUE,"Not Found"
)</f>
        <v>Tamil Nadu</v>
      </c>
      <c r="G45" t="s">
        <v>1143</v>
      </c>
      <c r="H45" t="s">
        <v>1144</v>
      </c>
      <c r="I45" t="s">
        <v>1214</v>
      </c>
      <c r="J45" t="s">
        <v>1215</v>
      </c>
      <c r="K45" t="s">
        <v>1216</v>
      </c>
      <c r="L45">
        <v>5</v>
      </c>
      <c r="M45">
        <v>9869</v>
      </c>
      <c r="N45">
        <v>0.05</v>
      </c>
      <c r="O45">
        <v>9375.5499999999993</v>
      </c>
      <c r="P45">
        <v>0.18</v>
      </c>
      <c r="Q45">
        <v>46877.75</v>
      </c>
      <c r="R45">
        <v>8437.994999999999</v>
      </c>
      <c r="S45">
        <v>55315.745000000003</v>
      </c>
      <c r="T45">
        <f>ROUND(Table2[[#This Row],[TotalAmount]],0)</f>
        <v>55316</v>
      </c>
      <c r="U45" t="s">
        <v>1360</v>
      </c>
      <c r="V45" t="s">
        <v>1369</v>
      </c>
      <c r="W45" s="4" t="s">
        <v>1412</v>
      </c>
      <c r="X45" s="4" t="s">
        <v>1412</v>
      </c>
      <c r="Y45" t="b">
        <v>0</v>
      </c>
      <c r="Z45" t="s">
        <v>1412</v>
      </c>
      <c r="AA45" t="s">
        <v>1412</v>
      </c>
      <c r="AB45" t="s">
        <v>1412</v>
      </c>
      <c r="AC45" t="s">
        <v>1390</v>
      </c>
      <c r="AD45" t="s">
        <v>1377</v>
      </c>
      <c r="AE45" t="s">
        <v>1378</v>
      </c>
    </row>
    <row r="46" spans="1:31" x14ac:dyDescent="0.3">
      <c r="A46" t="s">
        <v>87</v>
      </c>
      <c r="B46" s="4">
        <v>45769.529861111107</v>
      </c>
      <c r="C46" t="s">
        <v>88</v>
      </c>
      <c r="D46" t="s">
        <v>1148</v>
      </c>
      <c r="E46" t="s">
        <v>1262</v>
      </c>
      <c r="F46" t="str" cm="1">
        <f t="array" ref="F46">_xlfn.IFS(
E46="Ahmedabad","Gujarat",
E46="Bengaluru","Karnataka",
E46="Bhopal","Madhya Pradesh",
E46="Bhubaneswar","Odisha",
E46="Chandigarh","Chandigarh",
E46="Chennai","Tamil Nadu",
E46="Delhi","Delhi",
E46="Guwahati","Assam",
E46="Hyderabad","Telangana",
E46="Indore","Madhya Pradesh",
E46="Jaipur","Rajasthan",
E46="Kochi","Kerala",
E46="Kolkata","West Bengal",
E46="Lucknow","Uttar Pradesh",
E46="Mumbai","Maharashtra",
E46="Nagpur","Maharashtra",
E46="Patna","Bihar",
E46="Pune","Maharashtra",
E46="Raipur","Chhattisgarh",
E46="Surat","Gujarat",
TRUE,"Not Found"
)</f>
        <v>Rajasthan</v>
      </c>
      <c r="G46" t="s">
        <v>1143</v>
      </c>
      <c r="H46" t="s">
        <v>1144</v>
      </c>
      <c r="I46" t="s">
        <v>1214</v>
      </c>
      <c r="J46" t="s">
        <v>1215</v>
      </c>
      <c r="K46" t="s">
        <v>1216</v>
      </c>
      <c r="L46">
        <v>2</v>
      </c>
      <c r="M46">
        <v>13996</v>
      </c>
      <c r="N46">
        <v>0</v>
      </c>
      <c r="O46">
        <v>13996</v>
      </c>
      <c r="P46">
        <v>0.12</v>
      </c>
      <c r="Q46">
        <v>27992</v>
      </c>
      <c r="R46">
        <v>3359.04</v>
      </c>
      <c r="S46">
        <v>31351.040000000001</v>
      </c>
      <c r="T46">
        <f>ROUND(Table2[[#This Row],[TotalAmount]],0)</f>
        <v>31351</v>
      </c>
      <c r="U46" t="s">
        <v>1363</v>
      </c>
      <c r="V46" t="s">
        <v>1361</v>
      </c>
      <c r="W46" s="4">
        <v>45769</v>
      </c>
      <c r="X46" s="4">
        <v>45774</v>
      </c>
      <c r="Y46" t="b">
        <v>0</v>
      </c>
      <c r="Z46" t="s">
        <v>1412</v>
      </c>
      <c r="AA46" t="s">
        <v>1412</v>
      </c>
      <c r="AB46" t="s">
        <v>1412</v>
      </c>
      <c r="AC46" t="s">
        <v>1388</v>
      </c>
      <c r="AD46" t="s">
        <v>1399</v>
      </c>
      <c r="AE46" t="s">
        <v>1395</v>
      </c>
    </row>
    <row r="47" spans="1:31" x14ac:dyDescent="0.3">
      <c r="A47" t="s">
        <v>89</v>
      </c>
      <c r="B47" s="4">
        <v>45631.53125</v>
      </c>
      <c r="C47" t="s">
        <v>71</v>
      </c>
      <c r="D47" t="s">
        <v>1157</v>
      </c>
      <c r="E47" t="s">
        <v>1249</v>
      </c>
      <c r="F47" t="str" cm="1">
        <f t="array" ref="F47">_xlfn.IFS(
E47="Ahmedabad","Gujarat",
E47="Bengaluru","Karnataka",
E47="Bhopal","Madhya Pradesh",
E47="Bhubaneswar","Odisha",
E47="Chandigarh","Chandigarh",
E47="Chennai","Tamil Nadu",
E47="Delhi","Delhi",
E47="Guwahati","Assam",
E47="Hyderabad","Telangana",
E47="Indore","Madhya Pradesh",
E47="Jaipur","Rajasthan",
E47="Kochi","Kerala",
E47="Kolkata","West Bengal",
E47="Lucknow","Uttar Pradesh",
E47="Mumbai","Maharashtra",
E47="Nagpur","Maharashtra",
E47="Patna","Bihar",
E47="Pune","Maharashtra",
E47="Raipur","Chhattisgarh",
E47="Surat","Gujarat",
TRUE,"Not Found"
)</f>
        <v>Maharashtra</v>
      </c>
      <c r="G47" t="s">
        <v>1150</v>
      </c>
      <c r="H47" t="s">
        <v>1177</v>
      </c>
      <c r="I47" t="s">
        <v>1178</v>
      </c>
      <c r="J47" t="s">
        <v>1220</v>
      </c>
      <c r="K47" t="s">
        <v>1221</v>
      </c>
      <c r="L47">
        <v>1</v>
      </c>
      <c r="M47">
        <v>820</v>
      </c>
      <c r="N47">
        <v>0.15</v>
      </c>
      <c r="O47">
        <v>697</v>
      </c>
      <c r="P47">
        <v>0.05</v>
      </c>
      <c r="Q47">
        <v>697</v>
      </c>
      <c r="R47">
        <v>34.85</v>
      </c>
      <c r="S47">
        <v>731.85</v>
      </c>
      <c r="T47">
        <f>ROUND(Table2[[#This Row],[TotalAmount]],0)</f>
        <v>732</v>
      </c>
      <c r="U47" t="s">
        <v>1362</v>
      </c>
      <c r="V47" t="s">
        <v>1361</v>
      </c>
      <c r="W47" s="4">
        <v>45632</v>
      </c>
      <c r="X47" s="4">
        <v>45636</v>
      </c>
      <c r="Y47" t="b">
        <v>0</v>
      </c>
      <c r="Z47" t="s">
        <v>1412</v>
      </c>
      <c r="AA47" t="s">
        <v>1412</v>
      </c>
      <c r="AB47" t="s">
        <v>1412</v>
      </c>
      <c r="AC47" t="s">
        <v>1382</v>
      </c>
      <c r="AD47" t="s">
        <v>1385</v>
      </c>
      <c r="AE47" t="s">
        <v>1378</v>
      </c>
    </row>
    <row r="48" spans="1:31" x14ac:dyDescent="0.3">
      <c r="A48" t="s">
        <v>90</v>
      </c>
      <c r="B48" s="4">
        <v>45673.607638888891</v>
      </c>
      <c r="C48" t="s">
        <v>91</v>
      </c>
      <c r="D48" t="s">
        <v>1182</v>
      </c>
      <c r="E48" t="s">
        <v>1207</v>
      </c>
      <c r="F48" t="str" cm="1">
        <f t="array" ref="F48">_xlfn.IFS(
E48="Ahmedabad","Gujarat",
E48="Bengaluru","Karnataka",
E48="Bhopal","Madhya Pradesh",
E48="Bhubaneswar","Odisha",
E48="Chandigarh","Chandigarh",
E48="Chennai","Tamil Nadu",
E48="Delhi","Delhi",
E48="Guwahati","Assam",
E48="Hyderabad","Telangana",
E48="Indore","Madhya Pradesh",
E48="Jaipur","Rajasthan",
E48="Kochi","Kerala",
E48="Kolkata","West Bengal",
E48="Lucknow","Uttar Pradesh",
E48="Mumbai","Maharashtra",
E48="Nagpur","Maharashtra",
E48="Patna","Bihar",
E48="Pune","Maharashtra",
E48="Raipur","Chhattisgarh",
E48="Surat","Gujarat",
TRUE,"Not Found"
)</f>
        <v>Tamil Nadu</v>
      </c>
      <c r="G48" t="s">
        <v>1143</v>
      </c>
      <c r="H48" t="s">
        <v>1167</v>
      </c>
      <c r="I48" t="s">
        <v>1263</v>
      </c>
      <c r="J48" t="s">
        <v>1264</v>
      </c>
      <c r="K48" t="s">
        <v>1265</v>
      </c>
      <c r="L48">
        <v>1</v>
      </c>
      <c r="M48">
        <v>51254</v>
      </c>
      <c r="N48">
        <v>0</v>
      </c>
      <c r="O48">
        <v>51254</v>
      </c>
      <c r="P48">
        <v>0.05</v>
      </c>
      <c r="Q48">
        <v>51254</v>
      </c>
      <c r="R48">
        <v>2562.6999999999998</v>
      </c>
      <c r="S48">
        <v>53816.7</v>
      </c>
      <c r="T48">
        <f>ROUND(Table2[[#This Row],[TotalAmount]],0)</f>
        <v>53817</v>
      </c>
      <c r="U48" t="s">
        <v>1360</v>
      </c>
      <c r="V48" t="s">
        <v>1367</v>
      </c>
      <c r="W48" s="4">
        <v>45675</v>
      </c>
      <c r="X48" s="4" t="s">
        <v>1412</v>
      </c>
      <c r="Y48" t="b">
        <v>0</v>
      </c>
      <c r="Z48" t="s">
        <v>1412</v>
      </c>
      <c r="AA48" t="s">
        <v>1412</v>
      </c>
      <c r="AB48" t="s">
        <v>1412</v>
      </c>
      <c r="AC48" t="s">
        <v>1379</v>
      </c>
      <c r="AD48" t="s">
        <v>1400</v>
      </c>
      <c r="AE48" t="s">
        <v>1383</v>
      </c>
    </row>
    <row r="49" spans="1:31" x14ac:dyDescent="0.3">
      <c r="A49" t="s">
        <v>92</v>
      </c>
      <c r="B49" s="4">
        <v>45561.605555555558</v>
      </c>
      <c r="C49" t="s">
        <v>93</v>
      </c>
      <c r="D49" t="s">
        <v>1157</v>
      </c>
      <c r="E49" t="s">
        <v>1201</v>
      </c>
      <c r="F49" t="str" cm="1">
        <f t="array" ref="F49">_xlfn.IFS(
E49="Ahmedabad","Gujarat",
E49="Bengaluru","Karnataka",
E49="Bhopal","Madhya Pradesh",
E49="Bhubaneswar","Odisha",
E49="Chandigarh","Chandigarh",
E49="Chennai","Tamil Nadu",
E49="Delhi","Delhi",
E49="Guwahati","Assam",
E49="Hyderabad","Telangana",
E49="Indore","Madhya Pradesh",
E49="Jaipur","Rajasthan",
E49="Kochi","Kerala",
E49="Kolkata","West Bengal",
E49="Lucknow","Uttar Pradesh",
E49="Mumbai","Maharashtra",
E49="Nagpur","Maharashtra",
E49="Patna","Bihar",
E49="Pune","Maharashtra",
E49="Raipur","Chhattisgarh",
E49="Surat","Gujarat",
TRUE,"Not Found"
)</f>
        <v>Maharashtra</v>
      </c>
      <c r="G49" t="s">
        <v>1143</v>
      </c>
      <c r="H49" t="s">
        <v>1163</v>
      </c>
      <c r="I49" t="s">
        <v>1266</v>
      </c>
      <c r="J49" t="s">
        <v>1267</v>
      </c>
      <c r="K49" t="s">
        <v>1268</v>
      </c>
      <c r="L49">
        <v>2</v>
      </c>
      <c r="M49">
        <v>364</v>
      </c>
      <c r="N49">
        <v>0.1</v>
      </c>
      <c r="O49">
        <v>327.60000000000002</v>
      </c>
      <c r="P49">
        <v>0.12</v>
      </c>
      <c r="Q49">
        <v>655.20000000000005</v>
      </c>
      <c r="R49">
        <v>78.624000000000009</v>
      </c>
      <c r="S49">
        <v>733.82400000000007</v>
      </c>
      <c r="T49">
        <f>ROUND(Table2[[#This Row],[TotalAmount]],0)</f>
        <v>734</v>
      </c>
      <c r="U49" t="s">
        <v>1366</v>
      </c>
      <c r="V49" t="s">
        <v>1361</v>
      </c>
      <c r="W49" s="4">
        <v>45562</v>
      </c>
      <c r="X49" s="4">
        <v>45565</v>
      </c>
      <c r="Y49" t="b">
        <v>0</v>
      </c>
      <c r="Z49" t="s">
        <v>1412</v>
      </c>
      <c r="AA49" t="s">
        <v>1412</v>
      </c>
      <c r="AB49" t="s">
        <v>1412</v>
      </c>
      <c r="AC49" t="s">
        <v>1388</v>
      </c>
      <c r="AD49" t="s">
        <v>1394</v>
      </c>
      <c r="AE49" t="s">
        <v>1380</v>
      </c>
    </row>
    <row r="50" spans="1:31" x14ac:dyDescent="0.3">
      <c r="A50" t="s">
        <v>94</v>
      </c>
      <c r="B50" s="4">
        <v>45753.662499999999</v>
      </c>
      <c r="C50" t="s">
        <v>95</v>
      </c>
      <c r="D50" t="s">
        <v>1182</v>
      </c>
      <c r="E50" t="s">
        <v>1207</v>
      </c>
      <c r="F50" t="str" cm="1">
        <f t="array" ref="F50">_xlfn.IFS(
E50="Ahmedabad","Gujarat",
E50="Bengaluru","Karnataka",
E50="Bhopal","Madhya Pradesh",
E50="Bhubaneswar","Odisha",
E50="Chandigarh","Chandigarh",
E50="Chennai","Tamil Nadu",
E50="Delhi","Delhi",
E50="Guwahati","Assam",
E50="Hyderabad","Telangana",
E50="Indore","Madhya Pradesh",
E50="Jaipur","Rajasthan",
E50="Kochi","Kerala",
E50="Kolkata","West Bengal",
E50="Lucknow","Uttar Pradesh",
E50="Mumbai","Maharashtra",
E50="Nagpur","Maharashtra",
E50="Patna","Bihar",
E50="Pune","Maharashtra",
E50="Raipur","Chhattisgarh",
E50="Surat","Gujarat",
TRUE,"Not Found"
)</f>
        <v>Tamil Nadu</v>
      </c>
      <c r="G50" t="s">
        <v>1143</v>
      </c>
      <c r="H50" t="s">
        <v>1144</v>
      </c>
      <c r="I50" t="s">
        <v>1269</v>
      </c>
      <c r="J50" t="s">
        <v>1270</v>
      </c>
      <c r="K50" t="s">
        <v>1271</v>
      </c>
      <c r="L50">
        <v>1</v>
      </c>
      <c r="M50">
        <v>6102</v>
      </c>
      <c r="N50">
        <v>0</v>
      </c>
      <c r="O50">
        <v>6102</v>
      </c>
      <c r="P50">
        <v>0.05</v>
      </c>
      <c r="Q50">
        <v>6102</v>
      </c>
      <c r="R50">
        <v>305.10000000000002</v>
      </c>
      <c r="S50">
        <v>6407.1</v>
      </c>
      <c r="T50">
        <f>ROUND(Table2[[#This Row],[TotalAmount]],0)</f>
        <v>6407</v>
      </c>
      <c r="U50" t="s">
        <v>1360</v>
      </c>
      <c r="V50" t="s">
        <v>1361</v>
      </c>
      <c r="W50" s="4">
        <v>45754</v>
      </c>
      <c r="X50" s="4">
        <v>45757</v>
      </c>
      <c r="Y50" t="b">
        <v>0</v>
      </c>
      <c r="Z50" t="s">
        <v>1412</v>
      </c>
      <c r="AA50" t="s">
        <v>1412</v>
      </c>
      <c r="AB50" t="s">
        <v>1412</v>
      </c>
      <c r="AC50" t="s">
        <v>1379</v>
      </c>
      <c r="AD50" t="s">
        <v>1394</v>
      </c>
      <c r="AE50" t="s">
        <v>1383</v>
      </c>
    </row>
    <row r="51" spans="1:31" x14ac:dyDescent="0.3">
      <c r="A51" t="s">
        <v>96</v>
      </c>
      <c r="B51" s="4">
        <v>45660.429861111108</v>
      </c>
      <c r="C51" t="s">
        <v>53</v>
      </c>
      <c r="D51" t="s">
        <v>1141</v>
      </c>
      <c r="E51" t="s">
        <v>1227</v>
      </c>
      <c r="F51" t="str" cm="1">
        <f t="array" ref="F51">_xlfn.IFS(
E51="Ahmedabad","Gujarat",
E51="Bengaluru","Karnataka",
E51="Bhopal","Madhya Pradesh",
E51="Bhubaneswar","Odisha",
E51="Chandigarh","Chandigarh",
E51="Chennai","Tamil Nadu",
E51="Delhi","Delhi",
E51="Guwahati","Assam",
E51="Hyderabad","Telangana",
E51="Indore","Madhya Pradesh",
E51="Jaipur","Rajasthan",
E51="Kochi","Kerala",
E51="Kolkata","West Bengal",
E51="Lucknow","Uttar Pradesh",
E51="Mumbai","Maharashtra",
E51="Nagpur","Maharashtra",
E51="Patna","Bihar",
E51="Pune","Maharashtra",
E51="Raipur","Chhattisgarh",
E51="Surat","Gujarat",
TRUE,"Not Found"
)</f>
        <v>Bihar</v>
      </c>
      <c r="G51" t="s">
        <v>1143</v>
      </c>
      <c r="H51" t="s">
        <v>1163</v>
      </c>
      <c r="I51" t="s">
        <v>1164</v>
      </c>
      <c r="J51" t="s">
        <v>1165</v>
      </c>
      <c r="K51" t="s">
        <v>1166</v>
      </c>
      <c r="L51">
        <v>1</v>
      </c>
      <c r="M51">
        <v>597</v>
      </c>
      <c r="N51">
        <v>0.05</v>
      </c>
      <c r="O51">
        <v>567.15</v>
      </c>
      <c r="P51">
        <v>0.05</v>
      </c>
      <c r="Q51">
        <v>567.15</v>
      </c>
      <c r="R51">
        <v>28.357500000000002</v>
      </c>
      <c r="S51">
        <v>595.50749999999994</v>
      </c>
      <c r="T51">
        <f>ROUND(Table2[[#This Row],[TotalAmount]],0)</f>
        <v>596</v>
      </c>
      <c r="U51" t="s">
        <v>1365</v>
      </c>
      <c r="V51" t="s">
        <v>1361</v>
      </c>
      <c r="W51" s="4">
        <v>45661</v>
      </c>
      <c r="X51" s="4">
        <v>45662</v>
      </c>
      <c r="Y51" t="b">
        <v>0</v>
      </c>
      <c r="Z51" t="s">
        <v>1412</v>
      </c>
      <c r="AA51" t="s">
        <v>1412</v>
      </c>
      <c r="AB51" t="s">
        <v>1412</v>
      </c>
      <c r="AC51" t="s">
        <v>1390</v>
      </c>
      <c r="AD51" t="s">
        <v>1400</v>
      </c>
      <c r="AE51" t="s">
        <v>1395</v>
      </c>
    </row>
    <row r="52" spans="1:31" x14ac:dyDescent="0.3">
      <c r="A52" t="s">
        <v>97</v>
      </c>
      <c r="B52" s="4">
        <v>45681.484722222223</v>
      </c>
      <c r="C52" t="s">
        <v>98</v>
      </c>
      <c r="D52" t="s">
        <v>1148</v>
      </c>
      <c r="E52" t="s">
        <v>1171</v>
      </c>
      <c r="F52" t="str" cm="1">
        <f t="array" ref="F52">_xlfn.IFS(
E52="Ahmedabad","Gujarat",
E52="Bengaluru","Karnataka",
E52="Bhopal","Madhya Pradesh",
E52="Bhubaneswar","Odisha",
E52="Chandigarh","Chandigarh",
E52="Chennai","Tamil Nadu",
E52="Delhi","Delhi",
E52="Guwahati","Assam",
E52="Hyderabad","Telangana",
E52="Indore","Madhya Pradesh",
E52="Jaipur","Rajasthan",
E52="Kochi","Kerala",
E52="Kolkata","West Bengal",
E52="Lucknow","Uttar Pradesh",
E52="Mumbai","Maharashtra",
E52="Nagpur","Maharashtra",
E52="Patna","Bihar",
E52="Pune","Maharashtra",
E52="Raipur","Chhattisgarh",
E52="Surat","Gujarat",
TRUE,"Not Found"
)</f>
        <v>Chandigarh</v>
      </c>
      <c r="G52" t="s">
        <v>1143</v>
      </c>
      <c r="H52" t="s">
        <v>1144</v>
      </c>
      <c r="I52" t="s">
        <v>1159</v>
      </c>
      <c r="J52" t="s">
        <v>1272</v>
      </c>
      <c r="K52" t="s">
        <v>1273</v>
      </c>
      <c r="L52">
        <v>2</v>
      </c>
      <c r="M52">
        <v>11990</v>
      </c>
      <c r="N52">
        <v>0.15</v>
      </c>
      <c r="O52">
        <v>10191.5</v>
      </c>
      <c r="P52">
        <v>0.05</v>
      </c>
      <c r="Q52">
        <v>20383</v>
      </c>
      <c r="R52">
        <v>1019.15</v>
      </c>
      <c r="S52">
        <v>21402.15</v>
      </c>
      <c r="T52">
        <f>ROUND(Table2[[#This Row],[TotalAmount]],0)</f>
        <v>21402</v>
      </c>
      <c r="U52" t="s">
        <v>1360</v>
      </c>
      <c r="V52" t="s">
        <v>1361</v>
      </c>
      <c r="W52" s="4">
        <v>45683</v>
      </c>
      <c r="X52" s="4">
        <v>45688</v>
      </c>
      <c r="Y52" t="b">
        <v>0</v>
      </c>
      <c r="Z52" t="s">
        <v>1412</v>
      </c>
      <c r="AA52" t="s">
        <v>1412</v>
      </c>
      <c r="AB52" t="s">
        <v>1412</v>
      </c>
      <c r="AC52" t="s">
        <v>1384</v>
      </c>
      <c r="AD52" t="s">
        <v>1377</v>
      </c>
      <c r="AE52" t="s">
        <v>1380</v>
      </c>
    </row>
    <row r="53" spans="1:31" x14ac:dyDescent="0.3">
      <c r="A53" t="s">
        <v>99</v>
      </c>
      <c r="B53" s="4">
        <v>45324.50277777778</v>
      </c>
      <c r="C53" t="s">
        <v>26</v>
      </c>
      <c r="D53" t="s">
        <v>1153</v>
      </c>
      <c r="E53" t="s">
        <v>1191</v>
      </c>
      <c r="F53" t="str" cm="1">
        <f t="array" ref="F53">_xlfn.IFS(
E53="Ahmedabad","Gujarat",
E53="Bengaluru","Karnataka",
E53="Bhopal","Madhya Pradesh",
E53="Bhubaneswar","Odisha",
E53="Chandigarh","Chandigarh",
E53="Chennai","Tamil Nadu",
E53="Delhi","Delhi",
E53="Guwahati","Assam",
E53="Hyderabad","Telangana",
E53="Indore","Madhya Pradesh",
E53="Jaipur","Rajasthan",
E53="Kochi","Kerala",
E53="Kolkata","West Bengal",
E53="Lucknow","Uttar Pradesh",
E53="Mumbai","Maharashtra",
E53="Nagpur","Maharashtra",
E53="Patna","Bihar",
E53="Pune","Maharashtra",
E53="Raipur","Chhattisgarh",
E53="Surat","Gujarat",
TRUE,"Not Found"
)</f>
        <v>Madhya Pradesh</v>
      </c>
      <c r="G53" t="s">
        <v>1150</v>
      </c>
      <c r="H53" t="s">
        <v>1167</v>
      </c>
      <c r="I53" t="s">
        <v>1263</v>
      </c>
      <c r="J53" t="s">
        <v>1274</v>
      </c>
      <c r="K53" t="s">
        <v>1275</v>
      </c>
      <c r="L53">
        <v>1</v>
      </c>
      <c r="M53">
        <v>9186</v>
      </c>
      <c r="N53">
        <v>0.15</v>
      </c>
      <c r="O53">
        <v>7808.0999999999995</v>
      </c>
      <c r="P53">
        <v>0.12</v>
      </c>
      <c r="Q53">
        <v>7808.0999999999995</v>
      </c>
      <c r="R53">
        <v>936.97199999999987</v>
      </c>
      <c r="S53">
        <v>8745.0720000000001</v>
      </c>
      <c r="T53">
        <f>ROUND(Table2[[#This Row],[TotalAmount]],0)</f>
        <v>8745</v>
      </c>
      <c r="U53" t="s">
        <v>1365</v>
      </c>
      <c r="V53" t="s">
        <v>1369</v>
      </c>
      <c r="W53" s="4" t="s">
        <v>1412</v>
      </c>
      <c r="X53" s="4" t="s">
        <v>1412</v>
      </c>
      <c r="Y53" t="b">
        <v>0</v>
      </c>
      <c r="Z53" t="s">
        <v>1412</v>
      </c>
      <c r="AA53" t="s">
        <v>1412</v>
      </c>
      <c r="AB53" t="s">
        <v>1412</v>
      </c>
      <c r="AC53" t="s">
        <v>1382</v>
      </c>
      <c r="AD53" t="s">
        <v>1400</v>
      </c>
      <c r="AE53" t="s">
        <v>1389</v>
      </c>
    </row>
    <row r="54" spans="1:31" x14ac:dyDescent="0.3">
      <c r="A54" t="s">
        <v>100</v>
      </c>
      <c r="B54" s="4">
        <v>45513.40625</v>
      </c>
      <c r="C54" t="s">
        <v>75</v>
      </c>
      <c r="D54" t="s">
        <v>1182</v>
      </c>
      <c r="E54" t="s">
        <v>1183</v>
      </c>
      <c r="F54" t="str" cm="1">
        <f t="array" ref="F54">_xlfn.IFS(
E54="Ahmedabad","Gujarat",
E54="Bengaluru","Karnataka",
E54="Bhopal","Madhya Pradesh",
E54="Bhubaneswar","Odisha",
E54="Chandigarh","Chandigarh",
E54="Chennai","Tamil Nadu",
E54="Delhi","Delhi",
E54="Guwahati","Assam",
E54="Hyderabad","Telangana",
E54="Indore","Madhya Pradesh",
E54="Jaipur","Rajasthan",
E54="Kochi","Kerala",
E54="Kolkata","West Bengal",
E54="Lucknow","Uttar Pradesh",
E54="Mumbai","Maharashtra",
E54="Nagpur","Maharashtra",
E54="Patna","Bihar",
E54="Pune","Maharashtra",
E54="Raipur","Chhattisgarh",
E54="Surat","Gujarat",
TRUE,"Not Found"
)</f>
        <v>Telangana</v>
      </c>
      <c r="G54" t="s">
        <v>1150</v>
      </c>
      <c r="H54" t="s">
        <v>1144</v>
      </c>
      <c r="I54" t="s">
        <v>1145</v>
      </c>
      <c r="J54" t="s">
        <v>1146</v>
      </c>
      <c r="K54" t="s">
        <v>1147</v>
      </c>
      <c r="L54">
        <v>1</v>
      </c>
      <c r="M54">
        <v>14379</v>
      </c>
      <c r="N54">
        <v>0</v>
      </c>
      <c r="O54">
        <v>14379</v>
      </c>
      <c r="P54">
        <v>0.12</v>
      </c>
      <c r="Q54">
        <v>14379</v>
      </c>
      <c r="R54">
        <v>1725.48</v>
      </c>
      <c r="S54">
        <v>16104.48</v>
      </c>
      <c r="T54">
        <f>ROUND(Table2[[#This Row],[TotalAmount]],0)</f>
        <v>16104</v>
      </c>
      <c r="U54" t="s">
        <v>1360</v>
      </c>
      <c r="V54" t="s">
        <v>1368</v>
      </c>
      <c r="W54" s="4">
        <v>45514</v>
      </c>
      <c r="X54" s="4" t="s">
        <v>1412</v>
      </c>
      <c r="Y54" t="b">
        <v>0</v>
      </c>
      <c r="Z54" t="s">
        <v>1412</v>
      </c>
      <c r="AA54" t="s">
        <v>1412</v>
      </c>
      <c r="AB54" t="s">
        <v>1412</v>
      </c>
      <c r="AC54" t="s">
        <v>1379</v>
      </c>
      <c r="AD54" t="s">
        <v>1377</v>
      </c>
      <c r="AE54" t="s">
        <v>1393</v>
      </c>
    </row>
    <row r="55" spans="1:31" x14ac:dyDescent="0.3">
      <c r="A55" t="s">
        <v>101</v>
      </c>
      <c r="B55" s="4">
        <v>45386.469444444447</v>
      </c>
      <c r="C55" t="s">
        <v>102</v>
      </c>
      <c r="D55" t="s">
        <v>1141</v>
      </c>
      <c r="E55" t="s">
        <v>1239</v>
      </c>
      <c r="F55" t="str" cm="1">
        <f t="array" ref="F55">_xlfn.IFS(
E55="Ahmedabad","Gujarat",
E55="Bengaluru","Karnataka",
E55="Bhopal","Madhya Pradesh",
E55="Bhubaneswar","Odisha",
E55="Chandigarh","Chandigarh",
E55="Chennai","Tamil Nadu",
E55="Delhi","Delhi",
E55="Guwahati","Assam",
E55="Hyderabad","Telangana",
E55="Indore","Madhya Pradesh",
E55="Jaipur","Rajasthan",
E55="Kochi","Kerala",
E55="Kolkata","West Bengal",
E55="Lucknow","Uttar Pradesh",
E55="Mumbai","Maharashtra",
E55="Nagpur","Maharashtra",
E55="Patna","Bihar",
E55="Pune","Maharashtra",
E55="Raipur","Chhattisgarh",
E55="Surat","Gujarat",
TRUE,"Not Found"
)</f>
        <v>Odisha</v>
      </c>
      <c r="G55" t="s">
        <v>1143</v>
      </c>
      <c r="H55" t="s">
        <v>1144</v>
      </c>
      <c r="I55" t="s">
        <v>1276</v>
      </c>
      <c r="J55" t="s">
        <v>1277</v>
      </c>
      <c r="K55" t="s">
        <v>1278</v>
      </c>
      <c r="L55">
        <v>1</v>
      </c>
      <c r="M55">
        <v>2079</v>
      </c>
      <c r="N55">
        <v>0.05</v>
      </c>
      <c r="O55">
        <v>1975.05</v>
      </c>
      <c r="P55">
        <v>0.12</v>
      </c>
      <c r="Q55">
        <v>1975.05</v>
      </c>
      <c r="R55">
        <v>237.006</v>
      </c>
      <c r="S55">
        <v>2212.056</v>
      </c>
      <c r="T55">
        <f>ROUND(Table2[[#This Row],[TotalAmount]],0)</f>
        <v>2212</v>
      </c>
      <c r="U55" t="s">
        <v>1363</v>
      </c>
      <c r="V55" t="s">
        <v>1361</v>
      </c>
      <c r="W55" s="4">
        <v>45387</v>
      </c>
      <c r="X55" s="4">
        <v>45392</v>
      </c>
      <c r="Y55" t="b">
        <v>0</v>
      </c>
      <c r="Z55" t="s">
        <v>1412</v>
      </c>
      <c r="AA55" t="s">
        <v>1412</v>
      </c>
      <c r="AB55" t="s">
        <v>1412</v>
      </c>
      <c r="AC55" t="s">
        <v>1390</v>
      </c>
      <c r="AD55" t="s">
        <v>1377</v>
      </c>
      <c r="AE55" t="s">
        <v>1383</v>
      </c>
    </row>
    <row r="56" spans="1:31" x14ac:dyDescent="0.3">
      <c r="A56" t="s">
        <v>103</v>
      </c>
      <c r="B56" s="4">
        <v>45755.647916666669</v>
      </c>
      <c r="C56" t="s">
        <v>38</v>
      </c>
      <c r="D56" t="s">
        <v>1148</v>
      </c>
      <c r="E56" t="s">
        <v>1149</v>
      </c>
      <c r="F56" t="str" cm="1">
        <f t="array" ref="F56">_xlfn.IFS(
E56="Ahmedabad","Gujarat",
E56="Bengaluru","Karnataka",
E56="Bhopal","Madhya Pradesh",
E56="Bhubaneswar","Odisha",
E56="Chandigarh","Chandigarh",
E56="Chennai","Tamil Nadu",
E56="Delhi","Delhi",
E56="Guwahati","Assam",
E56="Hyderabad","Telangana",
E56="Indore","Madhya Pradesh",
E56="Jaipur","Rajasthan",
E56="Kochi","Kerala",
E56="Kolkata","West Bengal",
E56="Lucknow","Uttar Pradesh",
E56="Mumbai","Maharashtra",
E56="Nagpur","Maharashtra",
E56="Patna","Bihar",
E56="Pune","Maharashtra",
E56="Raipur","Chhattisgarh",
E56="Surat","Gujarat",
TRUE,"Not Found"
)</f>
        <v>Uttar Pradesh</v>
      </c>
      <c r="G56" t="s">
        <v>1143</v>
      </c>
      <c r="H56" t="s">
        <v>1172</v>
      </c>
      <c r="I56" t="s">
        <v>1198</v>
      </c>
      <c r="J56" t="s">
        <v>1199</v>
      </c>
      <c r="K56" t="s">
        <v>1200</v>
      </c>
      <c r="L56">
        <v>1</v>
      </c>
      <c r="M56">
        <v>6343</v>
      </c>
      <c r="N56">
        <v>0</v>
      </c>
      <c r="O56">
        <v>6343</v>
      </c>
      <c r="P56">
        <v>0.18</v>
      </c>
      <c r="Q56">
        <v>6343</v>
      </c>
      <c r="R56">
        <v>1141.74</v>
      </c>
      <c r="S56">
        <v>7484.74</v>
      </c>
      <c r="T56">
        <f>ROUND(Table2[[#This Row],[TotalAmount]],0)</f>
        <v>7485</v>
      </c>
      <c r="U56" t="s">
        <v>1365</v>
      </c>
      <c r="V56" t="s">
        <v>1361</v>
      </c>
      <c r="W56" s="4">
        <v>45756</v>
      </c>
      <c r="X56" s="4">
        <v>45757</v>
      </c>
      <c r="Y56" t="b">
        <v>0</v>
      </c>
      <c r="Z56" t="s">
        <v>1412</v>
      </c>
      <c r="AA56" t="s">
        <v>1412</v>
      </c>
      <c r="AB56" t="s">
        <v>1412</v>
      </c>
      <c r="AC56" t="s">
        <v>1390</v>
      </c>
      <c r="AD56" t="s">
        <v>1394</v>
      </c>
      <c r="AE56" t="s">
        <v>1393</v>
      </c>
    </row>
    <row r="57" spans="1:31" x14ac:dyDescent="0.3">
      <c r="A57" t="s">
        <v>104</v>
      </c>
      <c r="B57" s="4">
        <v>45362.581944444442</v>
      </c>
      <c r="C57" t="s">
        <v>105</v>
      </c>
      <c r="D57" t="s">
        <v>1182</v>
      </c>
      <c r="E57" t="s">
        <v>1207</v>
      </c>
      <c r="F57" t="str" cm="1">
        <f t="array" ref="F57">_xlfn.IFS(
E57="Ahmedabad","Gujarat",
E57="Bengaluru","Karnataka",
E57="Bhopal","Madhya Pradesh",
E57="Bhubaneswar","Odisha",
E57="Chandigarh","Chandigarh",
E57="Chennai","Tamil Nadu",
E57="Delhi","Delhi",
E57="Guwahati","Assam",
E57="Hyderabad","Telangana",
E57="Indore","Madhya Pradesh",
E57="Jaipur","Rajasthan",
E57="Kochi","Kerala",
E57="Kolkata","West Bengal",
E57="Lucknow","Uttar Pradesh",
E57="Mumbai","Maharashtra",
E57="Nagpur","Maharashtra",
E57="Patna","Bihar",
E57="Pune","Maharashtra",
E57="Raipur","Chhattisgarh",
E57="Surat","Gujarat",
TRUE,"Not Found"
)</f>
        <v>Tamil Nadu</v>
      </c>
      <c r="G57" t="s">
        <v>1143</v>
      </c>
      <c r="H57" t="s">
        <v>1172</v>
      </c>
      <c r="I57" t="s">
        <v>1198</v>
      </c>
      <c r="J57" t="s">
        <v>1199</v>
      </c>
      <c r="K57" t="s">
        <v>1200</v>
      </c>
      <c r="L57">
        <v>2</v>
      </c>
      <c r="M57">
        <v>1586</v>
      </c>
      <c r="N57">
        <v>0</v>
      </c>
      <c r="O57">
        <v>1586</v>
      </c>
      <c r="P57">
        <v>0.05</v>
      </c>
      <c r="Q57">
        <v>3172</v>
      </c>
      <c r="R57">
        <v>158.6</v>
      </c>
      <c r="S57">
        <v>3330.6</v>
      </c>
      <c r="T57">
        <f>ROUND(Table2[[#This Row],[TotalAmount]],0)</f>
        <v>3331</v>
      </c>
      <c r="U57" t="s">
        <v>1360</v>
      </c>
      <c r="V57" t="s">
        <v>1361</v>
      </c>
      <c r="W57" s="4">
        <v>45364</v>
      </c>
      <c r="X57" s="4">
        <v>45366</v>
      </c>
      <c r="Y57" t="b">
        <v>0</v>
      </c>
      <c r="Z57" t="s">
        <v>1412</v>
      </c>
      <c r="AA57" t="s">
        <v>1412</v>
      </c>
      <c r="AB57" t="s">
        <v>1412</v>
      </c>
      <c r="AC57" t="s">
        <v>1384</v>
      </c>
      <c r="AD57" t="s">
        <v>1400</v>
      </c>
      <c r="AE57" t="s">
        <v>1380</v>
      </c>
    </row>
    <row r="58" spans="1:31" x14ac:dyDescent="0.3">
      <c r="A58" t="s">
        <v>106</v>
      </c>
      <c r="B58" s="4">
        <v>45660.420138888891</v>
      </c>
      <c r="C58" t="s">
        <v>107</v>
      </c>
      <c r="D58" t="s">
        <v>1153</v>
      </c>
      <c r="E58" t="s">
        <v>1176</v>
      </c>
      <c r="F58" t="str" cm="1">
        <f t="array" ref="F58">_xlfn.IFS(
E58="Ahmedabad","Gujarat",
E58="Bengaluru","Karnataka",
E58="Bhopal","Madhya Pradesh",
E58="Bhubaneswar","Odisha",
E58="Chandigarh","Chandigarh",
E58="Chennai","Tamil Nadu",
E58="Delhi","Delhi",
E58="Guwahati","Assam",
E58="Hyderabad","Telangana",
E58="Indore","Madhya Pradesh",
E58="Jaipur","Rajasthan",
E58="Kochi","Kerala",
E58="Kolkata","West Bengal",
E58="Lucknow","Uttar Pradesh",
E58="Mumbai","Maharashtra",
E58="Nagpur","Maharashtra",
E58="Patna","Bihar",
E58="Pune","Maharashtra",
E58="Raipur","Chhattisgarh",
E58="Surat","Gujarat",
TRUE,"Not Found"
)</f>
        <v>Chhattisgarh</v>
      </c>
      <c r="G58" t="s">
        <v>1143</v>
      </c>
      <c r="H58" t="s">
        <v>1177</v>
      </c>
      <c r="I58" t="s">
        <v>1195</v>
      </c>
      <c r="J58" t="s">
        <v>1218</v>
      </c>
      <c r="K58" t="s">
        <v>1219</v>
      </c>
      <c r="L58">
        <v>1</v>
      </c>
      <c r="M58">
        <v>1678</v>
      </c>
      <c r="N58">
        <v>0.15</v>
      </c>
      <c r="O58">
        <v>1426.3</v>
      </c>
      <c r="P58">
        <v>0.12</v>
      </c>
      <c r="Q58">
        <v>1426.3</v>
      </c>
      <c r="R58">
        <v>171.15600000000001</v>
      </c>
      <c r="S58">
        <v>1597.4559999999999</v>
      </c>
      <c r="T58">
        <f>ROUND(Table2[[#This Row],[TotalAmount]],0)</f>
        <v>1597</v>
      </c>
      <c r="U58" t="s">
        <v>1362</v>
      </c>
      <c r="V58" t="s">
        <v>1364</v>
      </c>
      <c r="W58" s="4">
        <v>45660</v>
      </c>
      <c r="X58" s="4" t="s">
        <v>1412</v>
      </c>
      <c r="Y58" t="b">
        <v>1</v>
      </c>
      <c r="Z58" s="1">
        <v>45672</v>
      </c>
      <c r="AA58" s="1">
        <v>45672</v>
      </c>
      <c r="AB58" t="s">
        <v>1401</v>
      </c>
      <c r="AC58" t="s">
        <v>1388</v>
      </c>
      <c r="AD58" t="s">
        <v>1394</v>
      </c>
      <c r="AE58" t="s">
        <v>1391</v>
      </c>
    </row>
    <row r="59" spans="1:31" x14ac:dyDescent="0.3">
      <c r="A59" t="s">
        <v>108</v>
      </c>
      <c r="B59" s="4">
        <v>45328.617361111108</v>
      </c>
      <c r="C59" t="s">
        <v>109</v>
      </c>
      <c r="D59" t="s">
        <v>1157</v>
      </c>
      <c r="E59" t="s">
        <v>1181</v>
      </c>
      <c r="F59" t="str" cm="1">
        <f t="array" ref="F59">_xlfn.IFS(
E59="Ahmedabad","Gujarat",
E59="Bengaluru","Karnataka",
E59="Bhopal","Madhya Pradesh",
E59="Bhubaneswar","Odisha",
E59="Chandigarh","Chandigarh",
E59="Chennai","Tamil Nadu",
E59="Delhi","Delhi",
E59="Guwahati","Assam",
E59="Hyderabad","Telangana",
E59="Indore","Madhya Pradesh",
E59="Jaipur","Rajasthan",
E59="Kochi","Kerala",
E59="Kolkata","West Bengal",
E59="Lucknow","Uttar Pradesh",
E59="Mumbai","Maharashtra",
E59="Nagpur","Maharashtra",
E59="Patna","Bihar",
E59="Pune","Maharashtra",
E59="Raipur","Chhattisgarh",
E59="Surat","Gujarat",
TRUE,"Not Found"
)</f>
        <v>Gujarat</v>
      </c>
      <c r="G59" t="s">
        <v>1187</v>
      </c>
      <c r="H59" t="s">
        <v>1144</v>
      </c>
      <c r="I59" t="s">
        <v>1214</v>
      </c>
      <c r="J59" t="s">
        <v>1252</v>
      </c>
      <c r="K59" t="s">
        <v>1253</v>
      </c>
      <c r="L59">
        <v>2</v>
      </c>
      <c r="M59">
        <v>1860</v>
      </c>
      <c r="N59">
        <v>0.15</v>
      </c>
      <c r="O59">
        <v>1581</v>
      </c>
      <c r="P59">
        <v>0.05</v>
      </c>
      <c r="Q59">
        <v>3162</v>
      </c>
      <c r="R59">
        <v>158.1</v>
      </c>
      <c r="S59">
        <v>3320.1</v>
      </c>
      <c r="T59">
        <f>ROUND(Table2[[#This Row],[TotalAmount]],0)</f>
        <v>3320</v>
      </c>
      <c r="U59" t="s">
        <v>1362</v>
      </c>
      <c r="V59" t="s">
        <v>1367</v>
      </c>
      <c r="W59" s="4">
        <v>45328</v>
      </c>
      <c r="X59" s="4" t="s">
        <v>1412</v>
      </c>
      <c r="Y59" t="b">
        <v>0</v>
      </c>
      <c r="Z59" t="s">
        <v>1412</v>
      </c>
      <c r="AA59" t="s">
        <v>1412</v>
      </c>
      <c r="AB59" t="s">
        <v>1412</v>
      </c>
      <c r="AC59" t="s">
        <v>1390</v>
      </c>
      <c r="AD59" t="s">
        <v>1387</v>
      </c>
      <c r="AE59" t="s">
        <v>1393</v>
      </c>
    </row>
    <row r="60" spans="1:31" x14ac:dyDescent="0.3">
      <c r="A60" t="s">
        <v>110</v>
      </c>
      <c r="B60" s="4">
        <v>45500.49722222222</v>
      </c>
      <c r="C60" t="s">
        <v>111</v>
      </c>
      <c r="D60" t="s">
        <v>1153</v>
      </c>
      <c r="E60" t="s">
        <v>1162</v>
      </c>
      <c r="F60" t="str" cm="1">
        <f t="array" ref="F60">_xlfn.IFS(
E60="Ahmedabad","Gujarat",
E60="Bengaluru","Karnataka",
E60="Bhopal","Madhya Pradesh",
E60="Bhubaneswar","Odisha",
E60="Chandigarh","Chandigarh",
E60="Chennai","Tamil Nadu",
E60="Delhi","Delhi",
E60="Guwahati","Assam",
E60="Hyderabad","Telangana",
E60="Indore","Madhya Pradesh",
E60="Jaipur","Rajasthan",
E60="Kochi","Kerala",
E60="Kolkata","West Bengal",
E60="Lucknow","Uttar Pradesh",
E60="Mumbai","Maharashtra",
E60="Nagpur","Maharashtra",
E60="Patna","Bihar",
E60="Pune","Maharashtra",
E60="Raipur","Chhattisgarh",
E60="Surat","Gujarat",
TRUE,"Not Found"
)</f>
        <v>Madhya Pradesh</v>
      </c>
      <c r="G60" t="s">
        <v>1143</v>
      </c>
      <c r="H60" t="s">
        <v>1167</v>
      </c>
      <c r="I60" t="s">
        <v>1211</v>
      </c>
      <c r="J60" t="s">
        <v>1279</v>
      </c>
      <c r="K60" t="s">
        <v>1280</v>
      </c>
      <c r="L60">
        <v>1</v>
      </c>
      <c r="M60">
        <v>57661</v>
      </c>
      <c r="N60">
        <v>0</v>
      </c>
      <c r="O60">
        <v>57661</v>
      </c>
      <c r="P60">
        <v>0.18</v>
      </c>
      <c r="Q60">
        <v>57661</v>
      </c>
      <c r="R60">
        <v>10378.98</v>
      </c>
      <c r="S60">
        <v>68039.98</v>
      </c>
      <c r="T60">
        <f>ROUND(Table2[[#This Row],[TotalAmount]],0)</f>
        <v>68040</v>
      </c>
      <c r="U60" t="s">
        <v>1360</v>
      </c>
      <c r="V60" t="s">
        <v>1361</v>
      </c>
      <c r="W60" s="4">
        <v>45502</v>
      </c>
      <c r="X60" s="4">
        <v>45505</v>
      </c>
      <c r="Y60" t="b">
        <v>0</v>
      </c>
      <c r="Z60" t="s">
        <v>1412</v>
      </c>
      <c r="AA60" t="s">
        <v>1412</v>
      </c>
      <c r="AB60" t="s">
        <v>1412</v>
      </c>
      <c r="AC60" t="s">
        <v>1386</v>
      </c>
      <c r="AD60" t="s">
        <v>1387</v>
      </c>
      <c r="AE60" t="s">
        <v>1380</v>
      </c>
    </row>
    <row r="61" spans="1:31" x14ac:dyDescent="0.3">
      <c r="A61" t="s">
        <v>112</v>
      </c>
      <c r="B61" s="4">
        <v>45317.536111111112</v>
      </c>
      <c r="C61" t="s">
        <v>32</v>
      </c>
      <c r="D61" t="s">
        <v>1157</v>
      </c>
      <c r="E61" t="s">
        <v>1201</v>
      </c>
      <c r="F61" t="str" cm="1">
        <f t="array" ref="F61">_xlfn.IFS(
E61="Ahmedabad","Gujarat",
E61="Bengaluru","Karnataka",
E61="Bhopal","Madhya Pradesh",
E61="Bhubaneswar","Odisha",
E61="Chandigarh","Chandigarh",
E61="Chennai","Tamil Nadu",
E61="Delhi","Delhi",
E61="Guwahati","Assam",
E61="Hyderabad","Telangana",
E61="Indore","Madhya Pradesh",
E61="Jaipur","Rajasthan",
E61="Kochi","Kerala",
E61="Kolkata","West Bengal",
E61="Lucknow","Uttar Pradesh",
E61="Mumbai","Maharashtra",
E61="Nagpur","Maharashtra",
E61="Patna","Bihar",
E61="Pune","Maharashtra",
E61="Raipur","Chhattisgarh",
E61="Surat","Gujarat",
TRUE,"Not Found"
)</f>
        <v>Maharashtra</v>
      </c>
      <c r="G61" t="s">
        <v>1143</v>
      </c>
      <c r="H61" t="s">
        <v>1167</v>
      </c>
      <c r="I61" t="s">
        <v>1211</v>
      </c>
      <c r="J61" t="s">
        <v>1212</v>
      </c>
      <c r="K61" t="s">
        <v>1213</v>
      </c>
      <c r="L61">
        <v>1</v>
      </c>
      <c r="M61">
        <v>53784</v>
      </c>
      <c r="N61">
        <v>0</v>
      </c>
      <c r="O61">
        <v>53784</v>
      </c>
      <c r="P61">
        <v>0.18</v>
      </c>
      <c r="Q61">
        <v>53784</v>
      </c>
      <c r="R61">
        <v>9681.119999999999</v>
      </c>
      <c r="S61">
        <v>63465.120000000003</v>
      </c>
      <c r="T61">
        <f>ROUND(Table2[[#This Row],[TotalAmount]],0)</f>
        <v>63465</v>
      </c>
      <c r="U61" t="s">
        <v>1360</v>
      </c>
      <c r="V61" t="s">
        <v>1361</v>
      </c>
      <c r="W61" s="4">
        <v>45319</v>
      </c>
      <c r="X61" s="4">
        <v>45322</v>
      </c>
      <c r="Y61" t="b">
        <v>0</v>
      </c>
      <c r="Z61" t="s">
        <v>1412</v>
      </c>
      <c r="AA61" t="s">
        <v>1412</v>
      </c>
      <c r="AB61" t="s">
        <v>1412</v>
      </c>
      <c r="AC61" t="s">
        <v>1379</v>
      </c>
      <c r="AD61" t="s">
        <v>1385</v>
      </c>
      <c r="AE61" t="s">
        <v>1389</v>
      </c>
    </row>
    <row r="62" spans="1:31" x14ac:dyDescent="0.3">
      <c r="A62" t="s">
        <v>113</v>
      </c>
      <c r="B62" s="4">
        <v>45543.490277777782</v>
      </c>
      <c r="C62" t="s">
        <v>26</v>
      </c>
      <c r="D62" t="s">
        <v>1153</v>
      </c>
      <c r="E62" t="s">
        <v>1191</v>
      </c>
      <c r="F62" t="str" cm="1">
        <f t="array" ref="F62">_xlfn.IFS(
E62="Ahmedabad","Gujarat",
E62="Bengaluru","Karnataka",
E62="Bhopal","Madhya Pradesh",
E62="Bhubaneswar","Odisha",
E62="Chandigarh","Chandigarh",
E62="Chennai","Tamil Nadu",
E62="Delhi","Delhi",
E62="Guwahati","Assam",
E62="Hyderabad","Telangana",
E62="Indore","Madhya Pradesh",
E62="Jaipur","Rajasthan",
E62="Kochi","Kerala",
E62="Kolkata","West Bengal",
E62="Lucknow","Uttar Pradesh",
E62="Mumbai","Maharashtra",
E62="Nagpur","Maharashtra",
E62="Patna","Bihar",
E62="Pune","Maharashtra",
E62="Raipur","Chhattisgarh",
E62="Surat","Gujarat",
TRUE,"Not Found"
)</f>
        <v>Madhya Pradesh</v>
      </c>
      <c r="G62" t="s">
        <v>1150</v>
      </c>
      <c r="H62" t="s">
        <v>1163</v>
      </c>
      <c r="I62" t="s">
        <v>1240</v>
      </c>
      <c r="J62" t="s">
        <v>1281</v>
      </c>
      <c r="K62" t="s">
        <v>1282</v>
      </c>
      <c r="L62">
        <v>1</v>
      </c>
      <c r="M62">
        <v>1127</v>
      </c>
      <c r="N62">
        <v>0.05</v>
      </c>
      <c r="O62">
        <v>1070.6500000000001</v>
      </c>
      <c r="P62">
        <v>0.05</v>
      </c>
      <c r="Q62">
        <v>1070.6500000000001</v>
      </c>
      <c r="R62">
        <v>53.532499999999999</v>
      </c>
      <c r="S62">
        <v>1124.1824999999999</v>
      </c>
      <c r="T62">
        <f>ROUND(Table2[[#This Row],[TotalAmount]],0)</f>
        <v>1124</v>
      </c>
      <c r="U62" t="s">
        <v>1365</v>
      </c>
      <c r="V62" t="s">
        <v>1368</v>
      </c>
      <c r="W62" s="4">
        <v>45544</v>
      </c>
      <c r="X62" s="4" t="s">
        <v>1412</v>
      </c>
      <c r="Y62" t="b">
        <v>0</v>
      </c>
      <c r="Z62" t="s">
        <v>1412</v>
      </c>
      <c r="AA62" t="s">
        <v>1412</v>
      </c>
      <c r="AB62" t="s">
        <v>1412</v>
      </c>
      <c r="AC62" t="s">
        <v>1396</v>
      </c>
      <c r="AD62" t="s">
        <v>1387</v>
      </c>
      <c r="AE62" t="s">
        <v>1380</v>
      </c>
    </row>
    <row r="63" spans="1:31" x14ac:dyDescent="0.3">
      <c r="A63" t="s">
        <v>114</v>
      </c>
      <c r="B63" s="4">
        <v>45397.563888888893</v>
      </c>
      <c r="C63" t="s">
        <v>115</v>
      </c>
      <c r="D63" t="s">
        <v>1157</v>
      </c>
      <c r="E63" t="s">
        <v>1249</v>
      </c>
      <c r="F63" t="str" cm="1">
        <f t="array" ref="F63">_xlfn.IFS(
E63="Ahmedabad","Gujarat",
E63="Bengaluru","Karnataka",
E63="Bhopal","Madhya Pradesh",
E63="Bhubaneswar","Odisha",
E63="Chandigarh","Chandigarh",
E63="Chennai","Tamil Nadu",
E63="Delhi","Delhi",
E63="Guwahati","Assam",
E63="Hyderabad","Telangana",
E63="Indore","Madhya Pradesh",
E63="Jaipur","Rajasthan",
E63="Kochi","Kerala",
E63="Kolkata","West Bengal",
E63="Lucknow","Uttar Pradesh",
E63="Mumbai","Maharashtra",
E63="Nagpur","Maharashtra",
E63="Patna","Bihar",
E63="Pune","Maharashtra",
E63="Raipur","Chhattisgarh",
E63="Surat","Gujarat",
TRUE,"Not Found"
)</f>
        <v>Maharashtra</v>
      </c>
      <c r="G63" t="s">
        <v>1143</v>
      </c>
      <c r="H63" t="s">
        <v>1177</v>
      </c>
      <c r="I63" t="s">
        <v>1192</v>
      </c>
      <c r="J63" t="s">
        <v>1283</v>
      </c>
      <c r="K63" t="s">
        <v>1284</v>
      </c>
      <c r="L63">
        <v>1</v>
      </c>
      <c r="M63">
        <v>1140</v>
      </c>
      <c r="N63">
        <v>0.05</v>
      </c>
      <c r="O63">
        <v>1083</v>
      </c>
      <c r="P63">
        <v>0.12</v>
      </c>
      <c r="Q63">
        <v>1083</v>
      </c>
      <c r="R63">
        <v>129.96</v>
      </c>
      <c r="S63">
        <v>1212.96</v>
      </c>
      <c r="T63">
        <f>ROUND(Table2[[#This Row],[TotalAmount]],0)</f>
        <v>1213</v>
      </c>
      <c r="U63" t="s">
        <v>1360</v>
      </c>
      <c r="V63" t="s">
        <v>1361</v>
      </c>
      <c r="W63" s="4">
        <v>45398</v>
      </c>
      <c r="X63" s="4">
        <v>45402</v>
      </c>
      <c r="Y63" t="b">
        <v>0</v>
      </c>
      <c r="Z63" t="s">
        <v>1412</v>
      </c>
      <c r="AA63" t="s">
        <v>1412</v>
      </c>
      <c r="AB63" t="s">
        <v>1412</v>
      </c>
      <c r="AC63" t="s">
        <v>1386</v>
      </c>
      <c r="AD63" t="s">
        <v>1394</v>
      </c>
      <c r="AE63" t="s">
        <v>1383</v>
      </c>
    </row>
    <row r="64" spans="1:31" x14ac:dyDescent="0.3">
      <c r="A64" t="s">
        <v>116</v>
      </c>
      <c r="B64" s="4">
        <v>45445.511111111111</v>
      </c>
      <c r="C64" t="s">
        <v>117</v>
      </c>
      <c r="D64" t="s">
        <v>1141</v>
      </c>
      <c r="E64" t="s">
        <v>1285</v>
      </c>
      <c r="F64" t="str" cm="1">
        <f t="array" ref="F64">_xlfn.IFS(
E64="Ahmedabad","Gujarat",
E64="Bengaluru","Karnataka",
E64="Bhopal","Madhya Pradesh",
E64="Bhubaneswar","Odisha",
E64="Chandigarh","Chandigarh",
E64="Chennai","Tamil Nadu",
E64="Delhi","Delhi",
E64="Guwahati","Assam",
E64="Hyderabad","Telangana",
E64="Indore","Madhya Pradesh",
E64="Jaipur","Rajasthan",
E64="Kochi","Kerala",
E64="Kolkata","West Bengal",
E64="Lucknow","Uttar Pradesh",
E64="Mumbai","Maharashtra",
E64="Nagpur","Maharashtra",
E64="Patna","Bihar",
E64="Pune","Maharashtra",
E64="Raipur","Chhattisgarh",
E64="Surat","Gujarat",
TRUE,"Not Found"
)</f>
        <v>Assam</v>
      </c>
      <c r="G64" t="s">
        <v>1143</v>
      </c>
      <c r="H64" t="s">
        <v>1144</v>
      </c>
      <c r="I64" t="s">
        <v>1276</v>
      </c>
      <c r="J64" t="s">
        <v>1286</v>
      </c>
      <c r="K64" t="s">
        <v>1287</v>
      </c>
      <c r="L64">
        <v>2</v>
      </c>
      <c r="M64">
        <v>9230</v>
      </c>
      <c r="N64">
        <v>0.05</v>
      </c>
      <c r="O64">
        <v>8768.5</v>
      </c>
      <c r="P64">
        <v>0.05</v>
      </c>
      <c r="Q64">
        <v>17537</v>
      </c>
      <c r="R64">
        <v>876.85</v>
      </c>
      <c r="S64">
        <v>18413.849999999999</v>
      </c>
      <c r="T64">
        <f>ROUND(Table2[[#This Row],[TotalAmount]],0)</f>
        <v>18414</v>
      </c>
      <c r="U64" t="s">
        <v>1360</v>
      </c>
      <c r="V64" t="s">
        <v>1364</v>
      </c>
      <c r="W64" s="4">
        <v>45447</v>
      </c>
      <c r="X64" s="4" t="s">
        <v>1412</v>
      </c>
      <c r="Y64" t="b">
        <v>1</v>
      </c>
      <c r="Z64" s="1">
        <v>45460</v>
      </c>
      <c r="AA64" s="1">
        <v>45460</v>
      </c>
      <c r="AB64" t="s">
        <v>1381</v>
      </c>
      <c r="AC64" t="s">
        <v>1376</v>
      </c>
      <c r="AD64" t="s">
        <v>1400</v>
      </c>
      <c r="AE64" t="s">
        <v>1389</v>
      </c>
    </row>
    <row r="65" spans="1:31" x14ac:dyDescent="0.3">
      <c r="A65" t="s">
        <v>118</v>
      </c>
      <c r="B65" s="4">
        <v>45615.504861111112</v>
      </c>
      <c r="C65" t="s">
        <v>119</v>
      </c>
      <c r="D65" t="s">
        <v>1148</v>
      </c>
      <c r="E65" t="s">
        <v>1149</v>
      </c>
      <c r="F65" t="str" cm="1">
        <f t="array" ref="F65">_xlfn.IFS(
E65="Ahmedabad","Gujarat",
E65="Bengaluru","Karnataka",
E65="Bhopal","Madhya Pradesh",
E65="Bhubaneswar","Odisha",
E65="Chandigarh","Chandigarh",
E65="Chennai","Tamil Nadu",
E65="Delhi","Delhi",
E65="Guwahati","Assam",
E65="Hyderabad","Telangana",
E65="Indore","Madhya Pradesh",
E65="Jaipur","Rajasthan",
E65="Kochi","Kerala",
E65="Kolkata","West Bengal",
E65="Lucknow","Uttar Pradesh",
E65="Mumbai","Maharashtra",
E65="Nagpur","Maharashtra",
E65="Patna","Bihar",
E65="Pune","Maharashtra",
E65="Raipur","Chhattisgarh",
E65="Surat","Gujarat",
TRUE,"Not Found"
)</f>
        <v>Uttar Pradesh</v>
      </c>
      <c r="G65" t="s">
        <v>1143</v>
      </c>
      <c r="H65" t="s">
        <v>1172</v>
      </c>
      <c r="I65" t="s">
        <v>1198</v>
      </c>
      <c r="J65" t="s">
        <v>1250</v>
      </c>
      <c r="K65" t="s">
        <v>1251</v>
      </c>
      <c r="L65">
        <v>2</v>
      </c>
      <c r="M65">
        <v>7006</v>
      </c>
      <c r="N65">
        <v>0</v>
      </c>
      <c r="O65">
        <v>7006</v>
      </c>
      <c r="P65">
        <v>0.05</v>
      </c>
      <c r="Q65">
        <v>14012</v>
      </c>
      <c r="R65">
        <v>700.6</v>
      </c>
      <c r="S65">
        <v>14712.6</v>
      </c>
      <c r="T65">
        <f>ROUND(Table2[[#This Row],[TotalAmount]],0)</f>
        <v>14713</v>
      </c>
      <c r="U65" t="s">
        <v>1365</v>
      </c>
      <c r="V65" t="s">
        <v>1361</v>
      </c>
      <c r="W65" s="4">
        <v>45617</v>
      </c>
      <c r="X65" s="4">
        <v>45622</v>
      </c>
      <c r="Y65" t="b">
        <v>0</v>
      </c>
      <c r="Z65" t="s">
        <v>1412</v>
      </c>
      <c r="AA65" t="s">
        <v>1412</v>
      </c>
      <c r="AB65" t="s">
        <v>1412</v>
      </c>
      <c r="AC65" t="s">
        <v>1382</v>
      </c>
      <c r="AD65" t="s">
        <v>1394</v>
      </c>
      <c r="AE65" t="s">
        <v>1395</v>
      </c>
    </row>
    <row r="66" spans="1:31" x14ac:dyDescent="0.3">
      <c r="A66" t="s">
        <v>120</v>
      </c>
      <c r="B66" s="4">
        <v>45574.656944444447</v>
      </c>
      <c r="C66" t="s">
        <v>121</v>
      </c>
      <c r="D66" t="s">
        <v>1141</v>
      </c>
      <c r="E66" t="s">
        <v>1142</v>
      </c>
      <c r="F66" t="str" cm="1">
        <f t="array" ref="F66">_xlfn.IFS(
E66="Ahmedabad","Gujarat",
E66="Bengaluru","Karnataka",
E66="Bhopal","Madhya Pradesh",
E66="Bhubaneswar","Odisha",
E66="Chandigarh","Chandigarh",
E66="Chennai","Tamil Nadu",
E66="Delhi","Delhi",
E66="Guwahati","Assam",
E66="Hyderabad","Telangana",
E66="Indore","Madhya Pradesh",
E66="Jaipur","Rajasthan",
E66="Kochi","Kerala",
E66="Kolkata","West Bengal",
E66="Lucknow","Uttar Pradesh",
E66="Mumbai","Maharashtra",
E66="Nagpur","Maharashtra",
E66="Patna","Bihar",
E66="Pune","Maharashtra",
E66="Raipur","Chhattisgarh",
E66="Surat","Gujarat",
TRUE,"Not Found"
)</f>
        <v>West Bengal</v>
      </c>
      <c r="G66" t="s">
        <v>1143</v>
      </c>
      <c r="H66" t="s">
        <v>1163</v>
      </c>
      <c r="I66" t="s">
        <v>1184</v>
      </c>
      <c r="J66" t="s">
        <v>1260</v>
      </c>
      <c r="K66" t="s">
        <v>1261</v>
      </c>
      <c r="L66">
        <v>1</v>
      </c>
      <c r="M66">
        <v>445</v>
      </c>
      <c r="N66">
        <v>0.1</v>
      </c>
      <c r="O66">
        <v>400.5</v>
      </c>
      <c r="P66">
        <v>0.18</v>
      </c>
      <c r="Q66">
        <v>400.5</v>
      </c>
      <c r="R66">
        <v>72.09</v>
      </c>
      <c r="S66">
        <v>472.59</v>
      </c>
      <c r="T66">
        <f>ROUND(Table2[[#This Row],[TotalAmount]],0)</f>
        <v>473</v>
      </c>
      <c r="U66" t="s">
        <v>1362</v>
      </c>
      <c r="V66" t="s">
        <v>1361</v>
      </c>
      <c r="W66" s="4">
        <v>45574</v>
      </c>
      <c r="X66" s="4">
        <v>45577</v>
      </c>
      <c r="Y66" t="b">
        <v>0</v>
      </c>
      <c r="Z66" t="s">
        <v>1412</v>
      </c>
      <c r="AA66" t="s">
        <v>1412</v>
      </c>
      <c r="AB66" t="s">
        <v>1412</v>
      </c>
      <c r="AC66" t="s">
        <v>1384</v>
      </c>
      <c r="AD66" t="s">
        <v>1394</v>
      </c>
      <c r="AE66" t="s">
        <v>1378</v>
      </c>
    </row>
    <row r="67" spans="1:31" x14ac:dyDescent="0.3">
      <c r="A67" t="s">
        <v>122</v>
      </c>
      <c r="B67" s="4">
        <v>45575.619444444441</v>
      </c>
      <c r="C67" t="s">
        <v>71</v>
      </c>
      <c r="D67" t="s">
        <v>1157</v>
      </c>
      <c r="E67" t="s">
        <v>1249</v>
      </c>
      <c r="F67" t="str" cm="1">
        <f t="array" ref="F67">_xlfn.IFS(
E67="Ahmedabad","Gujarat",
E67="Bengaluru","Karnataka",
E67="Bhopal","Madhya Pradesh",
E67="Bhubaneswar","Odisha",
E67="Chandigarh","Chandigarh",
E67="Chennai","Tamil Nadu",
E67="Delhi","Delhi",
E67="Guwahati","Assam",
E67="Hyderabad","Telangana",
E67="Indore","Madhya Pradesh",
E67="Jaipur","Rajasthan",
E67="Kochi","Kerala",
E67="Kolkata","West Bengal",
E67="Lucknow","Uttar Pradesh",
E67="Mumbai","Maharashtra",
E67="Nagpur","Maharashtra",
E67="Patna","Bihar",
E67="Pune","Maharashtra",
E67="Raipur","Chhattisgarh",
E67="Surat","Gujarat",
TRUE,"Not Found"
)</f>
        <v>Maharashtra</v>
      </c>
      <c r="G67" t="s">
        <v>1143</v>
      </c>
      <c r="H67" t="s">
        <v>1172</v>
      </c>
      <c r="I67" t="s">
        <v>1188</v>
      </c>
      <c r="J67" t="s">
        <v>1258</v>
      </c>
      <c r="K67" t="s">
        <v>1259</v>
      </c>
      <c r="L67">
        <v>3</v>
      </c>
      <c r="M67">
        <v>2377</v>
      </c>
      <c r="N67">
        <v>0</v>
      </c>
      <c r="O67">
        <v>2377</v>
      </c>
      <c r="P67">
        <v>0.18</v>
      </c>
      <c r="Q67">
        <v>7131</v>
      </c>
      <c r="R67">
        <v>1283.58</v>
      </c>
      <c r="S67">
        <v>8414.58</v>
      </c>
      <c r="T67">
        <f>ROUND(Table2[[#This Row],[TotalAmount]],0)</f>
        <v>8415</v>
      </c>
      <c r="U67" t="s">
        <v>1360</v>
      </c>
      <c r="V67" t="s">
        <v>1361</v>
      </c>
      <c r="W67" s="4">
        <v>45576</v>
      </c>
      <c r="X67" s="4">
        <v>45581</v>
      </c>
      <c r="Y67" t="b">
        <v>0</v>
      </c>
      <c r="Z67" t="s">
        <v>1412</v>
      </c>
      <c r="AA67" t="s">
        <v>1412</v>
      </c>
      <c r="AB67" t="s">
        <v>1412</v>
      </c>
      <c r="AC67" t="s">
        <v>1382</v>
      </c>
      <c r="AD67" t="s">
        <v>1399</v>
      </c>
      <c r="AE67" t="s">
        <v>1393</v>
      </c>
    </row>
    <row r="68" spans="1:31" x14ac:dyDescent="0.3">
      <c r="A68" t="s">
        <v>123</v>
      </c>
      <c r="B68" s="4">
        <v>45463.536111111112</v>
      </c>
      <c r="C68" t="s">
        <v>124</v>
      </c>
      <c r="D68" t="s">
        <v>1153</v>
      </c>
      <c r="E68" t="s">
        <v>1191</v>
      </c>
      <c r="F68" t="str" cm="1">
        <f t="array" ref="F68">_xlfn.IFS(
E68="Ahmedabad","Gujarat",
E68="Bengaluru","Karnataka",
E68="Bhopal","Madhya Pradesh",
E68="Bhubaneswar","Odisha",
E68="Chandigarh","Chandigarh",
E68="Chennai","Tamil Nadu",
E68="Delhi","Delhi",
E68="Guwahati","Assam",
E68="Hyderabad","Telangana",
E68="Indore","Madhya Pradesh",
E68="Jaipur","Rajasthan",
E68="Kochi","Kerala",
E68="Kolkata","West Bengal",
E68="Lucknow","Uttar Pradesh",
E68="Mumbai","Maharashtra",
E68="Nagpur","Maharashtra",
E68="Patna","Bihar",
E68="Pune","Maharashtra",
E68="Raipur","Chhattisgarh",
E68="Surat","Gujarat",
TRUE,"Not Found"
)</f>
        <v>Madhya Pradesh</v>
      </c>
      <c r="G68" t="s">
        <v>1143</v>
      </c>
      <c r="H68" t="s">
        <v>1172</v>
      </c>
      <c r="I68" t="s">
        <v>1198</v>
      </c>
      <c r="J68" t="s">
        <v>1250</v>
      </c>
      <c r="K68" t="s">
        <v>1251</v>
      </c>
      <c r="L68">
        <v>1</v>
      </c>
      <c r="M68">
        <v>9383</v>
      </c>
      <c r="N68">
        <v>0</v>
      </c>
      <c r="O68">
        <v>9383</v>
      </c>
      <c r="P68">
        <v>0.18</v>
      </c>
      <c r="Q68">
        <v>9383</v>
      </c>
      <c r="R68">
        <v>1688.94</v>
      </c>
      <c r="S68">
        <v>11071.94</v>
      </c>
      <c r="T68">
        <f>ROUND(Table2[[#This Row],[TotalAmount]],0)</f>
        <v>11072</v>
      </c>
      <c r="U68" t="s">
        <v>1363</v>
      </c>
      <c r="V68" t="s">
        <v>1361</v>
      </c>
      <c r="W68" s="4">
        <v>45465</v>
      </c>
      <c r="X68" s="4">
        <v>45466</v>
      </c>
      <c r="Y68" t="b">
        <v>0</v>
      </c>
      <c r="Z68" t="s">
        <v>1412</v>
      </c>
      <c r="AA68" t="s">
        <v>1412</v>
      </c>
      <c r="AB68" t="s">
        <v>1412</v>
      </c>
      <c r="AC68" t="s">
        <v>1386</v>
      </c>
      <c r="AD68" t="s">
        <v>1387</v>
      </c>
      <c r="AE68" t="s">
        <v>1383</v>
      </c>
    </row>
    <row r="69" spans="1:31" x14ac:dyDescent="0.3">
      <c r="A69" t="s">
        <v>125</v>
      </c>
      <c r="B69" s="4">
        <v>45525.48333333333</v>
      </c>
      <c r="C69" t="s">
        <v>81</v>
      </c>
      <c r="D69" t="s">
        <v>1148</v>
      </c>
      <c r="E69" t="s">
        <v>1149</v>
      </c>
      <c r="F69" t="str" cm="1">
        <f t="array" ref="F69">_xlfn.IFS(
E69="Ahmedabad","Gujarat",
E69="Bengaluru","Karnataka",
E69="Bhopal","Madhya Pradesh",
E69="Bhubaneswar","Odisha",
E69="Chandigarh","Chandigarh",
E69="Chennai","Tamil Nadu",
E69="Delhi","Delhi",
E69="Guwahati","Assam",
E69="Hyderabad","Telangana",
E69="Indore","Madhya Pradesh",
E69="Jaipur","Rajasthan",
E69="Kochi","Kerala",
E69="Kolkata","West Bengal",
E69="Lucknow","Uttar Pradesh",
E69="Mumbai","Maharashtra",
E69="Nagpur","Maharashtra",
E69="Patna","Bihar",
E69="Pune","Maharashtra",
E69="Raipur","Chhattisgarh",
E69="Surat","Gujarat",
TRUE,"Not Found"
)</f>
        <v>Uttar Pradesh</v>
      </c>
      <c r="G69" t="s">
        <v>1228</v>
      </c>
      <c r="H69" t="s">
        <v>1163</v>
      </c>
      <c r="I69" t="s">
        <v>1240</v>
      </c>
      <c r="J69" t="s">
        <v>1247</v>
      </c>
      <c r="K69" t="s">
        <v>1248</v>
      </c>
      <c r="L69">
        <v>2</v>
      </c>
      <c r="M69">
        <v>352</v>
      </c>
      <c r="N69">
        <v>0.05</v>
      </c>
      <c r="O69">
        <v>334.4</v>
      </c>
      <c r="P69">
        <v>0.18</v>
      </c>
      <c r="Q69">
        <v>668.8</v>
      </c>
      <c r="R69">
        <v>120.384</v>
      </c>
      <c r="S69">
        <v>789.18399999999997</v>
      </c>
      <c r="T69">
        <f>ROUND(Table2[[#This Row],[TotalAmount]],0)</f>
        <v>789</v>
      </c>
      <c r="U69" t="s">
        <v>1365</v>
      </c>
      <c r="V69" t="s">
        <v>1364</v>
      </c>
      <c r="W69" s="4">
        <v>45526</v>
      </c>
      <c r="X69" s="4" t="s">
        <v>1412</v>
      </c>
      <c r="Y69" t="b">
        <v>1</v>
      </c>
      <c r="Z69" s="1">
        <v>45535</v>
      </c>
      <c r="AA69" s="1">
        <v>45535</v>
      </c>
      <c r="AB69" t="s">
        <v>1402</v>
      </c>
      <c r="AC69" t="s">
        <v>1386</v>
      </c>
      <c r="AD69" t="s">
        <v>1399</v>
      </c>
      <c r="AE69" t="s">
        <v>1393</v>
      </c>
    </row>
    <row r="70" spans="1:31" x14ac:dyDescent="0.3">
      <c r="A70" t="s">
        <v>126</v>
      </c>
      <c r="B70" s="4">
        <v>45644.586805555547</v>
      </c>
      <c r="C70" t="s">
        <v>115</v>
      </c>
      <c r="D70" t="s">
        <v>1157</v>
      </c>
      <c r="E70" t="s">
        <v>1249</v>
      </c>
      <c r="F70" t="str" cm="1">
        <f t="array" ref="F70">_xlfn.IFS(
E70="Ahmedabad","Gujarat",
E70="Bengaluru","Karnataka",
E70="Bhopal","Madhya Pradesh",
E70="Bhubaneswar","Odisha",
E70="Chandigarh","Chandigarh",
E70="Chennai","Tamil Nadu",
E70="Delhi","Delhi",
E70="Guwahati","Assam",
E70="Hyderabad","Telangana",
E70="Indore","Madhya Pradesh",
E70="Jaipur","Rajasthan",
E70="Kochi","Kerala",
E70="Kolkata","West Bengal",
E70="Lucknow","Uttar Pradesh",
E70="Mumbai","Maharashtra",
E70="Nagpur","Maharashtra",
E70="Patna","Bihar",
E70="Pune","Maharashtra",
E70="Raipur","Chhattisgarh",
E70="Surat","Gujarat",
TRUE,"Not Found"
)</f>
        <v>Maharashtra</v>
      </c>
      <c r="G70" t="s">
        <v>1150</v>
      </c>
      <c r="H70" t="s">
        <v>1163</v>
      </c>
      <c r="I70" t="s">
        <v>1224</v>
      </c>
      <c r="J70" t="s">
        <v>1225</v>
      </c>
      <c r="K70" t="s">
        <v>1226</v>
      </c>
      <c r="L70">
        <v>2</v>
      </c>
      <c r="M70">
        <v>178</v>
      </c>
      <c r="N70">
        <v>0</v>
      </c>
      <c r="O70">
        <v>178</v>
      </c>
      <c r="P70">
        <v>0.05</v>
      </c>
      <c r="Q70">
        <v>356</v>
      </c>
      <c r="R70">
        <v>17.8</v>
      </c>
      <c r="S70">
        <v>373.8</v>
      </c>
      <c r="T70">
        <f>ROUND(Table2[[#This Row],[TotalAmount]],0)</f>
        <v>374</v>
      </c>
      <c r="U70" t="s">
        <v>1365</v>
      </c>
      <c r="V70" t="s">
        <v>1361</v>
      </c>
      <c r="W70" s="4">
        <v>45646</v>
      </c>
      <c r="X70" s="4">
        <v>45647</v>
      </c>
      <c r="Y70" t="b">
        <v>0</v>
      </c>
      <c r="Z70" t="s">
        <v>1412</v>
      </c>
      <c r="AA70" t="s">
        <v>1412</v>
      </c>
      <c r="AB70" t="s">
        <v>1412</v>
      </c>
      <c r="AC70" t="s">
        <v>1392</v>
      </c>
      <c r="AD70" t="s">
        <v>1394</v>
      </c>
      <c r="AE70" t="s">
        <v>1391</v>
      </c>
    </row>
    <row r="71" spans="1:31" x14ac:dyDescent="0.3">
      <c r="A71" t="s">
        <v>127</v>
      </c>
      <c r="B71" s="4">
        <v>45356.563888888893</v>
      </c>
      <c r="C71" t="s">
        <v>128</v>
      </c>
      <c r="D71" t="s">
        <v>1182</v>
      </c>
      <c r="E71" t="s">
        <v>1183</v>
      </c>
      <c r="F71" t="str" cm="1">
        <f t="array" ref="F71">_xlfn.IFS(
E71="Ahmedabad","Gujarat",
E71="Bengaluru","Karnataka",
E71="Bhopal","Madhya Pradesh",
E71="Bhubaneswar","Odisha",
E71="Chandigarh","Chandigarh",
E71="Chennai","Tamil Nadu",
E71="Delhi","Delhi",
E71="Guwahati","Assam",
E71="Hyderabad","Telangana",
E71="Indore","Madhya Pradesh",
E71="Jaipur","Rajasthan",
E71="Kochi","Kerala",
E71="Kolkata","West Bengal",
E71="Lucknow","Uttar Pradesh",
E71="Mumbai","Maharashtra",
E71="Nagpur","Maharashtra",
E71="Patna","Bihar",
E71="Pune","Maharashtra",
E71="Raipur","Chhattisgarh",
E71="Surat","Gujarat",
TRUE,"Not Found"
)</f>
        <v>Telangana</v>
      </c>
      <c r="G71" t="s">
        <v>1150</v>
      </c>
      <c r="H71" t="s">
        <v>1177</v>
      </c>
      <c r="I71" t="s">
        <v>1236</v>
      </c>
      <c r="J71" t="s">
        <v>1237</v>
      </c>
      <c r="K71" t="s">
        <v>1238</v>
      </c>
      <c r="L71">
        <v>1</v>
      </c>
      <c r="M71">
        <v>443</v>
      </c>
      <c r="N71">
        <v>0.15</v>
      </c>
      <c r="O71">
        <v>376.55</v>
      </c>
      <c r="P71">
        <v>0.12</v>
      </c>
      <c r="Q71">
        <v>376.55</v>
      </c>
      <c r="R71">
        <v>45.186</v>
      </c>
      <c r="S71">
        <v>421.73599999999999</v>
      </c>
      <c r="T71">
        <f>ROUND(Table2[[#This Row],[TotalAmount]],0)</f>
        <v>422</v>
      </c>
      <c r="U71" t="s">
        <v>1360</v>
      </c>
      <c r="V71" t="s">
        <v>1361</v>
      </c>
      <c r="W71" s="4">
        <v>45357</v>
      </c>
      <c r="X71" s="4">
        <v>45359</v>
      </c>
      <c r="Y71" t="b">
        <v>0</v>
      </c>
      <c r="Z71" t="s">
        <v>1412</v>
      </c>
      <c r="AA71" t="s">
        <v>1412</v>
      </c>
      <c r="AB71" t="s">
        <v>1412</v>
      </c>
      <c r="AC71" t="s">
        <v>1398</v>
      </c>
      <c r="AD71" t="s">
        <v>1399</v>
      </c>
      <c r="AE71" t="s">
        <v>1395</v>
      </c>
    </row>
    <row r="72" spans="1:31" x14ac:dyDescent="0.3">
      <c r="A72" t="s">
        <v>129</v>
      </c>
      <c r="B72" s="4">
        <v>45496.439583333333</v>
      </c>
      <c r="C72" t="s">
        <v>130</v>
      </c>
      <c r="D72" t="s">
        <v>1153</v>
      </c>
      <c r="E72" t="s">
        <v>1176</v>
      </c>
      <c r="F72" t="str" cm="1">
        <f t="array" ref="F72">_xlfn.IFS(
E72="Ahmedabad","Gujarat",
E72="Bengaluru","Karnataka",
E72="Bhopal","Madhya Pradesh",
E72="Bhubaneswar","Odisha",
E72="Chandigarh","Chandigarh",
E72="Chennai","Tamil Nadu",
E72="Delhi","Delhi",
E72="Guwahati","Assam",
E72="Hyderabad","Telangana",
E72="Indore","Madhya Pradesh",
E72="Jaipur","Rajasthan",
E72="Kochi","Kerala",
E72="Kolkata","West Bengal",
E72="Lucknow","Uttar Pradesh",
E72="Mumbai","Maharashtra",
E72="Nagpur","Maharashtra",
E72="Patna","Bihar",
E72="Pune","Maharashtra",
E72="Raipur","Chhattisgarh",
E72="Surat","Gujarat",
TRUE,"Not Found"
)</f>
        <v>Chhattisgarh</v>
      </c>
      <c r="G72" t="s">
        <v>1143</v>
      </c>
      <c r="H72" t="s">
        <v>1177</v>
      </c>
      <c r="I72" t="s">
        <v>1195</v>
      </c>
      <c r="J72" t="s">
        <v>1196</v>
      </c>
      <c r="K72" t="s">
        <v>1197</v>
      </c>
      <c r="L72">
        <v>1</v>
      </c>
      <c r="M72">
        <v>1963</v>
      </c>
      <c r="N72">
        <v>0.05</v>
      </c>
      <c r="O72">
        <v>1864.85</v>
      </c>
      <c r="P72">
        <v>0.12</v>
      </c>
      <c r="Q72">
        <v>1864.85</v>
      </c>
      <c r="R72">
        <v>223.78200000000001</v>
      </c>
      <c r="S72">
        <v>2088.6320000000001</v>
      </c>
      <c r="T72">
        <f>ROUND(Table2[[#This Row],[TotalAmount]],0)</f>
        <v>2089</v>
      </c>
      <c r="U72" t="s">
        <v>1360</v>
      </c>
      <c r="V72" t="s">
        <v>1361</v>
      </c>
      <c r="W72" s="4">
        <v>45496</v>
      </c>
      <c r="X72" s="4">
        <v>45501</v>
      </c>
      <c r="Y72" t="b">
        <v>0</v>
      </c>
      <c r="Z72" t="s">
        <v>1412</v>
      </c>
      <c r="AA72" t="s">
        <v>1412</v>
      </c>
      <c r="AB72" t="s">
        <v>1412</v>
      </c>
      <c r="AC72" t="s">
        <v>1392</v>
      </c>
      <c r="AD72" t="s">
        <v>1400</v>
      </c>
      <c r="AE72" t="s">
        <v>1389</v>
      </c>
    </row>
    <row r="73" spans="1:31" x14ac:dyDescent="0.3">
      <c r="A73" t="s">
        <v>131</v>
      </c>
      <c r="B73" s="4">
        <v>45389.589583333327</v>
      </c>
      <c r="C73" t="s">
        <v>132</v>
      </c>
      <c r="D73" t="s">
        <v>1182</v>
      </c>
      <c r="E73" t="s">
        <v>1257</v>
      </c>
      <c r="F73" t="str" cm="1">
        <f t="array" ref="F73">_xlfn.IFS(
E73="Ahmedabad","Gujarat",
E73="Bengaluru","Karnataka",
E73="Bhopal","Madhya Pradesh",
E73="Bhubaneswar","Odisha",
E73="Chandigarh","Chandigarh",
E73="Chennai","Tamil Nadu",
E73="Delhi","Delhi",
E73="Guwahati","Assam",
E73="Hyderabad","Telangana",
E73="Indore","Madhya Pradesh",
E73="Jaipur","Rajasthan",
E73="Kochi","Kerala",
E73="Kolkata","West Bengal",
E73="Lucknow","Uttar Pradesh",
E73="Mumbai","Maharashtra",
E73="Nagpur","Maharashtra",
E73="Patna","Bihar",
E73="Pune","Maharashtra",
E73="Raipur","Chhattisgarh",
E73="Surat","Gujarat",
TRUE,"Not Found"
)</f>
        <v>Kerala</v>
      </c>
      <c r="G73" t="s">
        <v>1143</v>
      </c>
      <c r="H73" t="s">
        <v>1167</v>
      </c>
      <c r="I73" t="s">
        <v>1288</v>
      </c>
      <c r="J73" t="s">
        <v>1289</v>
      </c>
      <c r="K73" t="s">
        <v>1290</v>
      </c>
      <c r="L73">
        <v>1</v>
      </c>
      <c r="M73">
        <v>45946</v>
      </c>
      <c r="N73">
        <v>0.05</v>
      </c>
      <c r="O73">
        <v>43648.7</v>
      </c>
      <c r="P73">
        <v>0.18</v>
      </c>
      <c r="Q73">
        <v>43648.7</v>
      </c>
      <c r="R73">
        <v>7856.7659999999996</v>
      </c>
      <c r="S73">
        <v>51505.466</v>
      </c>
      <c r="T73">
        <f>ROUND(Table2[[#This Row],[TotalAmount]],0)</f>
        <v>51505</v>
      </c>
      <c r="U73" t="s">
        <v>1362</v>
      </c>
      <c r="V73" t="s">
        <v>1361</v>
      </c>
      <c r="W73" s="4">
        <v>45391</v>
      </c>
      <c r="X73" s="4">
        <v>45395</v>
      </c>
      <c r="Y73" t="b">
        <v>0</v>
      </c>
      <c r="Z73" t="s">
        <v>1412</v>
      </c>
      <c r="AA73" t="s">
        <v>1412</v>
      </c>
      <c r="AB73" t="s">
        <v>1412</v>
      </c>
      <c r="AC73" t="s">
        <v>1398</v>
      </c>
      <c r="AD73" t="s">
        <v>1387</v>
      </c>
      <c r="AE73" t="s">
        <v>1389</v>
      </c>
    </row>
    <row r="74" spans="1:31" x14ac:dyDescent="0.3">
      <c r="A74" t="s">
        <v>133</v>
      </c>
      <c r="B74" s="4">
        <v>45627.527777777781</v>
      </c>
      <c r="C74" t="s">
        <v>67</v>
      </c>
      <c r="D74" t="s">
        <v>1148</v>
      </c>
      <c r="E74" t="s">
        <v>1149</v>
      </c>
      <c r="F74" t="str" cm="1">
        <f t="array" ref="F74">_xlfn.IFS(
E74="Ahmedabad","Gujarat",
E74="Bengaluru","Karnataka",
E74="Bhopal","Madhya Pradesh",
E74="Bhubaneswar","Odisha",
E74="Chandigarh","Chandigarh",
E74="Chennai","Tamil Nadu",
E74="Delhi","Delhi",
E74="Guwahati","Assam",
E74="Hyderabad","Telangana",
E74="Indore","Madhya Pradesh",
E74="Jaipur","Rajasthan",
E74="Kochi","Kerala",
E74="Kolkata","West Bengal",
E74="Lucknow","Uttar Pradesh",
E74="Mumbai","Maharashtra",
E74="Nagpur","Maharashtra",
E74="Patna","Bihar",
E74="Pune","Maharashtra",
E74="Raipur","Chhattisgarh",
E74="Surat","Gujarat",
TRUE,"Not Found"
)</f>
        <v>Uttar Pradesh</v>
      </c>
      <c r="G74" t="s">
        <v>1228</v>
      </c>
      <c r="H74" t="s">
        <v>1167</v>
      </c>
      <c r="I74" t="s">
        <v>1208</v>
      </c>
      <c r="J74" t="s">
        <v>1291</v>
      </c>
      <c r="K74" t="s">
        <v>1292</v>
      </c>
      <c r="L74">
        <v>4</v>
      </c>
      <c r="M74">
        <v>21315</v>
      </c>
      <c r="N74">
        <v>0</v>
      </c>
      <c r="O74">
        <v>21315</v>
      </c>
      <c r="P74">
        <v>0.05</v>
      </c>
      <c r="Q74">
        <v>85260</v>
      </c>
      <c r="R74">
        <v>4263</v>
      </c>
      <c r="S74">
        <v>89523</v>
      </c>
      <c r="T74">
        <f>ROUND(Table2[[#This Row],[TotalAmount]],0)</f>
        <v>89523</v>
      </c>
      <c r="U74" t="s">
        <v>1360</v>
      </c>
      <c r="V74" t="s">
        <v>1361</v>
      </c>
      <c r="W74" s="4">
        <v>45627</v>
      </c>
      <c r="X74" s="4">
        <v>45630</v>
      </c>
      <c r="Y74" t="b">
        <v>0</v>
      </c>
      <c r="Z74" t="s">
        <v>1412</v>
      </c>
      <c r="AA74" t="s">
        <v>1412</v>
      </c>
      <c r="AB74" t="s">
        <v>1412</v>
      </c>
      <c r="AC74" t="s">
        <v>1382</v>
      </c>
      <c r="AD74" t="s">
        <v>1394</v>
      </c>
      <c r="AE74" t="s">
        <v>1380</v>
      </c>
    </row>
    <row r="75" spans="1:31" x14ac:dyDescent="0.3">
      <c r="A75" t="s">
        <v>134</v>
      </c>
      <c r="B75" s="4">
        <v>45702.606944444437</v>
      </c>
      <c r="C75" t="s">
        <v>135</v>
      </c>
      <c r="D75" t="s">
        <v>1182</v>
      </c>
      <c r="E75" t="s">
        <v>1207</v>
      </c>
      <c r="F75" t="str" cm="1">
        <f t="array" ref="F75">_xlfn.IFS(
E75="Ahmedabad","Gujarat",
E75="Bengaluru","Karnataka",
E75="Bhopal","Madhya Pradesh",
E75="Bhubaneswar","Odisha",
E75="Chandigarh","Chandigarh",
E75="Chennai","Tamil Nadu",
E75="Delhi","Delhi",
E75="Guwahati","Assam",
E75="Hyderabad","Telangana",
E75="Indore","Madhya Pradesh",
E75="Jaipur","Rajasthan",
E75="Kochi","Kerala",
E75="Kolkata","West Bengal",
E75="Lucknow","Uttar Pradesh",
E75="Mumbai","Maharashtra",
E75="Nagpur","Maharashtra",
E75="Patna","Bihar",
E75="Pune","Maharashtra",
E75="Raipur","Chhattisgarh",
E75="Surat","Gujarat",
TRUE,"Not Found"
)</f>
        <v>Tamil Nadu</v>
      </c>
      <c r="G75" t="s">
        <v>1187</v>
      </c>
      <c r="H75" t="s">
        <v>1167</v>
      </c>
      <c r="I75" t="s">
        <v>1288</v>
      </c>
      <c r="J75" t="s">
        <v>1293</v>
      </c>
      <c r="K75" t="s">
        <v>1294</v>
      </c>
      <c r="L75">
        <v>2</v>
      </c>
      <c r="M75">
        <v>32507</v>
      </c>
      <c r="N75">
        <v>0</v>
      </c>
      <c r="O75">
        <v>32507</v>
      </c>
      <c r="P75">
        <v>0.18</v>
      </c>
      <c r="Q75">
        <v>65014</v>
      </c>
      <c r="R75">
        <v>11702.52</v>
      </c>
      <c r="S75">
        <v>76716.52</v>
      </c>
      <c r="T75">
        <f>ROUND(Table2[[#This Row],[TotalAmount]],0)</f>
        <v>76717</v>
      </c>
      <c r="U75" t="s">
        <v>1362</v>
      </c>
      <c r="V75" t="s">
        <v>1361</v>
      </c>
      <c r="W75" s="4">
        <v>45704</v>
      </c>
      <c r="X75" s="4">
        <v>45706</v>
      </c>
      <c r="Y75" t="b">
        <v>0</v>
      </c>
      <c r="Z75" t="s">
        <v>1412</v>
      </c>
      <c r="AA75" t="s">
        <v>1412</v>
      </c>
      <c r="AB75" t="s">
        <v>1412</v>
      </c>
      <c r="AC75" t="s">
        <v>1386</v>
      </c>
      <c r="AD75" t="s">
        <v>1394</v>
      </c>
      <c r="AE75" t="s">
        <v>1383</v>
      </c>
    </row>
    <row r="76" spans="1:31" x14ac:dyDescent="0.3">
      <c r="A76" t="s">
        <v>136</v>
      </c>
      <c r="B76" s="4">
        <v>45354.597916666673</v>
      </c>
      <c r="C76" t="s">
        <v>137</v>
      </c>
      <c r="D76" t="s">
        <v>1182</v>
      </c>
      <c r="E76" t="s">
        <v>1183</v>
      </c>
      <c r="F76" t="str" cm="1">
        <f t="array" ref="F76">_xlfn.IFS(
E76="Ahmedabad","Gujarat",
E76="Bengaluru","Karnataka",
E76="Bhopal","Madhya Pradesh",
E76="Bhubaneswar","Odisha",
E76="Chandigarh","Chandigarh",
E76="Chennai","Tamil Nadu",
E76="Delhi","Delhi",
E76="Guwahati","Assam",
E76="Hyderabad","Telangana",
E76="Indore","Madhya Pradesh",
E76="Jaipur","Rajasthan",
E76="Kochi","Kerala",
E76="Kolkata","West Bengal",
E76="Lucknow","Uttar Pradesh",
E76="Mumbai","Maharashtra",
E76="Nagpur","Maharashtra",
E76="Patna","Bihar",
E76="Pune","Maharashtra",
E76="Raipur","Chhattisgarh",
E76="Surat","Gujarat",
TRUE,"Not Found"
)</f>
        <v>Telangana</v>
      </c>
      <c r="G76" t="s">
        <v>1150</v>
      </c>
      <c r="H76" t="s">
        <v>1172</v>
      </c>
      <c r="I76" t="s">
        <v>1229</v>
      </c>
      <c r="J76" t="s">
        <v>1295</v>
      </c>
      <c r="K76" t="s">
        <v>1296</v>
      </c>
      <c r="L76">
        <v>4</v>
      </c>
      <c r="M76">
        <v>9276</v>
      </c>
      <c r="N76">
        <v>0.15</v>
      </c>
      <c r="O76">
        <v>7884.5999999999995</v>
      </c>
      <c r="P76">
        <v>0.12</v>
      </c>
      <c r="Q76">
        <v>31538.400000000001</v>
      </c>
      <c r="R76">
        <v>3784.6080000000002</v>
      </c>
      <c r="S76">
        <v>35323.007999999987</v>
      </c>
      <c r="T76">
        <f>ROUND(Table2[[#This Row],[TotalAmount]],0)</f>
        <v>35323</v>
      </c>
      <c r="U76" t="s">
        <v>1363</v>
      </c>
      <c r="V76" t="s">
        <v>1361</v>
      </c>
      <c r="W76" s="4">
        <v>45355</v>
      </c>
      <c r="X76" s="4">
        <v>45358</v>
      </c>
      <c r="Y76" t="b">
        <v>0</v>
      </c>
      <c r="Z76" t="s">
        <v>1412</v>
      </c>
      <c r="AA76" t="s">
        <v>1412</v>
      </c>
      <c r="AB76" t="s">
        <v>1412</v>
      </c>
      <c r="AC76" t="s">
        <v>1396</v>
      </c>
      <c r="AD76" t="s">
        <v>1397</v>
      </c>
      <c r="AE76" t="s">
        <v>1380</v>
      </c>
    </row>
    <row r="77" spans="1:31" x14ac:dyDescent="0.3">
      <c r="A77" t="s">
        <v>138</v>
      </c>
      <c r="B77" s="4">
        <v>45761.55</v>
      </c>
      <c r="C77" t="s">
        <v>139</v>
      </c>
      <c r="D77" t="s">
        <v>1148</v>
      </c>
      <c r="E77" t="s">
        <v>1262</v>
      </c>
      <c r="F77" t="str" cm="1">
        <f t="array" ref="F77">_xlfn.IFS(
E77="Ahmedabad","Gujarat",
E77="Bengaluru","Karnataka",
E77="Bhopal","Madhya Pradesh",
E77="Bhubaneswar","Odisha",
E77="Chandigarh","Chandigarh",
E77="Chennai","Tamil Nadu",
E77="Delhi","Delhi",
E77="Guwahati","Assam",
E77="Hyderabad","Telangana",
E77="Indore","Madhya Pradesh",
E77="Jaipur","Rajasthan",
E77="Kochi","Kerala",
E77="Kolkata","West Bengal",
E77="Lucknow","Uttar Pradesh",
E77="Mumbai","Maharashtra",
E77="Nagpur","Maharashtra",
E77="Patna","Bihar",
E77="Pune","Maharashtra",
E77="Raipur","Chhattisgarh",
E77="Surat","Gujarat",
TRUE,"Not Found"
)</f>
        <v>Rajasthan</v>
      </c>
      <c r="G77" t="s">
        <v>1150</v>
      </c>
      <c r="H77" t="s">
        <v>1163</v>
      </c>
      <c r="I77" t="s">
        <v>1184</v>
      </c>
      <c r="J77" t="s">
        <v>1245</v>
      </c>
      <c r="K77" t="s">
        <v>1246</v>
      </c>
      <c r="L77">
        <v>1</v>
      </c>
      <c r="M77">
        <v>906</v>
      </c>
      <c r="N77">
        <v>0</v>
      </c>
      <c r="O77">
        <v>906</v>
      </c>
      <c r="P77">
        <v>0.18</v>
      </c>
      <c r="Q77">
        <v>906</v>
      </c>
      <c r="R77">
        <v>163.08000000000001</v>
      </c>
      <c r="S77">
        <v>1069.08</v>
      </c>
      <c r="T77">
        <f>ROUND(Table2[[#This Row],[TotalAmount]],0)</f>
        <v>1069</v>
      </c>
      <c r="U77" t="s">
        <v>1366</v>
      </c>
      <c r="V77" t="s">
        <v>1361</v>
      </c>
      <c r="W77" s="4">
        <v>45762</v>
      </c>
      <c r="X77" s="4">
        <v>45764</v>
      </c>
      <c r="Y77" t="b">
        <v>0</v>
      </c>
      <c r="Z77" t="s">
        <v>1412</v>
      </c>
      <c r="AA77" t="s">
        <v>1412</v>
      </c>
      <c r="AB77" t="s">
        <v>1412</v>
      </c>
      <c r="AC77" t="s">
        <v>1386</v>
      </c>
      <c r="AD77" t="s">
        <v>1394</v>
      </c>
      <c r="AE77" t="s">
        <v>1393</v>
      </c>
    </row>
    <row r="78" spans="1:31" x14ac:dyDescent="0.3">
      <c r="A78" t="s">
        <v>140</v>
      </c>
      <c r="B78" s="4">
        <v>45449.375</v>
      </c>
      <c r="C78" t="s">
        <v>141</v>
      </c>
      <c r="D78" t="s">
        <v>1141</v>
      </c>
      <c r="E78" t="s">
        <v>1227</v>
      </c>
      <c r="F78" t="str" cm="1">
        <f t="array" ref="F78">_xlfn.IFS(
E78="Ahmedabad","Gujarat",
E78="Bengaluru","Karnataka",
E78="Bhopal","Madhya Pradesh",
E78="Bhubaneswar","Odisha",
E78="Chandigarh","Chandigarh",
E78="Chennai","Tamil Nadu",
E78="Delhi","Delhi",
E78="Guwahati","Assam",
E78="Hyderabad","Telangana",
E78="Indore","Madhya Pradesh",
E78="Jaipur","Rajasthan",
E78="Kochi","Kerala",
E78="Kolkata","West Bengal",
E78="Lucknow","Uttar Pradesh",
E78="Mumbai","Maharashtra",
E78="Nagpur","Maharashtra",
E78="Patna","Bihar",
E78="Pune","Maharashtra",
E78="Raipur","Chhattisgarh",
E78="Surat","Gujarat",
TRUE,"Not Found"
)</f>
        <v>Bihar</v>
      </c>
      <c r="G78" t="s">
        <v>1150</v>
      </c>
      <c r="H78" t="s">
        <v>1172</v>
      </c>
      <c r="I78" t="s">
        <v>1173</v>
      </c>
      <c r="J78" t="s">
        <v>1222</v>
      </c>
      <c r="K78" t="s">
        <v>1223</v>
      </c>
      <c r="L78">
        <v>3</v>
      </c>
      <c r="M78">
        <v>1719</v>
      </c>
      <c r="N78">
        <v>0</v>
      </c>
      <c r="O78">
        <v>1719</v>
      </c>
      <c r="P78">
        <v>0.12</v>
      </c>
      <c r="Q78">
        <v>5157</v>
      </c>
      <c r="R78">
        <v>618.84</v>
      </c>
      <c r="S78">
        <v>5775.84</v>
      </c>
      <c r="T78">
        <f>ROUND(Table2[[#This Row],[TotalAmount]],0)</f>
        <v>5776</v>
      </c>
      <c r="U78" t="s">
        <v>1363</v>
      </c>
      <c r="V78" t="s">
        <v>1361</v>
      </c>
      <c r="W78" s="4">
        <v>45451</v>
      </c>
      <c r="X78" s="4">
        <v>45456</v>
      </c>
      <c r="Y78" t="b">
        <v>0</v>
      </c>
      <c r="Z78" t="s">
        <v>1412</v>
      </c>
      <c r="AA78" t="s">
        <v>1412</v>
      </c>
      <c r="AB78" t="s">
        <v>1412</v>
      </c>
      <c r="AC78" t="s">
        <v>1384</v>
      </c>
      <c r="AD78" t="s">
        <v>1397</v>
      </c>
      <c r="AE78" t="s">
        <v>1391</v>
      </c>
    </row>
    <row r="79" spans="1:31" x14ac:dyDescent="0.3">
      <c r="A79" t="s">
        <v>142</v>
      </c>
      <c r="B79" s="4">
        <v>45323.556250000001</v>
      </c>
      <c r="C79" t="s">
        <v>143</v>
      </c>
      <c r="D79" t="s">
        <v>1153</v>
      </c>
      <c r="E79" t="s">
        <v>1154</v>
      </c>
      <c r="F79" t="str" cm="1">
        <f t="array" ref="F79">_xlfn.IFS(
E79="Ahmedabad","Gujarat",
E79="Bengaluru","Karnataka",
E79="Bhopal","Madhya Pradesh",
E79="Bhubaneswar","Odisha",
E79="Chandigarh","Chandigarh",
E79="Chennai","Tamil Nadu",
E79="Delhi","Delhi",
E79="Guwahati","Assam",
E79="Hyderabad","Telangana",
E79="Indore","Madhya Pradesh",
E79="Jaipur","Rajasthan",
E79="Kochi","Kerala",
E79="Kolkata","West Bengal",
E79="Lucknow","Uttar Pradesh",
E79="Mumbai","Maharashtra",
E79="Nagpur","Maharashtra",
E79="Patna","Bihar",
E79="Pune","Maharashtra",
E79="Raipur","Chhattisgarh",
E79="Surat","Gujarat",
TRUE,"Not Found"
)</f>
        <v>Maharashtra</v>
      </c>
      <c r="G79" t="s">
        <v>1143</v>
      </c>
      <c r="H79" t="s">
        <v>1172</v>
      </c>
      <c r="I79" t="s">
        <v>1204</v>
      </c>
      <c r="J79" t="s">
        <v>1205</v>
      </c>
      <c r="K79" t="s">
        <v>1206</v>
      </c>
      <c r="L79">
        <v>2</v>
      </c>
      <c r="M79">
        <v>8641</v>
      </c>
      <c r="N79">
        <v>0.1</v>
      </c>
      <c r="O79">
        <v>7776.9000000000005</v>
      </c>
      <c r="P79">
        <v>0.12</v>
      </c>
      <c r="Q79">
        <v>15553.8</v>
      </c>
      <c r="R79">
        <v>1866.4559999999999</v>
      </c>
      <c r="S79">
        <v>17420.256000000001</v>
      </c>
      <c r="T79">
        <f>ROUND(Table2[[#This Row],[TotalAmount]],0)</f>
        <v>17420</v>
      </c>
      <c r="U79" t="s">
        <v>1360</v>
      </c>
      <c r="V79" t="s">
        <v>1369</v>
      </c>
      <c r="W79" s="4" t="s">
        <v>1412</v>
      </c>
      <c r="X79" s="4" t="s">
        <v>1412</v>
      </c>
      <c r="Y79" t="b">
        <v>0</v>
      </c>
      <c r="Z79" t="s">
        <v>1412</v>
      </c>
      <c r="AA79" t="s">
        <v>1412</v>
      </c>
      <c r="AB79" t="s">
        <v>1412</v>
      </c>
      <c r="AC79" t="s">
        <v>1396</v>
      </c>
      <c r="AD79" t="s">
        <v>1397</v>
      </c>
      <c r="AE79" t="s">
        <v>1389</v>
      </c>
    </row>
    <row r="80" spans="1:31" x14ac:dyDescent="0.3">
      <c r="A80" t="s">
        <v>144</v>
      </c>
      <c r="B80" s="4">
        <v>45505.515972222223</v>
      </c>
      <c r="C80" t="s">
        <v>22</v>
      </c>
      <c r="D80" t="s">
        <v>1182</v>
      </c>
      <c r="E80" t="s">
        <v>1183</v>
      </c>
      <c r="F80" t="str" cm="1">
        <f t="array" ref="F80">_xlfn.IFS(
E80="Ahmedabad","Gujarat",
E80="Bengaluru","Karnataka",
E80="Bhopal","Madhya Pradesh",
E80="Bhubaneswar","Odisha",
E80="Chandigarh","Chandigarh",
E80="Chennai","Tamil Nadu",
E80="Delhi","Delhi",
E80="Guwahati","Assam",
E80="Hyderabad","Telangana",
E80="Indore","Madhya Pradesh",
E80="Jaipur","Rajasthan",
E80="Kochi","Kerala",
E80="Kolkata","West Bengal",
E80="Lucknow","Uttar Pradesh",
E80="Mumbai","Maharashtra",
E80="Nagpur","Maharashtra",
E80="Patna","Bihar",
E80="Pune","Maharashtra",
E80="Raipur","Chhattisgarh",
E80="Surat","Gujarat",
TRUE,"Not Found"
)</f>
        <v>Telangana</v>
      </c>
      <c r="G80" t="s">
        <v>1228</v>
      </c>
      <c r="H80" t="s">
        <v>1167</v>
      </c>
      <c r="I80" t="s">
        <v>1211</v>
      </c>
      <c r="J80" t="s">
        <v>1212</v>
      </c>
      <c r="K80" t="s">
        <v>1213</v>
      </c>
      <c r="L80">
        <v>5</v>
      </c>
      <c r="M80">
        <v>10885</v>
      </c>
      <c r="N80">
        <v>0.1</v>
      </c>
      <c r="O80">
        <v>9796.5</v>
      </c>
      <c r="P80">
        <v>0.12</v>
      </c>
      <c r="Q80">
        <v>48982.5</v>
      </c>
      <c r="R80">
        <v>5877.9</v>
      </c>
      <c r="S80">
        <v>54860.4</v>
      </c>
      <c r="T80">
        <f>ROUND(Table2[[#This Row],[TotalAmount]],0)</f>
        <v>54860</v>
      </c>
      <c r="U80" t="s">
        <v>1366</v>
      </c>
      <c r="V80" t="s">
        <v>1369</v>
      </c>
      <c r="W80" s="4" t="s">
        <v>1412</v>
      </c>
      <c r="X80" s="4" t="s">
        <v>1412</v>
      </c>
      <c r="Y80" t="b">
        <v>0</v>
      </c>
      <c r="Z80" t="s">
        <v>1412</v>
      </c>
      <c r="AA80" t="s">
        <v>1412</v>
      </c>
      <c r="AB80" t="s">
        <v>1412</v>
      </c>
      <c r="AC80" t="s">
        <v>1384</v>
      </c>
      <c r="AD80" t="s">
        <v>1399</v>
      </c>
      <c r="AE80" t="s">
        <v>1383</v>
      </c>
    </row>
    <row r="81" spans="1:31" x14ac:dyDescent="0.3">
      <c r="A81" t="s">
        <v>145</v>
      </c>
      <c r="B81" s="4">
        <v>45724.44027777778</v>
      </c>
      <c r="C81" t="s">
        <v>146</v>
      </c>
      <c r="D81" t="s">
        <v>1148</v>
      </c>
      <c r="E81" t="s">
        <v>1149</v>
      </c>
      <c r="F81" t="str" cm="1">
        <f t="array" ref="F81">_xlfn.IFS(
E81="Ahmedabad","Gujarat",
E81="Bengaluru","Karnataka",
E81="Bhopal","Madhya Pradesh",
E81="Bhubaneswar","Odisha",
E81="Chandigarh","Chandigarh",
E81="Chennai","Tamil Nadu",
E81="Delhi","Delhi",
E81="Guwahati","Assam",
E81="Hyderabad","Telangana",
E81="Indore","Madhya Pradesh",
E81="Jaipur","Rajasthan",
E81="Kochi","Kerala",
E81="Kolkata","West Bengal",
E81="Lucknow","Uttar Pradesh",
E81="Mumbai","Maharashtra",
E81="Nagpur","Maharashtra",
E81="Patna","Bihar",
E81="Pune","Maharashtra",
E81="Raipur","Chhattisgarh",
E81="Surat","Gujarat",
TRUE,"Not Found"
)</f>
        <v>Uttar Pradesh</v>
      </c>
      <c r="G81" t="s">
        <v>1143</v>
      </c>
      <c r="H81" t="s">
        <v>1172</v>
      </c>
      <c r="I81" t="s">
        <v>1204</v>
      </c>
      <c r="J81" t="s">
        <v>1297</v>
      </c>
      <c r="K81" t="s">
        <v>1298</v>
      </c>
      <c r="L81">
        <v>1</v>
      </c>
      <c r="M81">
        <v>1068</v>
      </c>
      <c r="N81">
        <v>0</v>
      </c>
      <c r="O81">
        <v>1068</v>
      </c>
      <c r="P81">
        <v>0.18</v>
      </c>
      <c r="Q81">
        <v>1068</v>
      </c>
      <c r="R81">
        <v>192.24</v>
      </c>
      <c r="S81">
        <v>1260.24</v>
      </c>
      <c r="T81">
        <f>ROUND(Table2[[#This Row],[TotalAmount]],0)</f>
        <v>1260</v>
      </c>
      <c r="U81" t="s">
        <v>1360</v>
      </c>
      <c r="V81" t="s">
        <v>1364</v>
      </c>
      <c r="W81" s="4">
        <v>45724</v>
      </c>
      <c r="X81" s="4" t="s">
        <v>1412</v>
      </c>
      <c r="Y81" t="b">
        <v>1</v>
      </c>
      <c r="Z81" s="1">
        <v>45733</v>
      </c>
      <c r="AA81" s="1">
        <v>45733</v>
      </c>
      <c r="AB81" t="s">
        <v>1381</v>
      </c>
      <c r="AC81" t="s">
        <v>1388</v>
      </c>
      <c r="AD81" t="s">
        <v>1394</v>
      </c>
      <c r="AE81" t="s">
        <v>1378</v>
      </c>
    </row>
    <row r="82" spans="1:31" x14ac:dyDescent="0.3">
      <c r="A82" t="s">
        <v>147</v>
      </c>
      <c r="B82" s="4">
        <v>45459.506944444453</v>
      </c>
      <c r="C82" t="s">
        <v>148</v>
      </c>
      <c r="D82" t="s">
        <v>1153</v>
      </c>
      <c r="E82" t="s">
        <v>1162</v>
      </c>
      <c r="F82" t="str" cm="1">
        <f t="array" ref="F82">_xlfn.IFS(
E82="Ahmedabad","Gujarat",
E82="Bengaluru","Karnataka",
E82="Bhopal","Madhya Pradesh",
E82="Bhubaneswar","Odisha",
E82="Chandigarh","Chandigarh",
E82="Chennai","Tamil Nadu",
E82="Delhi","Delhi",
E82="Guwahati","Assam",
E82="Hyderabad","Telangana",
E82="Indore","Madhya Pradesh",
E82="Jaipur","Rajasthan",
E82="Kochi","Kerala",
E82="Kolkata","West Bengal",
E82="Lucknow","Uttar Pradesh",
E82="Mumbai","Maharashtra",
E82="Nagpur","Maharashtra",
E82="Patna","Bihar",
E82="Pune","Maharashtra",
E82="Raipur","Chhattisgarh",
E82="Surat","Gujarat",
TRUE,"Not Found"
)</f>
        <v>Madhya Pradesh</v>
      </c>
      <c r="G82" t="s">
        <v>1150</v>
      </c>
      <c r="H82" t="s">
        <v>1144</v>
      </c>
      <c r="I82" t="s">
        <v>1269</v>
      </c>
      <c r="J82" t="s">
        <v>1270</v>
      </c>
      <c r="K82" t="s">
        <v>1271</v>
      </c>
      <c r="L82">
        <v>1</v>
      </c>
      <c r="M82">
        <v>3960</v>
      </c>
      <c r="N82">
        <v>0.1</v>
      </c>
      <c r="O82">
        <v>3564</v>
      </c>
      <c r="P82">
        <v>0.18</v>
      </c>
      <c r="Q82">
        <v>3564</v>
      </c>
      <c r="R82">
        <v>641.52</v>
      </c>
      <c r="S82">
        <v>4205.5200000000004</v>
      </c>
      <c r="T82">
        <f>ROUND(Table2[[#This Row],[TotalAmount]],0)</f>
        <v>4206</v>
      </c>
      <c r="U82" t="s">
        <v>1363</v>
      </c>
      <c r="V82" t="s">
        <v>1361</v>
      </c>
      <c r="W82" s="4">
        <v>45459</v>
      </c>
      <c r="X82" s="4">
        <v>45461</v>
      </c>
      <c r="Y82" t="b">
        <v>0</v>
      </c>
      <c r="Z82" t="s">
        <v>1412</v>
      </c>
      <c r="AA82" t="s">
        <v>1412</v>
      </c>
      <c r="AB82" t="s">
        <v>1412</v>
      </c>
      <c r="AC82" t="s">
        <v>1379</v>
      </c>
      <c r="AD82" t="s">
        <v>1399</v>
      </c>
      <c r="AE82" t="s">
        <v>1380</v>
      </c>
    </row>
    <row r="83" spans="1:31" x14ac:dyDescent="0.3">
      <c r="A83" t="s">
        <v>149</v>
      </c>
      <c r="B83" s="4">
        <v>45317.692361111112</v>
      </c>
      <c r="C83" t="s">
        <v>150</v>
      </c>
      <c r="D83" t="s">
        <v>1141</v>
      </c>
      <c r="E83" t="s">
        <v>1239</v>
      </c>
      <c r="F83" t="str" cm="1">
        <f t="array" ref="F83">_xlfn.IFS(
E83="Ahmedabad","Gujarat",
E83="Bengaluru","Karnataka",
E83="Bhopal","Madhya Pradesh",
E83="Bhubaneswar","Odisha",
E83="Chandigarh","Chandigarh",
E83="Chennai","Tamil Nadu",
E83="Delhi","Delhi",
E83="Guwahati","Assam",
E83="Hyderabad","Telangana",
E83="Indore","Madhya Pradesh",
E83="Jaipur","Rajasthan",
E83="Kochi","Kerala",
E83="Kolkata","West Bengal",
E83="Lucknow","Uttar Pradesh",
E83="Mumbai","Maharashtra",
E83="Nagpur","Maharashtra",
E83="Patna","Bihar",
E83="Pune","Maharashtra",
E83="Raipur","Chhattisgarh",
E83="Surat","Gujarat",
TRUE,"Not Found"
)</f>
        <v>Odisha</v>
      </c>
      <c r="G83" t="s">
        <v>1228</v>
      </c>
      <c r="H83" t="s">
        <v>1167</v>
      </c>
      <c r="I83" t="s">
        <v>1208</v>
      </c>
      <c r="J83" t="s">
        <v>1291</v>
      </c>
      <c r="K83" t="s">
        <v>1292</v>
      </c>
      <c r="L83">
        <v>1</v>
      </c>
      <c r="M83">
        <v>34295</v>
      </c>
      <c r="N83">
        <v>0.15</v>
      </c>
      <c r="O83">
        <v>29150.75</v>
      </c>
      <c r="P83">
        <v>0.18</v>
      </c>
      <c r="Q83">
        <v>29150.75</v>
      </c>
      <c r="R83">
        <v>5247.1350000000002</v>
      </c>
      <c r="S83">
        <v>34397.885000000002</v>
      </c>
      <c r="T83">
        <f>ROUND(Table2[[#This Row],[TotalAmount]],0)</f>
        <v>34398</v>
      </c>
      <c r="U83" t="s">
        <v>1360</v>
      </c>
      <c r="V83" t="s">
        <v>1367</v>
      </c>
      <c r="W83" s="4">
        <v>45319</v>
      </c>
      <c r="X83" s="4" t="s">
        <v>1412</v>
      </c>
      <c r="Y83" t="b">
        <v>0</v>
      </c>
      <c r="Z83" t="s">
        <v>1412</v>
      </c>
      <c r="AA83" t="s">
        <v>1412</v>
      </c>
      <c r="AB83" t="s">
        <v>1412</v>
      </c>
      <c r="AC83" t="s">
        <v>1388</v>
      </c>
      <c r="AD83" t="s">
        <v>1387</v>
      </c>
      <c r="AE83" t="s">
        <v>1378</v>
      </c>
    </row>
    <row r="84" spans="1:31" x14ac:dyDescent="0.3">
      <c r="A84" t="s">
        <v>151</v>
      </c>
      <c r="B84" s="4">
        <v>45307.492361111108</v>
      </c>
      <c r="C84" t="s">
        <v>141</v>
      </c>
      <c r="D84" t="s">
        <v>1141</v>
      </c>
      <c r="E84" t="s">
        <v>1227</v>
      </c>
      <c r="F84" t="str" cm="1">
        <f t="array" ref="F84">_xlfn.IFS(
E84="Ahmedabad","Gujarat",
E84="Bengaluru","Karnataka",
E84="Bhopal","Madhya Pradesh",
E84="Bhubaneswar","Odisha",
E84="Chandigarh","Chandigarh",
E84="Chennai","Tamil Nadu",
E84="Delhi","Delhi",
E84="Guwahati","Assam",
E84="Hyderabad","Telangana",
E84="Indore","Madhya Pradesh",
E84="Jaipur","Rajasthan",
E84="Kochi","Kerala",
E84="Kolkata","West Bengal",
E84="Lucknow","Uttar Pradesh",
E84="Mumbai","Maharashtra",
E84="Nagpur","Maharashtra",
E84="Patna","Bihar",
E84="Pune","Maharashtra",
E84="Raipur","Chhattisgarh",
E84="Surat","Gujarat",
TRUE,"Not Found"
)</f>
        <v>Bihar</v>
      </c>
      <c r="G84" t="s">
        <v>1143</v>
      </c>
      <c r="H84" t="s">
        <v>1167</v>
      </c>
      <c r="I84" t="s">
        <v>1288</v>
      </c>
      <c r="J84" t="s">
        <v>1289</v>
      </c>
      <c r="K84" t="s">
        <v>1290</v>
      </c>
      <c r="L84">
        <v>1</v>
      </c>
      <c r="M84">
        <v>39212</v>
      </c>
      <c r="N84">
        <v>0.05</v>
      </c>
      <c r="O84">
        <v>37251.4</v>
      </c>
      <c r="P84">
        <v>0.12</v>
      </c>
      <c r="Q84">
        <v>37251.4</v>
      </c>
      <c r="R84">
        <v>4470.1679999999997</v>
      </c>
      <c r="S84">
        <v>41721.567999999999</v>
      </c>
      <c r="T84">
        <f>ROUND(Table2[[#This Row],[TotalAmount]],0)</f>
        <v>41722</v>
      </c>
      <c r="U84" t="s">
        <v>1360</v>
      </c>
      <c r="V84" t="s">
        <v>1361</v>
      </c>
      <c r="W84" s="4">
        <v>45308</v>
      </c>
      <c r="X84" s="4">
        <v>45312</v>
      </c>
      <c r="Y84" t="b">
        <v>0</v>
      </c>
      <c r="Z84" t="s">
        <v>1412</v>
      </c>
      <c r="AA84" t="s">
        <v>1412</v>
      </c>
      <c r="AB84" t="s">
        <v>1412</v>
      </c>
      <c r="AC84" t="s">
        <v>1390</v>
      </c>
      <c r="AD84" t="s">
        <v>1387</v>
      </c>
      <c r="AE84" t="s">
        <v>1391</v>
      </c>
    </row>
    <row r="85" spans="1:31" x14ac:dyDescent="0.3">
      <c r="A85" t="s">
        <v>152</v>
      </c>
      <c r="B85" s="4">
        <v>45391.444444444453</v>
      </c>
      <c r="C85" t="s">
        <v>153</v>
      </c>
      <c r="D85" t="s">
        <v>1141</v>
      </c>
      <c r="E85" t="s">
        <v>1239</v>
      </c>
      <c r="F85" t="str" cm="1">
        <f t="array" ref="F85">_xlfn.IFS(
E85="Ahmedabad","Gujarat",
E85="Bengaluru","Karnataka",
E85="Bhopal","Madhya Pradesh",
E85="Bhubaneswar","Odisha",
E85="Chandigarh","Chandigarh",
E85="Chennai","Tamil Nadu",
E85="Delhi","Delhi",
E85="Guwahati","Assam",
E85="Hyderabad","Telangana",
E85="Indore","Madhya Pradesh",
E85="Jaipur","Rajasthan",
E85="Kochi","Kerala",
E85="Kolkata","West Bengal",
E85="Lucknow","Uttar Pradesh",
E85="Mumbai","Maharashtra",
E85="Nagpur","Maharashtra",
E85="Patna","Bihar",
E85="Pune","Maharashtra",
E85="Raipur","Chhattisgarh",
E85="Surat","Gujarat",
TRUE,"Not Found"
)</f>
        <v>Odisha</v>
      </c>
      <c r="G85" t="s">
        <v>1143</v>
      </c>
      <c r="H85" t="s">
        <v>1172</v>
      </c>
      <c r="I85" t="s">
        <v>1204</v>
      </c>
      <c r="J85" t="s">
        <v>1205</v>
      </c>
      <c r="K85" t="s">
        <v>1206</v>
      </c>
      <c r="L85">
        <v>2</v>
      </c>
      <c r="M85">
        <v>5528</v>
      </c>
      <c r="N85">
        <v>0.05</v>
      </c>
      <c r="O85">
        <v>5251.5999999999995</v>
      </c>
      <c r="P85">
        <v>0.12</v>
      </c>
      <c r="Q85">
        <v>10503.2</v>
      </c>
      <c r="R85">
        <v>1260.384</v>
      </c>
      <c r="S85">
        <v>11763.584000000001</v>
      </c>
      <c r="T85">
        <f>ROUND(Table2[[#This Row],[TotalAmount]],0)</f>
        <v>11764</v>
      </c>
      <c r="U85" t="s">
        <v>1363</v>
      </c>
      <c r="V85" t="s">
        <v>1367</v>
      </c>
      <c r="W85" s="4">
        <v>45392</v>
      </c>
      <c r="X85" s="4" t="s">
        <v>1412</v>
      </c>
      <c r="Y85" t="b">
        <v>0</v>
      </c>
      <c r="Z85" t="s">
        <v>1412</v>
      </c>
      <c r="AA85" t="s">
        <v>1412</v>
      </c>
      <c r="AB85" t="s">
        <v>1412</v>
      </c>
      <c r="AC85" t="s">
        <v>1390</v>
      </c>
      <c r="AD85" t="s">
        <v>1394</v>
      </c>
      <c r="AE85" t="s">
        <v>1380</v>
      </c>
    </row>
    <row r="86" spans="1:31" x14ac:dyDescent="0.3">
      <c r="A86" t="s">
        <v>154</v>
      </c>
      <c r="B86" s="4">
        <v>45714.445833333331</v>
      </c>
      <c r="C86" t="s">
        <v>155</v>
      </c>
      <c r="D86" t="s">
        <v>1157</v>
      </c>
      <c r="E86" t="s">
        <v>1158</v>
      </c>
      <c r="F86" t="str" cm="1">
        <f t="array" ref="F86">_xlfn.IFS(
E86="Ahmedabad","Gujarat",
E86="Bengaluru","Karnataka",
E86="Bhopal","Madhya Pradesh",
E86="Bhubaneswar","Odisha",
E86="Chandigarh","Chandigarh",
E86="Chennai","Tamil Nadu",
E86="Delhi","Delhi",
E86="Guwahati","Assam",
E86="Hyderabad","Telangana",
E86="Indore","Madhya Pradesh",
E86="Jaipur","Rajasthan",
E86="Kochi","Kerala",
E86="Kolkata","West Bengal",
E86="Lucknow","Uttar Pradesh",
E86="Mumbai","Maharashtra",
E86="Nagpur","Maharashtra",
E86="Patna","Bihar",
E86="Pune","Maharashtra",
E86="Raipur","Chhattisgarh",
E86="Surat","Gujarat",
TRUE,"Not Found"
)</f>
        <v>Gujarat</v>
      </c>
      <c r="G86" t="s">
        <v>1150</v>
      </c>
      <c r="H86" t="s">
        <v>1167</v>
      </c>
      <c r="I86" t="s">
        <v>1208</v>
      </c>
      <c r="J86" t="s">
        <v>1291</v>
      </c>
      <c r="K86" t="s">
        <v>1292</v>
      </c>
      <c r="L86">
        <v>4</v>
      </c>
      <c r="M86">
        <v>6916</v>
      </c>
      <c r="N86">
        <v>0</v>
      </c>
      <c r="O86">
        <v>6916</v>
      </c>
      <c r="P86">
        <v>0.12</v>
      </c>
      <c r="Q86">
        <v>27664</v>
      </c>
      <c r="R86">
        <v>3319.68</v>
      </c>
      <c r="S86">
        <v>30983.68</v>
      </c>
      <c r="T86">
        <f>ROUND(Table2[[#This Row],[TotalAmount]],0)</f>
        <v>30984</v>
      </c>
      <c r="U86" t="s">
        <v>1365</v>
      </c>
      <c r="V86" t="s">
        <v>1364</v>
      </c>
      <c r="W86" s="4">
        <v>45716</v>
      </c>
      <c r="X86" s="4" t="s">
        <v>1412</v>
      </c>
      <c r="Y86" t="b">
        <v>1</v>
      </c>
      <c r="Z86" s="1">
        <v>45724</v>
      </c>
      <c r="AA86" s="1">
        <v>45724</v>
      </c>
      <c r="AB86" t="s">
        <v>1401</v>
      </c>
      <c r="AC86" t="s">
        <v>1376</v>
      </c>
      <c r="AD86" t="s">
        <v>1397</v>
      </c>
      <c r="AE86" t="s">
        <v>1395</v>
      </c>
    </row>
    <row r="87" spans="1:31" x14ac:dyDescent="0.3">
      <c r="A87" t="s">
        <v>156</v>
      </c>
      <c r="B87" s="4">
        <v>45618.488194444442</v>
      </c>
      <c r="C87" t="s">
        <v>71</v>
      </c>
      <c r="D87" t="s">
        <v>1157</v>
      </c>
      <c r="E87" t="s">
        <v>1249</v>
      </c>
      <c r="F87" t="str" cm="1">
        <f t="array" ref="F87">_xlfn.IFS(
E87="Ahmedabad","Gujarat",
E87="Bengaluru","Karnataka",
E87="Bhopal","Madhya Pradesh",
E87="Bhubaneswar","Odisha",
E87="Chandigarh","Chandigarh",
E87="Chennai","Tamil Nadu",
E87="Delhi","Delhi",
E87="Guwahati","Assam",
E87="Hyderabad","Telangana",
E87="Indore","Madhya Pradesh",
E87="Jaipur","Rajasthan",
E87="Kochi","Kerala",
E87="Kolkata","West Bengal",
E87="Lucknow","Uttar Pradesh",
E87="Mumbai","Maharashtra",
E87="Nagpur","Maharashtra",
E87="Patna","Bihar",
E87="Pune","Maharashtra",
E87="Raipur","Chhattisgarh",
E87="Surat","Gujarat",
TRUE,"Not Found"
)</f>
        <v>Maharashtra</v>
      </c>
      <c r="G87" t="s">
        <v>1143</v>
      </c>
      <c r="H87" t="s">
        <v>1163</v>
      </c>
      <c r="I87" t="s">
        <v>1266</v>
      </c>
      <c r="J87" t="s">
        <v>1267</v>
      </c>
      <c r="K87" t="s">
        <v>1268</v>
      </c>
      <c r="L87">
        <v>3</v>
      </c>
      <c r="M87">
        <v>1009</v>
      </c>
      <c r="N87">
        <v>0.15</v>
      </c>
      <c r="O87">
        <v>857.65</v>
      </c>
      <c r="P87">
        <v>0.12</v>
      </c>
      <c r="Q87">
        <v>2572.9499999999998</v>
      </c>
      <c r="R87">
        <v>308.75400000000002</v>
      </c>
      <c r="S87">
        <v>2881.7040000000002</v>
      </c>
      <c r="T87">
        <f>ROUND(Table2[[#This Row],[TotalAmount]],0)</f>
        <v>2882</v>
      </c>
      <c r="U87" t="s">
        <v>1363</v>
      </c>
      <c r="V87" t="s">
        <v>1361</v>
      </c>
      <c r="W87" s="4">
        <v>45618</v>
      </c>
      <c r="X87" s="4">
        <v>45622</v>
      </c>
      <c r="Y87" t="b">
        <v>0</v>
      </c>
      <c r="Z87" t="s">
        <v>1412</v>
      </c>
      <c r="AA87" t="s">
        <v>1412</v>
      </c>
      <c r="AB87" t="s">
        <v>1412</v>
      </c>
      <c r="AC87" t="s">
        <v>1376</v>
      </c>
      <c r="AD87" t="s">
        <v>1387</v>
      </c>
      <c r="AE87" t="s">
        <v>1393</v>
      </c>
    </row>
    <row r="88" spans="1:31" x14ac:dyDescent="0.3">
      <c r="A88" t="s">
        <v>157</v>
      </c>
      <c r="B88" s="4">
        <v>45733.477083333331</v>
      </c>
      <c r="C88" t="s">
        <v>158</v>
      </c>
      <c r="D88" t="s">
        <v>1182</v>
      </c>
      <c r="E88" t="s">
        <v>1257</v>
      </c>
      <c r="F88" t="str" cm="1">
        <f t="array" ref="F88">_xlfn.IFS(
E88="Ahmedabad","Gujarat",
E88="Bengaluru","Karnataka",
E88="Bhopal","Madhya Pradesh",
E88="Bhubaneswar","Odisha",
E88="Chandigarh","Chandigarh",
E88="Chennai","Tamil Nadu",
E88="Delhi","Delhi",
E88="Guwahati","Assam",
E88="Hyderabad","Telangana",
E88="Indore","Madhya Pradesh",
E88="Jaipur","Rajasthan",
E88="Kochi","Kerala",
E88="Kolkata","West Bengal",
E88="Lucknow","Uttar Pradesh",
E88="Mumbai","Maharashtra",
E88="Nagpur","Maharashtra",
E88="Patna","Bihar",
E88="Pune","Maharashtra",
E88="Raipur","Chhattisgarh",
E88="Surat","Gujarat",
TRUE,"Not Found"
)</f>
        <v>Kerala</v>
      </c>
      <c r="G88" t="s">
        <v>1150</v>
      </c>
      <c r="H88" t="s">
        <v>1172</v>
      </c>
      <c r="I88" t="s">
        <v>1173</v>
      </c>
      <c r="J88" t="s">
        <v>1174</v>
      </c>
      <c r="K88" t="s">
        <v>1175</v>
      </c>
      <c r="L88">
        <v>3</v>
      </c>
      <c r="M88">
        <v>7020</v>
      </c>
      <c r="N88">
        <v>0</v>
      </c>
      <c r="O88">
        <v>7020</v>
      </c>
      <c r="P88">
        <v>0.12</v>
      </c>
      <c r="Q88">
        <v>21060</v>
      </c>
      <c r="R88">
        <v>2527.1999999999998</v>
      </c>
      <c r="S88">
        <v>23587.200000000001</v>
      </c>
      <c r="T88">
        <f>ROUND(Table2[[#This Row],[TotalAmount]],0)</f>
        <v>23587</v>
      </c>
      <c r="U88" t="s">
        <v>1360</v>
      </c>
      <c r="V88" t="s">
        <v>1361</v>
      </c>
      <c r="W88" s="4">
        <v>45735</v>
      </c>
      <c r="X88" s="4">
        <v>45737</v>
      </c>
      <c r="Y88" t="b">
        <v>0</v>
      </c>
      <c r="Z88" t="s">
        <v>1412</v>
      </c>
      <c r="AA88" t="s">
        <v>1412</v>
      </c>
      <c r="AB88" t="s">
        <v>1412</v>
      </c>
      <c r="AC88" t="s">
        <v>1398</v>
      </c>
      <c r="AD88" t="s">
        <v>1399</v>
      </c>
      <c r="AE88" t="s">
        <v>1389</v>
      </c>
    </row>
    <row r="89" spans="1:31" x14ac:dyDescent="0.3">
      <c r="A89" t="s">
        <v>159</v>
      </c>
      <c r="B89" s="4">
        <v>45382.508333333331</v>
      </c>
      <c r="C89" t="s">
        <v>160</v>
      </c>
      <c r="D89" t="s">
        <v>1157</v>
      </c>
      <c r="E89" t="s">
        <v>1201</v>
      </c>
      <c r="F89" t="str" cm="1">
        <f t="array" ref="F89">_xlfn.IFS(
E89="Ahmedabad","Gujarat",
E89="Bengaluru","Karnataka",
E89="Bhopal","Madhya Pradesh",
E89="Bhubaneswar","Odisha",
E89="Chandigarh","Chandigarh",
E89="Chennai","Tamil Nadu",
E89="Delhi","Delhi",
E89="Guwahati","Assam",
E89="Hyderabad","Telangana",
E89="Indore","Madhya Pradesh",
E89="Jaipur","Rajasthan",
E89="Kochi","Kerala",
E89="Kolkata","West Bengal",
E89="Lucknow","Uttar Pradesh",
E89="Mumbai","Maharashtra",
E89="Nagpur","Maharashtra",
E89="Patna","Bihar",
E89="Pune","Maharashtra",
E89="Raipur","Chhattisgarh",
E89="Surat","Gujarat",
TRUE,"Not Found"
)</f>
        <v>Maharashtra</v>
      </c>
      <c r="G89" t="s">
        <v>1143</v>
      </c>
      <c r="H89" t="s">
        <v>1172</v>
      </c>
      <c r="I89" t="s">
        <v>1173</v>
      </c>
      <c r="J89" t="s">
        <v>1174</v>
      </c>
      <c r="K89" t="s">
        <v>1175</v>
      </c>
      <c r="L89">
        <v>4</v>
      </c>
      <c r="M89">
        <v>2876</v>
      </c>
      <c r="N89">
        <v>0.15</v>
      </c>
      <c r="O89">
        <v>2444.6</v>
      </c>
      <c r="P89">
        <v>0.12</v>
      </c>
      <c r="Q89">
        <v>9778.4</v>
      </c>
      <c r="R89">
        <v>1173.4079999999999</v>
      </c>
      <c r="S89">
        <v>10951.808000000001</v>
      </c>
      <c r="T89">
        <f>ROUND(Table2[[#This Row],[TotalAmount]],0)</f>
        <v>10952</v>
      </c>
      <c r="U89" t="s">
        <v>1363</v>
      </c>
      <c r="V89" t="s">
        <v>1361</v>
      </c>
      <c r="W89" s="4">
        <v>45382</v>
      </c>
      <c r="X89" s="4">
        <v>45387</v>
      </c>
      <c r="Y89" t="b">
        <v>0</v>
      </c>
      <c r="Z89" t="s">
        <v>1412</v>
      </c>
      <c r="AA89" t="s">
        <v>1412</v>
      </c>
      <c r="AB89" t="s">
        <v>1412</v>
      </c>
      <c r="AC89" t="s">
        <v>1398</v>
      </c>
      <c r="AD89" t="s">
        <v>1377</v>
      </c>
      <c r="AE89" t="s">
        <v>1395</v>
      </c>
    </row>
    <row r="90" spans="1:31" x14ac:dyDescent="0.3">
      <c r="A90" t="s">
        <v>161</v>
      </c>
      <c r="B90" s="4">
        <v>45597.615277777782</v>
      </c>
      <c r="C90" t="s">
        <v>10</v>
      </c>
      <c r="D90" t="s">
        <v>1157</v>
      </c>
      <c r="E90" t="s">
        <v>1158</v>
      </c>
      <c r="F90" t="str" cm="1">
        <f t="array" ref="F90">_xlfn.IFS(
E90="Ahmedabad","Gujarat",
E90="Bengaluru","Karnataka",
E90="Bhopal","Madhya Pradesh",
E90="Bhubaneswar","Odisha",
E90="Chandigarh","Chandigarh",
E90="Chennai","Tamil Nadu",
E90="Delhi","Delhi",
E90="Guwahati","Assam",
E90="Hyderabad","Telangana",
E90="Indore","Madhya Pradesh",
E90="Jaipur","Rajasthan",
E90="Kochi","Kerala",
E90="Kolkata","West Bengal",
E90="Lucknow","Uttar Pradesh",
E90="Mumbai","Maharashtra",
E90="Nagpur","Maharashtra",
E90="Patna","Bihar",
E90="Pune","Maharashtra",
E90="Raipur","Chhattisgarh",
E90="Surat","Gujarat",
TRUE,"Not Found"
)</f>
        <v>Gujarat</v>
      </c>
      <c r="G90" t="s">
        <v>1143</v>
      </c>
      <c r="H90" t="s">
        <v>1172</v>
      </c>
      <c r="I90" t="s">
        <v>1188</v>
      </c>
      <c r="J90" t="s">
        <v>1232</v>
      </c>
      <c r="K90" t="s">
        <v>1233</v>
      </c>
      <c r="L90">
        <v>1</v>
      </c>
      <c r="M90">
        <v>887</v>
      </c>
      <c r="N90">
        <v>0.05</v>
      </c>
      <c r="O90">
        <v>842.65</v>
      </c>
      <c r="P90">
        <v>0.18</v>
      </c>
      <c r="Q90">
        <v>842.65</v>
      </c>
      <c r="R90">
        <v>151.67699999999999</v>
      </c>
      <c r="S90">
        <v>994.327</v>
      </c>
      <c r="T90">
        <f>ROUND(Table2[[#This Row],[TotalAmount]],0)</f>
        <v>994</v>
      </c>
      <c r="U90" t="s">
        <v>1365</v>
      </c>
      <c r="V90" t="s">
        <v>1361</v>
      </c>
      <c r="W90" s="4">
        <v>45598</v>
      </c>
      <c r="X90" s="4">
        <v>45601</v>
      </c>
      <c r="Y90" t="b">
        <v>0</v>
      </c>
      <c r="Z90" t="s">
        <v>1412</v>
      </c>
      <c r="AA90" t="s">
        <v>1412</v>
      </c>
      <c r="AB90" t="s">
        <v>1412</v>
      </c>
      <c r="AC90" t="s">
        <v>1382</v>
      </c>
      <c r="AD90" t="s">
        <v>1387</v>
      </c>
      <c r="AE90" t="s">
        <v>1378</v>
      </c>
    </row>
    <row r="91" spans="1:31" x14ac:dyDescent="0.3">
      <c r="A91" t="s">
        <v>162</v>
      </c>
      <c r="B91" s="4">
        <v>45630.575694444437</v>
      </c>
      <c r="C91" t="s">
        <v>160</v>
      </c>
      <c r="D91" t="s">
        <v>1157</v>
      </c>
      <c r="E91" t="s">
        <v>1201</v>
      </c>
      <c r="F91" t="str" cm="1">
        <f t="array" ref="F91">_xlfn.IFS(
E91="Ahmedabad","Gujarat",
E91="Bengaluru","Karnataka",
E91="Bhopal","Madhya Pradesh",
E91="Bhubaneswar","Odisha",
E91="Chandigarh","Chandigarh",
E91="Chennai","Tamil Nadu",
E91="Delhi","Delhi",
E91="Guwahati","Assam",
E91="Hyderabad","Telangana",
E91="Indore","Madhya Pradesh",
E91="Jaipur","Rajasthan",
E91="Kochi","Kerala",
E91="Kolkata","West Bengal",
E91="Lucknow","Uttar Pradesh",
E91="Mumbai","Maharashtra",
E91="Nagpur","Maharashtra",
E91="Patna","Bihar",
E91="Pune","Maharashtra",
E91="Raipur","Chhattisgarh",
E91="Surat","Gujarat",
TRUE,"Not Found"
)</f>
        <v>Maharashtra</v>
      </c>
      <c r="G91" t="s">
        <v>1150</v>
      </c>
      <c r="H91" t="s">
        <v>1167</v>
      </c>
      <c r="I91" t="s">
        <v>1211</v>
      </c>
      <c r="J91" t="s">
        <v>1299</v>
      </c>
      <c r="K91" t="s">
        <v>1300</v>
      </c>
      <c r="L91">
        <v>1</v>
      </c>
      <c r="M91">
        <v>22997</v>
      </c>
      <c r="N91">
        <v>0.15</v>
      </c>
      <c r="O91">
        <v>19547.45</v>
      </c>
      <c r="P91">
        <v>0.12</v>
      </c>
      <c r="Q91">
        <v>19547.45</v>
      </c>
      <c r="R91">
        <v>2345.694</v>
      </c>
      <c r="S91">
        <v>21893.144</v>
      </c>
      <c r="T91">
        <f>ROUND(Table2[[#This Row],[TotalAmount]],0)</f>
        <v>21893</v>
      </c>
      <c r="U91" t="s">
        <v>1365</v>
      </c>
      <c r="V91" t="s">
        <v>1361</v>
      </c>
      <c r="W91" s="4">
        <v>45630</v>
      </c>
      <c r="X91" s="4">
        <v>45632</v>
      </c>
      <c r="Y91" t="b">
        <v>0</v>
      </c>
      <c r="Z91" t="s">
        <v>1412</v>
      </c>
      <c r="AA91" t="s">
        <v>1412</v>
      </c>
      <c r="AB91" t="s">
        <v>1412</v>
      </c>
      <c r="AC91" t="s">
        <v>1384</v>
      </c>
      <c r="AD91" t="s">
        <v>1385</v>
      </c>
      <c r="AE91" t="s">
        <v>1378</v>
      </c>
    </row>
    <row r="92" spans="1:31" x14ac:dyDescent="0.3">
      <c r="A92" t="s">
        <v>163</v>
      </c>
      <c r="B92" s="4">
        <v>45601.517361111109</v>
      </c>
      <c r="C92" t="s">
        <v>164</v>
      </c>
      <c r="D92" t="s">
        <v>1157</v>
      </c>
      <c r="E92" t="s">
        <v>1249</v>
      </c>
      <c r="F92" t="str" cm="1">
        <f t="array" ref="F92">_xlfn.IFS(
E92="Ahmedabad","Gujarat",
E92="Bengaluru","Karnataka",
E92="Bhopal","Madhya Pradesh",
E92="Bhubaneswar","Odisha",
E92="Chandigarh","Chandigarh",
E92="Chennai","Tamil Nadu",
E92="Delhi","Delhi",
E92="Guwahati","Assam",
E92="Hyderabad","Telangana",
E92="Indore","Madhya Pradesh",
E92="Jaipur","Rajasthan",
E92="Kochi","Kerala",
E92="Kolkata","West Bengal",
E92="Lucknow","Uttar Pradesh",
E92="Mumbai","Maharashtra",
E92="Nagpur","Maharashtra",
E92="Patna","Bihar",
E92="Pune","Maharashtra",
E92="Raipur","Chhattisgarh",
E92="Surat","Gujarat",
TRUE,"Not Found"
)</f>
        <v>Maharashtra</v>
      </c>
      <c r="G92" t="s">
        <v>1143</v>
      </c>
      <c r="H92" t="s">
        <v>1144</v>
      </c>
      <c r="I92" t="s">
        <v>1269</v>
      </c>
      <c r="J92" t="s">
        <v>1301</v>
      </c>
      <c r="K92" t="s">
        <v>1302</v>
      </c>
      <c r="L92">
        <v>1</v>
      </c>
      <c r="M92">
        <v>3817</v>
      </c>
      <c r="N92">
        <v>0</v>
      </c>
      <c r="O92">
        <v>3817</v>
      </c>
      <c r="P92">
        <v>0.12</v>
      </c>
      <c r="Q92">
        <v>3817</v>
      </c>
      <c r="R92">
        <v>458.04</v>
      </c>
      <c r="S92">
        <v>4275.04</v>
      </c>
      <c r="T92">
        <f>ROUND(Table2[[#This Row],[TotalAmount]],0)</f>
        <v>4275</v>
      </c>
      <c r="U92" t="s">
        <v>1366</v>
      </c>
      <c r="V92" t="s">
        <v>1369</v>
      </c>
      <c r="W92" s="4" t="s">
        <v>1412</v>
      </c>
      <c r="X92" s="4" t="s">
        <v>1412</v>
      </c>
      <c r="Y92" t="b">
        <v>0</v>
      </c>
      <c r="Z92" t="s">
        <v>1412</v>
      </c>
      <c r="AA92" t="s">
        <v>1412</v>
      </c>
      <c r="AB92" t="s">
        <v>1412</v>
      </c>
      <c r="AC92" t="s">
        <v>1384</v>
      </c>
      <c r="AD92" t="s">
        <v>1385</v>
      </c>
      <c r="AE92" t="s">
        <v>1395</v>
      </c>
    </row>
    <row r="93" spans="1:31" x14ac:dyDescent="0.3">
      <c r="A93" t="s">
        <v>165</v>
      </c>
      <c r="B93" s="4">
        <v>45353.488194444442</v>
      </c>
      <c r="C93" t="s">
        <v>128</v>
      </c>
      <c r="D93" t="s">
        <v>1182</v>
      </c>
      <c r="E93" t="s">
        <v>1183</v>
      </c>
      <c r="F93" t="str" cm="1">
        <f t="array" ref="F93">_xlfn.IFS(
E93="Ahmedabad","Gujarat",
E93="Bengaluru","Karnataka",
E93="Bhopal","Madhya Pradesh",
E93="Bhubaneswar","Odisha",
E93="Chandigarh","Chandigarh",
E93="Chennai","Tamil Nadu",
E93="Delhi","Delhi",
E93="Guwahati","Assam",
E93="Hyderabad","Telangana",
E93="Indore","Madhya Pradesh",
E93="Jaipur","Rajasthan",
E93="Kochi","Kerala",
E93="Kolkata","West Bengal",
E93="Lucknow","Uttar Pradesh",
E93="Mumbai","Maharashtra",
E93="Nagpur","Maharashtra",
E93="Patna","Bihar",
E93="Pune","Maharashtra",
E93="Raipur","Chhattisgarh",
E93="Surat","Gujarat",
TRUE,"Not Found"
)</f>
        <v>Telangana</v>
      </c>
      <c r="G93" t="s">
        <v>1143</v>
      </c>
      <c r="H93" t="s">
        <v>1172</v>
      </c>
      <c r="I93" t="s">
        <v>1204</v>
      </c>
      <c r="J93" t="s">
        <v>1234</v>
      </c>
      <c r="K93" t="s">
        <v>1235</v>
      </c>
      <c r="L93">
        <v>1</v>
      </c>
      <c r="M93">
        <v>2317</v>
      </c>
      <c r="N93">
        <v>0.15</v>
      </c>
      <c r="O93">
        <v>1969.45</v>
      </c>
      <c r="P93">
        <v>0.05</v>
      </c>
      <c r="Q93">
        <v>1969.45</v>
      </c>
      <c r="R93">
        <v>98.472500000000011</v>
      </c>
      <c r="S93">
        <v>2067.9225000000001</v>
      </c>
      <c r="T93">
        <f>ROUND(Table2[[#This Row],[TotalAmount]],0)</f>
        <v>2068</v>
      </c>
      <c r="U93" t="s">
        <v>1365</v>
      </c>
      <c r="V93" t="s">
        <v>1368</v>
      </c>
      <c r="W93" s="4">
        <v>45353</v>
      </c>
      <c r="X93" s="4" t="s">
        <v>1412</v>
      </c>
      <c r="Y93" t="b">
        <v>0</v>
      </c>
      <c r="Z93" t="s">
        <v>1412</v>
      </c>
      <c r="AA93" t="s">
        <v>1412</v>
      </c>
      <c r="AB93" t="s">
        <v>1412</v>
      </c>
      <c r="AC93" t="s">
        <v>1388</v>
      </c>
      <c r="AD93" t="s">
        <v>1387</v>
      </c>
      <c r="AE93" t="s">
        <v>1393</v>
      </c>
    </row>
    <row r="94" spans="1:31" x14ac:dyDescent="0.3">
      <c r="A94" t="s">
        <v>166</v>
      </c>
      <c r="B94" s="4">
        <v>45476.600694444453</v>
      </c>
      <c r="C94" t="s">
        <v>8</v>
      </c>
      <c r="D94" t="s">
        <v>1153</v>
      </c>
      <c r="E94" t="s">
        <v>1154</v>
      </c>
      <c r="F94" t="str" cm="1">
        <f t="array" ref="F94">_xlfn.IFS(
E94="Ahmedabad","Gujarat",
E94="Bengaluru","Karnataka",
E94="Bhopal","Madhya Pradesh",
E94="Bhubaneswar","Odisha",
E94="Chandigarh","Chandigarh",
E94="Chennai","Tamil Nadu",
E94="Delhi","Delhi",
E94="Guwahati","Assam",
E94="Hyderabad","Telangana",
E94="Indore","Madhya Pradesh",
E94="Jaipur","Rajasthan",
E94="Kochi","Kerala",
E94="Kolkata","West Bengal",
E94="Lucknow","Uttar Pradesh",
E94="Mumbai","Maharashtra",
E94="Nagpur","Maharashtra",
E94="Patna","Bihar",
E94="Pune","Maharashtra",
E94="Raipur","Chhattisgarh",
E94="Surat","Gujarat",
TRUE,"Not Found"
)</f>
        <v>Maharashtra</v>
      </c>
      <c r="G94" t="s">
        <v>1187</v>
      </c>
      <c r="H94" t="s">
        <v>1172</v>
      </c>
      <c r="I94" t="s">
        <v>1198</v>
      </c>
      <c r="J94" t="s">
        <v>1303</v>
      </c>
      <c r="K94" t="s">
        <v>1304</v>
      </c>
      <c r="L94">
        <v>1</v>
      </c>
      <c r="M94">
        <v>6273</v>
      </c>
      <c r="N94">
        <v>0</v>
      </c>
      <c r="O94">
        <v>6273</v>
      </c>
      <c r="P94">
        <v>0.18</v>
      </c>
      <c r="Q94">
        <v>6273</v>
      </c>
      <c r="R94">
        <v>1129.1400000000001</v>
      </c>
      <c r="S94">
        <v>7402.1399999999994</v>
      </c>
      <c r="T94">
        <f>ROUND(Table2[[#This Row],[TotalAmount]],0)</f>
        <v>7402</v>
      </c>
      <c r="U94" t="s">
        <v>1360</v>
      </c>
      <c r="V94" t="s">
        <v>1364</v>
      </c>
      <c r="W94" s="4">
        <v>45477</v>
      </c>
      <c r="X94" s="4" t="s">
        <v>1412</v>
      </c>
      <c r="Y94" t="b">
        <v>1</v>
      </c>
      <c r="Z94" s="1">
        <v>45483</v>
      </c>
      <c r="AA94" s="1">
        <v>45483</v>
      </c>
      <c r="AB94" t="s">
        <v>1403</v>
      </c>
      <c r="AC94" t="s">
        <v>1390</v>
      </c>
      <c r="AD94" t="s">
        <v>1399</v>
      </c>
      <c r="AE94" t="s">
        <v>1378</v>
      </c>
    </row>
    <row r="95" spans="1:31" x14ac:dyDescent="0.3">
      <c r="A95" t="s">
        <v>167</v>
      </c>
      <c r="B95" s="4">
        <v>45659.570833333331</v>
      </c>
      <c r="C95" t="s">
        <v>45</v>
      </c>
      <c r="D95" t="s">
        <v>1141</v>
      </c>
      <c r="E95" t="s">
        <v>1142</v>
      </c>
      <c r="F95" t="str" cm="1">
        <f t="array" ref="F95">_xlfn.IFS(
E95="Ahmedabad","Gujarat",
E95="Bengaluru","Karnataka",
E95="Bhopal","Madhya Pradesh",
E95="Bhubaneswar","Odisha",
E95="Chandigarh","Chandigarh",
E95="Chennai","Tamil Nadu",
E95="Delhi","Delhi",
E95="Guwahati","Assam",
E95="Hyderabad","Telangana",
E95="Indore","Madhya Pradesh",
E95="Jaipur","Rajasthan",
E95="Kochi","Kerala",
E95="Kolkata","West Bengal",
E95="Lucknow","Uttar Pradesh",
E95="Mumbai","Maharashtra",
E95="Nagpur","Maharashtra",
E95="Patna","Bihar",
E95="Pune","Maharashtra",
E95="Raipur","Chhattisgarh",
E95="Surat","Gujarat",
TRUE,"Not Found"
)</f>
        <v>West Bengal</v>
      </c>
      <c r="G95" t="s">
        <v>1150</v>
      </c>
      <c r="H95" t="s">
        <v>1144</v>
      </c>
      <c r="I95" t="s">
        <v>1145</v>
      </c>
      <c r="J95" t="s">
        <v>1155</v>
      </c>
      <c r="K95" t="s">
        <v>1156</v>
      </c>
      <c r="L95">
        <v>3</v>
      </c>
      <c r="M95">
        <v>11960</v>
      </c>
      <c r="N95">
        <v>0</v>
      </c>
      <c r="O95">
        <v>11960</v>
      </c>
      <c r="P95">
        <v>0.18</v>
      </c>
      <c r="Q95">
        <v>35880</v>
      </c>
      <c r="R95">
        <v>6458.4</v>
      </c>
      <c r="S95">
        <v>42338.400000000001</v>
      </c>
      <c r="T95">
        <f>ROUND(Table2[[#This Row],[TotalAmount]],0)</f>
        <v>42338</v>
      </c>
      <c r="U95" t="s">
        <v>1360</v>
      </c>
      <c r="V95" t="s">
        <v>1361</v>
      </c>
      <c r="W95" s="4">
        <v>45659</v>
      </c>
      <c r="X95" s="4">
        <v>45664</v>
      </c>
      <c r="Y95" t="b">
        <v>0</v>
      </c>
      <c r="Z95" t="s">
        <v>1412</v>
      </c>
      <c r="AA95" t="s">
        <v>1412</v>
      </c>
      <c r="AB95" t="s">
        <v>1412</v>
      </c>
      <c r="AC95" t="s">
        <v>1379</v>
      </c>
      <c r="AD95" t="s">
        <v>1385</v>
      </c>
      <c r="AE95" t="s">
        <v>1380</v>
      </c>
    </row>
    <row r="96" spans="1:31" x14ac:dyDescent="0.3">
      <c r="A96" t="s">
        <v>168</v>
      </c>
      <c r="B96" s="4">
        <v>45636.621527777781</v>
      </c>
      <c r="C96" t="s">
        <v>169</v>
      </c>
      <c r="D96" t="s">
        <v>1148</v>
      </c>
      <c r="E96" t="s">
        <v>1149</v>
      </c>
      <c r="F96" t="str" cm="1">
        <f t="array" ref="F96">_xlfn.IFS(
E96="Ahmedabad","Gujarat",
E96="Bengaluru","Karnataka",
E96="Bhopal","Madhya Pradesh",
E96="Bhubaneswar","Odisha",
E96="Chandigarh","Chandigarh",
E96="Chennai","Tamil Nadu",
E96="Delhi","Delhi",
E96="Guwahati","Assam",
E96="Hyderabad","Telangana",
E96="Indore","Madhya Pradesh",
E96="Jaipur","Rajasthan",
E96="Kochi","Kerala",
E96="Kolkata","West Bengal",
E96="Lucknow","Uttar Pradesh",
E96="Mumbai","Maharashtra",
E96="Nagpur","Maharashtra",
E96="Patna","Bihar",
E96="Pune","Maharashtra",
E96="Raipur","Chhattisgarh",
E96="Surat","Gujarat",
TRUE,"Not Found"
)</f>
        <v>Uttar Pradesh</v>
      </c>
      <c r="G96" t="s">
        <v>1143</v>
      </c>
      <c r="H96" t="s">
        <v>1177</v>
      </c>
      <c r="I96" t="s">
        <v>1195</v>
      </c>
      <c r="J96" t="s">
        <v>1196</v>
      </c>
      <c r="K96" t="s">
        <v>1197</v>
      </c>
      <c r="L96">
        <v>2</v>
      </c>
      <c r="M96">
        <v>1018</v>
      </c>
      <c r="N96">
        <v>0.15</v>
      </c>
      <c r="O96">
        <v>865.3</v>
      </c>
      <c r="P96">
        <v>0.18</v>
      </c>
      <c r="Q96">
        <v>1730.6</v>
      </c>
      <c r="R96">
        <v>311.50799999999998</v>
      </c>
      <c r="S96">
        <v>2042.1079999999999</v>
      </c>
      <c r="T96">
        <f>ROUND(Table2[[#This Row],[TotalAmount]],0)</f>
        <v>2042</v>
      </c>
      <c r="U96" t="s">
        <v>1360</v>
      </c>
      <c r="V96" t="s">
        <v>1361</v>
      </c>
      <c r="W96" s="4">
        <v>45638</v>
      </c>
      <c r="X96" s="4">
        <v>45642</v>
      </c>
      <c r="Y96" t="b">
        <v>0</v>
      </c>
      <c r="Z96" t="s">
        <v>1412</v>
      </c>
      <c r="AA96" t="s">
        <v>1412</v>
      </c>
      <c r="AB96" t="s">
        <v>1412</v>
      </c>
      <c r="AC96" t="s">
        <v>1386</v>
      </c>
      <c r="AD96" t="s">
        <v>1387</v>
      </c>
      <c r="AE96" t="s">
        <v>1380</v>
      </c>
    </row>
    <row r="97" spans="1:31" x14ac:dyDescent="0.3">
      <c r="A97" t="s">
        <v>170</v>
      </c>
      <c r="B97" s="4">
        <v>45651.517361111109</v>
      </c>
      <c r="C97" t="s">
        <v>171</v>
      </c>
      <c r="D97" t="s">
        <v>1182</v>
      </c>
      <c r="E97" t="s">
        <v>1207</v>
      </c>
      <c r="F97" t="str" cm="1">
        <f t="array" ref="F97">_xlfn.IFS(
E97="Ahmedabad","Gujarat",
E97="Bengaluru","Karnataka",
E97="Bhopal","Madhya Pradesh",
E97="Bhubaneswar","Odisha",
E97="Chandigarh","Chandigarh",
E97="Chennai","Tamil Nadu",
E97="Delhi","Delhi",
E97="Guwahati","Assam",
E97="Hyderabad","Telangana",
E97="Indore","Madhya Pradesh",
E97="Jaipur","Rajasthan",
E97="Kochi","Kerala",
E97="Kolkata","West Bengal",
E97="Lucknow","Uttar Pradesh",
E97="Mumbai","Maharashtra",
E97="Nagpur","Maharashtra",
E97="Patna","Bihar",
E97="Pune","Maharashtra",
E97="Raipur","Chhattisgarh",
E97="Surat","Gujarat",
TRUE,"Not Found"
)</f>
        <v>Tamil Nadu</v>
      </c>
      <c r="G97" t="s">
        <v>1150</v>
      </c>
      <c r="H97" t="s">
        <v>1177</v>
      </c>
      <c r="I97" t="s">
        <v>1178</v>
      </c>
      <c r="J97" t="s">
        <v>1179</v>
      </c>
      <c r="K97" t="s">
        <v>1180</v>
      </c>
      <c r="L97">
        <v>1</v>
      </c>
      <c r="M97">
        <v>1280</v>
      </c>
      <c r="N97">
        <v>0</v>
      </c>
      <c r="O97">
        <v>1280</v>
      </c>
      <c r="P97">
        <v>0.18</v>
      </c>
      <c r="Q97">
        <v>1280</v>
      </c>
      <c r="R97">
        <v>230.4</v>
      </c>
      <c r="S97">
        <v>1510.4</v>
      </c>
      <c r="T97">
        <f>ROUND(Table2[[#This Row],[TotalAmount]],0)</f>
        <v>1510</v>
      </c>
      <c r="U97" t="s">
        <v>1362</v>
      </c>
      <c r="V97" t="s">
        <v>1361</v>
      </c>
      <c r="W97" s="4">
        <v>45653</v>
      </c>
      <c r="X97" s="4">
        <v>45656</v>
      </c>
      <c r="Y97" t="b">
        <v>0</v>
      </c>
      <c r="Z97" t="s">
        <v>1412</v>
      </c>
      <c r="AA97" t="s">
        <v>1412</v>
      </c>
      <c r="AB97" t="s">
        <v>1412</v>
      </c>
      <c r="AC97" t="s">
        <v>1376</v>
      </c>
      <c r="AD97" t="s">
        <v>1387</v>
      </c>
      <c r="AE97" t="s">
        <v>1389</v>
      </c>
    </row>
    <row r="98" spans="1:31" x14ac:dyDescent="0.3">
      <c r="A98" t="s">
        <v>172</v>
      </c>
      <c r="B98" s="4">
        <v>45442.716666666667</v>
      </c>
      <c r="C98" t="s">
        <v>173</v>
      </c>
      <c r="D98" t="s">
        <v>1153</v>
      </c>
      <c r="E98" t="s">
        <v>1176</v>
      </c>
      <c r="F98" t="str" cm="1">
        <f t="array" ref="F98">_xlfn.IFS(
E98="Ahmedabad","Gujarat",
E98="Bengaluru","Karnataka",
E98="Bhopal","Madhya Pradesh",
E98="Bhubaneswar","Odisha",
E98="Chandigarh","Chandigarh",
E98="Chennai","Tamil Nadu",
E98="Delhi","Delhi",
E98="Guwahati","Assam",
E98="Hyderabad","Telangana",
E98="Indore","Madhya Pradesh",
E98="Jaipur","Rajasthan",
E98="Kochi","Kerala",
E98="Kolkata","West Bengal",
E98="Lucknow","Uttar Pradesh",
E98="Mumbai","Maharashtra",
E98="Nagpur","Maharashtra",
E98="Patna","Bihar",
E98="Pune","Maharashtra",
E98="Raipur","Chhattisgarh",
E98="Surat","Gujarat",
TRUE,"Not Found"
)</f>
        <v>Chhattisgarh</v>
      </c>
      <c r="G98" t="s">
        <v>1143</v>
      </c>
      <c r="H98" t="s">
        <v>1167</v>
      </c>
      <c r="I98" t="s">
        <v>1288</v>
      </c>
      <c r="J98" t="s">
        <v>1289</v>
      </c>
      <c r="K98" t="s">
        <v>1290</v>
      </c>
      <c r="L98">
        <v>1</v>
      </c>
      <c r="M98">
        <v>53882</v>
      </c>
      <c r="N98">
        <v>0.1</v>
      </c>
      <c r="O98">
        <v>48493.8</v>
      </c>
      <c r="P98">
        <v>0.18</v>
      </c>
      <c r="Q98">
        <v>48493.8</v>
      </c>
      <c r="R98">
        <v>8728.884</v>
      </c>
      <c r="S98">
        <v>57222.684000000001</v>
      </c>
      <c r="T98">
        <f>ROUND(Table2[[#This Row],[TotalAmount]],0)</f>
        <v>57223</v>
      </c>
      <c r="U98" t="s">
        <v>1366</v>
      </c>
      <c r="V98" t="s">
        <v>1361</v>
      </c>
      <c r="W98" s="4">
        <v>45443</v>
      </c>
      <c r="X98" s="4">
        <v>45445</v>
      </c>
      <c r="Y98" t="b">
        <v>0</v>
      </c>
      <c r="Z98" t="s">
        <v>1412</v>
      </c>
      <c r="AA98" t="s">
        <v>1412</v>
      </c>
      <c r="AB98" t="s">
        <v>1412</v>
      </c>
      <c r="AC98" t="s">
        <v>1398</v>
      </c>
      <c r="AD98" t="s">
        <v>1399</v>
      </c>
      <c r="AE98" t="s">
        <v>1393</v>
      </c>
    </row>
    <row r="99" spans="1:31" x14ac:dyDescent="0.3">
      <c r="A99" t="s">
        <v>174</v>
      </c>
      <c r="B99" s="4">
        <v>45670.425694444442</v>
      </c>
      <c r="C99" t="s">
        <v>63</v>
      </c>
      <c r="D99" t="s">
        <v>1141</v>
      </c>
      <c r="E99" t="s">
        <v>1239</v>
      </c>
      <c r="F99" t="str" cm="1">
        <f t="array" ref="F99">_xlfn.IFS(
E99="Ahmedabad","Gujarat",
E99="Bengaluru","Karnataka",
E99="Bhopal","Madhya Pradesh",
E99="Bhubaneswar","Odisha",
E99="Chandigarh","Chandigarh",
E99="Chennai","Tamil Nadu",
E99="Delhi","Delhi",
E99="Guwahati","Assam",
E99="Hyderabad","Telangana",
E99="Indore","Madhya Pradesh",
E99="Jaipur","Rajasthan",
E99="Kochi","Kerala",
E99="Kolkata","West Bengal",
E99="Lucknow","Uttar Pradesh",
E99="Mumbai","Maharashtra",
E99="Nagpur","Maharashtra",
E99="Patna","Bihar",
E99="Pune","Maharashtra",
E99="Raipur","Chhattisgarh",
E99="Surat","Gujarat",
TRUE,"Not Found"
)</f>
        <v>Odisha</v>
      </c>
      <c r="G99" t="s">
        <v>1143</v>
      </c>
      <c r="H99" t="s">
        <v>1167</v>
      </c>
      <c r="I99" t="s">
        <v>1211</v>
      </c>
      <c r="J99" t="s">
        <v>1279</v>
      </c>
      <c r="K99" t="s">
        <v>1280</v>
      </c>
      <c r="L99">
        <v>1</v>
      </c>
      <c r="M99">
        <v>26546</v>
      </c>
      <c r="N99">
        <v>0.1</v>
      </c>
      <c r="O99">
        <v>23891.4</v>
      </c>
      <c r="P99">
        <v>0.12</v>
      </c>
      <c r="Q99">
        <v>23891.4</v>
      </c>
      <c r="R99">
        <v>2866.9679999999998</v>
      </c>
      <c r="S99">
        <v>26758.367999999999</v>
      </c>
      <c r="T99">
        <f>ROUND(Table2[[#This Row],[TotalAmount]],0)</f>
        <v>26758</v>
      </c>
      <c r="U99" t="s">
        <v>1362</v>
      </c>
      <c r="V99" t="s">
        <v>1361</v>
      </c>
      <c r="W99" s="4">
        <v>45671</v>
      </c>
      <c r="X99" s="4">
        <v>45672</v>
      </c>
      <c r="Y99" t="b">
        <v>0</v>
      </c>
      <c r="Z99" t="s">
        <v>1412</v>
      </c>
      <c r="AA99" t="s">
        <v>1412</v>
      </c>
      <c r="AB99" t="s">
        <v>1412</v>
      </c>
      <c r="AC99" t="s">
        <v>1384</v>
      </c>
      <c r="AD99" t="s">
        <v>1377</v>
      </c>
      <c r="AE99" t="s">
        <v>1389</v>
      </c>
    </row>
    <row r="100" spans="1:31" x14ac:dyDescent="0.3">
      <c r="A100" t="s">
        <v>175</v>
      </c>
      <c r="B100" s="4">
        <v>45337.469444444447</v>
      </c>
      <c r="C100" t="s">
        <v>176</v>
      </c>
      <c r="D100" t="s">
        <v>1148</v>
      </c>
      <c r="E100" t="s">
        <v>1262</v>
      </c>
      <c r="F100" t="str" cm="1">
        <f t="array" ref="F100">_xlfn.IFS(
E100="Ahmedabad","Gujarat",
E100="Bengaluru","Karnataka",
E100="Bhopal","Madhya Pradesh",
E100="Bhubaneswar","Odisha",
E100="Chandigarh","Chandigarh",
E100="Chennai","Tamil Nadu",
E100="Delhi","Delhi",
E100="Guwahati","Assam",
E100="Hyderabad","Telangana",
E100="Indore","Madhya Pradesh",
E100="Jaipur","Rajasthan",
E100="Kochi","Kerala",
E100="Kolkata","West Bengal",
E100="Lucknow","Uttar Pradesh",
E100="Mumbai","Maharashtra",
E100="Nagpur","Maharashtra",
E100="Patna","Bihar",
E100="Pune","Maharashtra",
E100="Raipur","Chhattisgarh",
E100="Surat","Gujarat",
TRUE,"Not Found"
)</f>
        <v>Rajasthan</v>
      </c>
      <c r="G100" t="s">
        <v>1143</v>
      </c>
      <c r="H100" t="s">
        <v>1167</v>
      </c>
      <c r="I100" t="s">
        <v>1263</v>
      </c>
      <c r="J100" t="s">
        <v>1264</v>
      </c>
      <c r="K100" t="s">
        <v>1265</v>
      </c>
      <c r="L100">
        <v>1</v>
      </c>
      <c r="M100">
        <v>21377</v>
      </c>
      <c r="N100">
        <v>0.05</v>
      </c>
      <c r="O100">
        <v>20308.150000000001</v>
      </c>
      <c r="P100">
        <v>0.12</v>
      </c>
      <c r="Q100">
        <v>20308.150000000001</v>
      </c>
      <c r="R100">
        <v>2436.9780000000001</v>
      </c>
      <c r="S100">
        <v>22745.128000000001</v>
      </c>
      <c r="T100">
        <f>ROUND(Table2[[#This Row],[TotalAmount]],0)</f>
        <v>22745</v>
      </c>
      <c r="U100" t="s">
        <v>1360</v>
      </c>
      <c r="V100" t="s">
        <v>1361</v>
      </c>
      <c r="W100" s="4">
        <v>45338</v>
      </c>
      <c r="X100" s="4">
        <v>45340</v>
      </c>
      <c r="Y100" t="b">
        <v>0</v>
      </c>
      <c r="Z100" t="s">
        <v>1412</v>
      </c>
      <c r="AA100" t="s">
        <v>1412</v>
      </c>
      <c r="AB100" t="s">
        <v>1412</v>
      </c>
      <c r="AC100" t="s">
        <v>1382</v>
      </c>
      <c r="AD100" t="s">
        <v>1385</v>
      </c>
      <c r="AE100" t="s">
        <v>1389</v>
      </c>
    </row>
    <row r="101" spans="1:31" x14ac:dyDescent="0.3">
      <c r="A101" t="s">
        <v>177</v>
      </c>
      <c r="B101" s="4">
        <v>45577.440972222219</v>
      </c>
      <c r="C101" t="s">
        <v>141</v>
      </c>
      <c r="D101" t="s">
        <v>1141</v>
      </c>
      <c r="E101" t="s">
        <v>1227</v>
      </c>
      <c r="F101" t="str" cm="1">
        <f t="array" ref="F101">_xlfn.IFS(
E101="Ahmedabad","Gujarat",
E101="Bengaluru","Karnataka",
E101="Bhopal","Madhya Pradesh",
E101="Bhubaneswar","Odisha",
E101="Chandigarh","Chandigarh",
E101="Chennai","Tamil Nadu",
E101="Delhi","Delhi",
E101="Guwahati","Assam",
E101="Hyderabad","Telangana",
E101="Indore","Madhya Pradesh",
E101="Jaipur","Rajasthan",
E101="Kochi","Kerala",
E101="Kolkata","West Bengal",
E101="Lucknow","Uttar Pradesh",
E101="Mumbai","Maharashtra",
E101="Nagpur","Maharashtra",
E101="Patna","Bihar",
E101="Pune","Maharashtra",
E101="Raipur","Chhattisgarh",
E101="Surat","Gujarat",
TRUE,"Not Found"
)</f>
        <v>Bihar</v>
      </c>
      <c r="G101" t="s">
        <v>1143</v>
      </c>
      <c r="H101" t="s">
        <v>1177</v>
      </c>
      <c r="I101" t="s">
        <v>1178</v>
      </c>
      <c r="J101" t="s">
        <v>1305</v>
      </c>
      <c r="K101" t="s">
        <v>1306</v>
      </c>
      <c r="L101">
        <v>2</v>
      </c>
      <c r="M101">
        <v>1828</v>
      </c>
      <c r="N101">
        <v>0.1</v>
      </c>
      <c r="O101">
        <v>1645.2</v>
      </c>
      <c r="P101">
        <v>0.18</v>
      </c>
      <c r="Q101">
        <v>3290.4</v>
      </c>
      <c r="R101">
        <v>592.27200000000005</v>
      </c>
      <c r="S101">
        <v>3882.672</v>
      </c>
      <c r="T101">
        <f>ROUND(Table2[[#This Row],[TotalAmount]],0)</f>
        <v>3883</v>
      </c>
      <c r="U101" t="s">
        <v>1363</v>
      </c>
      <c r="V101" t="s">
        <v>1361</v>
      </c>
      <c r="W101" s="4">
        <v>45577</v>
      </c>
      <c r="X101" s="4">
        <v>45579</v>
      </c>
      <c r="Y101" t="b">
        <v>0</v>
      </c>
      <c r="Z101" t="s">
        <v>1412</v>
      </c>
      <c r="AA101" t="s">
        <v>1412</v>
      </c>
      <c r="AB101" t="s">
        <v>1412</v>
      </c>
      <c r="AC101" t="s">
        <v>1388</v>
      </c>
      <c r="AD101" t="s">
        <v>1377</v>
      </c>
      <c r="AE101" t="s">
        <v>1395</v>
      </c>
    </row>
    <row r="102" spans="1:31" x14ac:dyDescent="0.3">
      <c r="A102" t="s">
        <v>178</v>
      </c>
      <c r="B102" s="4">
        <v>45542.602083333331</v>
      </c>
      <c r="C102" t="s">
        <v>179</v>
      </c>
      <c r="D102" t="s">
        <v>1141</v>
      </c>
      <c r="E102" t="s">
        <v>1239</v>
      </c>
      <c r="F102" t="str" cm="1">
        <f t="array" ref="F102">_xlfn.IFS(
E102="Ahmedabad","Gujarat",
E102="Bengaluru","Karnataka",
E102="Bhopal","Madhya Pradesh",
E102="Bhubaneswar","Odisha",
E102="Chandigarh","Chandigarh",
E102="Chennai","Tamil Nadu",
E102="Delhi","Delhi",
E102="Guwahati","Assam",
E102="Hyderabad","Telangana",
E102="Indore","Madhya Pradesh",
E102="Jaipur","Rajasthan",
E102="Kochi","Kerala",
E102="Kolkata","West Bengal",
E102="Lucknow","Uttar Pradesh",
E102="Mumbai","Maharashtra",
E102="Nagpur","Maharashtra",
E102="Patna","Bihar",
E102="Pune","Maharashtra",
E102="Raipur","Chhattisgarh",
E102="Surat","Gujarat",
TRUE,"Not Found"
)</f>
        <v>Odisha</v>
      </c>
      <c r="G102" t="s">
        <v>1228</v>
      </c>
      <c r="H102" t="s">
        <v>1167</v>
      </c>
      <c r="I102" t="s">
        <v>1211</v>
      </c>
      <c r="J102" t="s">
        <v>1299</v>
      </c>
      <c r="K102" t="s">
        <v>1300</v>
      </c>
      <c r="L102">
        <v>1</v>
      </c>
      <c r="M102">
        <v>25775</v>
      </c>
      <c r="N102">
        <v>0.1</v>
      </c>
      <c r="O102">
        <v>23197.5</v>
      </c>
      <c r="P102">
        <v>0.05</v>
      </c>
      <c r="Q102">
        <v>23197.5</v>
      </c>
      <c r="R102">
        <v>1159.875</v>
      </c>
      <c r="S102">
        <v>24357.375</v>
      </c>
      <c r="T102">
        <f>ROUND(Table2[[#This Row],[TotalAmount]],0)</f>
        <v>24357</v>
      </c>
      <c r="U102" t="s">
        <v>1360</v>
      </c>
      <c r="V102" t="s">
        <v>1369</v>
      </c>
      <c r="W102" s="4" t="s">
        <v>1412</v>
      </c>
      <c r="X102" s="4" t="s">
        <v>1412</v>
      </c>
      <c r="Y102" t="b">
        <v>0</v>
      </c>
      <c r="Z102" t="s">
        <v>1412</v>
      </c>
      <c r="AA102" t="s">
        <v>1412</v>
      </c>
      <c r="AB102" t="s">
        <v>1412</v>
      </c>
      <c r="AC102" t="s">
        <v>1386</v>
      </c>
      <c r="AD102" t="s">
        <v>1397</v>
      </c>
      <c r="AE102" t="s">
        <v>1383</v>
      </c>
    </row>
    <row r="103" spans="1:31" x14ac:dyDescent="0.3">
      <c r="A103" t="s">
        <v>180</v>
      </c>
      <c r="B103" s="4">
        <v>45437.591666666667</v>
      </c>
      <c r="C103" t="s">
        <v>181</v>
      </c>
      <c r="D103" t="s">
        <v>1153</v>
      </c>
      <c r="E103" t="s">
        <v>1191</v>
      </c>
      <c r="F103" t="str" cm="1">
        <f t="array" ref="F103">_xlfn.IFS(
E103="Ahmedabad","Gujarat",
E103="Bengaluru","Karnataka",
E103="Bhopal","Madhya Pradesh",
E103="Bhubaneswar","Odisha",
E103="Chandigarh","Chandigarh",
E103="Chennai","Tamil Nadu",
E103="Delhi","Delhi",
E103="Guwahati","Assam",
E103="Hyderabad","Telangana",
E103="Indore","Madhya Pradesh",
E103="Jaipur","Rajasthan",
E103="Kochi","Kerala",
E103="Kolkata","West Bengal",
E103="Lucknow","Uttar Pradesh",
E103="Mumbai","Maharashtra",
E103="Nagpur","Maharashtra",
E103="Patna","Bihar",
E103="Pune","Maharashtra",
E103="Raipur","Chhattisgarh",
E103="Surat","Gujarat",
TRUE,"Not Found"
)</f>
        <v>Madhya Pradesh</v>
      </c>
      <c r="G103" t="s">
        <v>1150</v>
      </c>
      <c r="H103" t="s">
        <v>1163</v>
      </c>
      <c r="I103" t="s">
        <v>1224</v>
      </c>
      <c r="J103" t="s">
        <v>1243</v>
      </c>
      <c r="K103" t="s">
        <v>1244</v>
      </c>
      <c r="L103">
        <v>4</v>
      </c>
      <c r="M103">
        <v>227</v>
      </c>
      <c r="N103">
        <v>0</v>
      </c>
      <c r="O103">
        <v>227</v>
      </c>
      <c r="P103">
        <v>0.05</v>
      </c>
      <c r="Q103">
        <v>908</v>
      </c>
      <c r="R103">
        <v>45.400000000000013</v>
      </c>
      <c r="S103">
        <v>953.4</v>
      </c>
      <c r="T103">
        <f>ROUND(Table2[[#This Row],[TotalAmount]],0)</f>
        <v>953</v>
      </c>
      <c r="U103" t="s">
        <v>1366</v>
      </c>
      <c r="V103" t="s">
        <v>1361</v>
      </c>
      <c r="W103" s="4">
        <v>45439</v>
      </c>
      <c r="X103" s="4">
        <v>45443</v>
      </c>
      <c r="Y103" t="b">
        <v>0</v>
      </c>
      <c r="Z103" t="s">
        <v>1412</v>
      </c>
      <c r="AA103" t="s">
        <v>1412</v>
      </c>
      <c r="AB103" t="s">
        <v>1412</v>
      </c>
      <c r="AC103" t="s">
        <v>1388</v>
      </c>
      <c r="AD103" t="s">
        <v>1385</v>
      </c>
      <c r="AE103" t="s">
        <v>1395</v>
      </c>
    </row>
    <row r="104" spans="1:31" x14ac:dyDescent="0.3">
      <c r="A104" t="s">
        <v>182</v>
      </c>
      <c r="B104" s="4">
        <v>45615.579861111109</v>
      </c>
      <c r="C104" t="s">
        <v>183</v>
      </c>
      <c r="D104" t="s">
        <v>1182</v>
      </c>
      <c r="E104" t="s">
        <v>1256</v>
      </c>
      <c r="F104" t="str" cm="1">
        <f t="array" ref="F104">_xlfn.IFS(
E104="Ahmedabad","Gujarat",
E104="Bengaluru","Karnataka",
E104="Bhopal","Madhya Pradesh",
E104="Bhubaneswar","Odisha",
E104="Chandigarh","Chandigarh",
E104="Chennai","Tamil Nadu",
E104="Delhi","Delhi",
E104="Guwahati","Assam",
E104="Hyderabad","Telangana",
E104="Indore","Madhya Pradesh",
E104="Jaipur","Rajasthan",
E104="Kochi","Kerala",
E104="Kolkata","West Bengal",
E104="Lucknow","Uttar Pradesh",
E104="Mumbai","Maharashtra",
E104="Nagpur","Maharashtra",
E104="Patna","Bihar",
E104="Pune","Maharashtra",
E104="Raipur","Chhattisgarh",
E104="Surat","Gujarat",
TRUE,"Not Found"
)</f>
        <v>Karnataka</v>
      </c>
      <c r="G104" t="s">
        <v>1143</v>
      </c>
      <c r="H104" t="s">
        <v>1172</v>
      </c>
      <c r="I104" t="s">
        <v>1188</v>
      </c>
      <c r="J104" t="s">
        <v>1258</v>
      </c>
      <c r="K104" t="s">
        <v>1259</v>
      </c>
      <c r="L104">
        <v>4</v>
      </c>
      <c r="M104">
        <v>9457</v>
      </c>
      <c r="N104">
        <v>0.05</v>
      </c>
      <c r="O104">
        <v>8984.15</v>
      </c>
      <c r="P104">
        <v>0.18</v>
      </c>
      <c r="Q104">
        <v>35936.6</v>
      </c>
      <c r="R104">
        <v>6468.5879999999997</v>
      </c>
      <c r="S104">
        <v>42405.187999999987</v>
      </c>
      <c r="T104">
        <f>ROUND(Table2[[#This Row],[TotalAmount]],0)</f>
        <v>42405</v>
      </c>
      <c r="U104" t="s">
        <v>1360</v>
      </c>
      <c r="V104" t="s">
        <v>1361</v>
      </c>
      <c r="W104" s="4">
        <v>45617</v>
      </c>
      <c r="X104" s="4">
        <v>45622</v>
      </c>
      <c r="Y104" t="b">
        <v>0</v>
      </c>
      <c r="Z104" t="s">
        <v>1412</v>
      </c>
      <c r="AA104" t="s">
        <v>1412</v>
      </c>
      <c r="AB104" t="s">
        <v>1412</v>
      </c>
      <c r="AC104" t="s">
        <v>1398</v>
      </c>
      <c r="AD104" t="s">
        <v>1399</v>
      </c>
      <c r="AE104" t="s">
        <v>1395</v>
      </c>
    </row>
    <row r="105" spans="1:31" x14ac:dyDescent="0.3">
      <c r="A105" t="s">
        <v>184</v>
      </c>
      <c r="B105" s="4">
        <v>45297.511111111111</v>
      </c>
      <c r="C105" t="s">
        <v>185</v>
      </c>
      <c r="D105" t="s">
        <v>1153</v>
      </c>
      <c r="E105" t="s">
        <v>1154</v>
      </c>
      <c r="F105" t="str" cm="1">
        <f t="array" ref="F105">_xlfn.IFS(
E105="Ahmedabad","Gujarat",
E105="Bengaluru","Karnataka",
E105="Bhopal","Madhya Pradesh",
E105="Bhubaneswar","Odisha",
E105="Chandigarh","Chandigarh",
E105="Chennai","Tamil Nadu",
E105="Delhi","Delhi",
E105="Guwahati","Assam",
E105="Hyderabad","Telangana",
E105="Indore","Madhya Pradesh",
E105="Jaipur","Rajasthan",
E105="Kochi","Kerala",
E105="Kolkata","West Bengal",
E105="Lucknow","Uttar Pradesh",
E105="Mumbai","Maharashtra",
E105="Nagpur","Maharashtra",
E105="Patna","Bihar",
E105="Pune","Maharashtra",
E105="Raipur","Chhattisgarh",
E105="Surat","Gujarat",
TRUE,"Not Found"
)</f>
        <v>Maharashtra</v>
      </c>
      <c r="G105" t="s">
        <v>1143</v>
      </c>
      <c r="H105" t="s">
        <v>1172</v>
      </c>
      <c r="I105" t="s">
        <v>1173</v>
      </c>
      <c r="J105" t="s">
        <v>1174</v>
      </c>
      <c r="K105" t="s">
        <v>1175</v>
      </c>
      <c r="L105">
        <v>5</v>
      </c>
      <c r="M105">
        <v>6521</v>
      </c>
      <c r="N105">
        <v>0.2</v>
      </c>
      <c r="O105">
        <v>5216.8</v>
      </c>
      <c r="P105">
        <v>0.05</v>
      </c>
      <c r="Q105">
        <v>26084</v>
      </c>
      <c r="R105">
        <v>1304.2</v>
      </c>
      <c r="S105">
        <v>27388.2</v>
      </c>
      <c r="T105">
        <f>ROUND(Table2[[#This Row],[TotalAmount]],0)</f>
        <v>27388</v>
      </c>
      <c r="U105" t="s">
        <v>1363</v>
      </c>
      <c r="V105" t="s">
        <v>1361</v>
      </c>
      <c r="W105" s="4">
        <v>45297</v>
      </c>
      <c r="X105" s="4">
        <v>45302</v>
      </c>
      <c r="Y105" t="b">
        <v>0</v>
      </c>
      <c r="Z105" t="s">
        <v>1412</v>
      </c>
      <c r="AA105" t="s">
        <v>1412</v>
      </c>
      <c r="AB105" t="s">
        <v>1412</v>
      </c>
      <c r="AC105" t="s">
        <v>1384</v>
      </c>
      <c r="AD105" t="s">
        <v>1397</v>
      </c>
      <c r="AE105" t="s">
        <v>1378</v>
      </c>
    </row>
    <row r="106" spans="1:31" x14ac:dyDescent="0.3">
      <c r="A106" t="s">
        <v>186</v>
      </c>
      <c r="B106" s="4">
        <v>45721.490972222222</v>
      </c>
      <c r="C106" t="s">
        <v>26</v>
      </c>
      <c r="D106" t="s">
        <v>1153</v>
      </c>
      <c r="E106" t="s">
        <v>1191</v>
      </c>
      <c r="F106" t="str" cm="1">
        <f t="array" ref="F106">_xlfn.IFS(
E106="Ahmedabad","Gujarat",
E106="Bengaluru","Karnataka",
E106="Bhopal","Madhya Pradesh",
E106="Bhubaneswar","Odisha",
E106="Chandigarh","Chandigarh",
E106="Chennai","Tamil Nadu",
E106="Delhi","Delhi",
E106="Guwahati","Assam",
E106="Hyderabad","Telangana",
E106="Indore","Madhya Pradesh",
E106="Jaipur","Rajasthan",
E106="Kochi","Kerala",
E106="Kolkata","West Bengal",
E106="Lucknow","Uttar Pradesh",
E106="Mumbai","Maharashtra",
E106="Nagpur","Maharashtra",
E106="Patna","Bihar",
E106="Pune","Maharashtra",
E106="Raipur","Chhattisgarh",
E106="Surat","Gujarat",
TRUE,"Not Found"
)</f>
        <v>Madhya Pradesh</v>
      </c>
      <c r="G106" t="s">
        <v>1187</v>
      </c>
      <c r="H106" t="s">
        <v>1172</v>
      </c>
      <c r="I106" t="s">
        <v>1188</v>
      </c>
      <c r="J106" t="s">
        <v>1258</v>
      </c>
      <c r="K106" t="s">
        <v>1259</v>
      </c>
      <c r="L106">
        <v>3</v>
      </c>
      <c r="M106">
        <v>3983</v>
      </c>
      <c r="N106">
        <v>0</v>
      </c>
      <c r="O106">
        <v>3983</v>
      </c>
      <c r="P106">
        <v>0.12</v>
      </c>
      <c r="Q106">
        <v>11949</v>
      </c>
      <c r="R106">
        <v>1433.88</v>
      </c>
      <c r="S106">
        <v>13382.88</v>
      </c>
      <c r="T106">
        <f>ROUND(Table2[[#This Row],[TotalAmount]],0)</f>
        <v>13383</v>
      </c>
      <c r="U106" t="s">
        <v>1362</v>
      </c>
      <c r="V106" t="s">
        <v>1361</v>
      </c>
      <c r="W106" s="4">
        <v>45722</v>
      </c>
      <c r="X106" s="4">
        <v>45727</v>
      </c>
      <c r="Y106" t="b">
        <v>0</v>
      </c>
      <c r="Z106" t="s">
        <v>1412</v>
      </c>
      <c r="AA106" t="s">
        <v>1412</v>
      </c>
      <c r="AB106" t="s">
        <v>1412</v>
      </c>
      <c r="AC106" t="s">
        <v>1382</v>
      </c>
      <c r="AD106" t="s">
        <v>1377</v>
      </c>
      <c r="AE106" t="s">
        <v>1383</v>
      </c>
    </row>
    <row r="107" spans="1:31" x14ac:dyDescent="0.3">
      <c r="A107" t="s">
        <v>187</v>
      </c>
      <c r="B107" s="4">
        <v>45462.508333333331</v>
      </c>
      <c r="C107" t="s">
        <v>61</v>
      </c>
      <c r="D107" t="s">
        <v>1153</v>
      </c>
      <c r="E107" t="s">
        <v>1176</v>
      </c>
      <c r="F107" t="str" cm="1">
        <f t="array" ref="F107">_xlfn.IFS(
E107="Ahmedabad","Gujarat",
E107="Bengaluru","Karnataka",
E107="Bhopal","Madhya Pradesh",
E107="Bhubaneswar","Odisha",
E107="Chandigarh","Chandigarh",
E107="Chennai","Tamil Nadu",
E107="Delhi","Delhi",
E107="Guwahati","Assam",
E107="Hyderabad","Telangana",
E107="Indore","Madhya Pradesh",
E107="Jaipur","Rajasthan",
E107="Kochi","Kerala",
E107="Kolkata","West Bengal",
E107="Lucknow","Uttar Pradesh",
E107="Mumbai","Maharashtra",
E107="Nagpur","Maharashtra",
E107="Patna","Bihar",
E107="Pune","Maharashtra",
E107="Raipur","Chhattisgarh",
E107="Surat","Gujarat",
TRUE,"Not Found"
)</f>
        <v>Chhattisgarh</v>
      </c>
      <c r="G107" t="s">
        <v>1150</v>
      </c>
      <c r="H107" t="s">
        <v>1144</v>
      </c>
      <c r="I107" t="s">
        <v>1276</v>
      </c>
      <c r="J107" t="s">
        <v>1307</v>
      </c>
      <c r="K107" t="s">
        <v>1308</v>
      </c>
      <c r="L107">
        <v>1</v>
      </c>
      <c r="M107">
        <v>10444</v>
      </c>
      <c r="N107">
        <v>0.05</v>
      </c>
      <c r="O107">
        <v>9921.7999999999993</v>
      </c>
      <c r="P107">
        <v>0.18</v>
      </c>
      <c r="Q107">
        <v>9921.7999999999993</v>
      </c>
      <c r="R107">
        <v>1785.924</v>
      </c>
      <c r="S107">
        <v>11707.724</v>
      </c>
      <c r="T107">
        <f>ROUND(Table2[[#This Row],[TotalAmount]],0)</f>
        <v>11708</v>
      </c>
      <c r="U107" t="s">
        <v>1365</v>
      </c>
      <c r="V107" t="s">
        <v>1361</v>
      </c>
      <c r="W107" s="4">
        <v>45462</v>
      </c>
      <c r="X107" s="4">
        <v>45464</v>
      </c>
      <c r="Y107" t="b">
        <v>0</v>
      </c>
      <c r="Z107" t="s">
        <v>1412</v>
      </c>
      <c r="AA107" t="s">
        <v>1412</v>
      </c>
      <c r="AB107" t="s">
        <v>1412</v>
      </c>
      <c r="AC107" t="s">
        <v>1398</v>
      </c>
      <c r="AD107" t="s">
        <v>1385</v>
      </c>
      <c r="AE107" t="s">
        <v>1378</v>
      </c>
    </row>
    <row r="108" spans="1:31" x14ac:dyDescent="0.3">
      <c r="A108" t="s">
        <v>188</v>
      </c>
      <c r="B108" s="4">
        <v>45435.570138888892</v>
      </c>
      <c r="C108" t="s">
        <v>189</v>
      </c>
      <c r="D108" t="s">
        <v>1182</v>
      </c>
      <c r="E108" t="s">
        <v>1207</v>
      </c>
      <c r="F108" t="str" cm="1">
        <f t="array" ref="F108">_xlfn.IFS(
E108="Ahmedabad","Gujarat",
E108="Bengaluru","Karnataka",
E108="Bhopal","Madhya Pradesh",
E108="Bhubaneswar","Odisha",
E108="Chandigarh","Chandigarh",
E108="Chennai","Tamil Nadu",
E108="Delhi","Delhi",
E108="Guwahati","Assam",
E108="Hyderabad","Telangana",
E108="Indore","Madhya Pradesh",
E108="Jaipur","Rajasthan",
E108="Kochi","Kerala",
E108="Kolkata","West Bengal",
E108="Lucknow","Uttar Pradesh",
E108="Mumbai","Maharashtra",
E108="Nagpur","Maharashtra",
E108="Patna","Bihar",
E108="Pune","Maharashtra",
E108="Raipur","Chhattisgarh",
E108="Surat","Gujarat",
TRUE,"Not Found"
)</f>
        <v>Tamil Nadu</v>
      </c>
      <c r="G108" t="s">
        <v>1187</v>
      </c>
      <c r="H108" t="s">
        <v>1167</v>
      </c>
      <c r="I108" t="s">
        <v>1208</v>
      </c>
      <c r="J108" t="s">
        <v>1291</v>
      </c>
      <c r="K108" t="s">
        <v>1292</v>
      </c>
      <c r="L108">
        <v>2</v>
      </c>
      <c r="M108">
        <v>30209</v>
      </c>
      <c r="N108">
        <v>0.05</v>
      </c>
      <c r="O108">
        <v>28698.55</v>
      </c>
      <c r="P108">
        <v>0.12</v>
      </c>
      <c r="Q108">
        <v>57397.1</v>
      </c>
      <c r="R108">
        <v>6887.6519999999991</v>
      </c>
      <c r="S108">
        <v>64284.752</v>
      </c>
      <c r="T108">
        <f>ROUND(Table2[[#This Row],[TotalAmount]],0)</f>
        <v>64285</v>
      </c>
      <c r="U108" t="s">
        <v>1360</v>
      </c>
      <c r="V108" t="s">
        <v>1361</v>
      </c>
      <c r="W108" s="4">
        <v>45436</v>
      </c>
      <c r="X108" s="4">
        <v>45441</v>
      </c>
      <c r="Y108" t="b">
        <v>0</v>
      </c>
      <c r="Z108" t="s">
        <v>1412</v>
      </c>
      <c r="AA108" t="s">
        <v>1412</v>
      </c>
      <c r="AB108" t="s">
        <v>1412</v>
      </c>
      <c r="AC108" t="s">
        <v>1398</v>
      </c>
      <c r="AD108" t="s">
        <v>1399</v>
      </c>
      <c r="AE108" t="s">
        <v>1389</v>
      </c>
    </row>
    <row r="109" spans="1:31" x14ac:dyDescent="0.3">
      <c r="A109" t="s">
        <v>190</v>
      </c>
      <c r="B109" s="4">
        <v>45300.615972222222</v>
      </c>
      <c r="C109" t="s">
        <v>191</v>
      </c>
      <c r="D109" t="s">
        <v>1153</v>
      </c>
      <c r="E109" t="s">
        <v>1154</v>
      </c>
      <c r="F109" t="str" cm="1">
        <f t="array" ref="F109">_xlfn.IFS(
E109="Ahmedabad","Gujarat",
E109="Bengaluru","Karnataka",
E109="Bhopal","Madhya Pradesh",
E109="Bhubaneswar","Odisha",
E109="Chandigarh","Chandigarh",
E109="Chennai","Tamil Nadu",
E109="Delhi","Delhi",
E109="Guwahati","Assam",
E109="Hyderabad","Telangana",
E109="Indore","Madhya Pradesh",
E109="Jaipur","Rajasthan",
E109="Kochi","Kerala",
E109="Kolkata","West Bengal",
E109="Lucknow","Uttar Pradesh",
E109="Mumbai","Maharashtra",
E109="Nagpur","Maharashtra",
E109="Patna","Bihar",
E109="Pune","Maharashtra",
E109="Raipur","Chhattisgarh",
E109="Surat","Gujarat",
TRUE,"Not Found"
)</f>
        <v>Maharashtra</v>
      </c>
      <c r="G109" t="s">
        <v>1143</v>
      </c>
      <c r="H109" t="s">
        <v>1177</v>
      </c>
      <c r="I109" t="s">
        <v>1178</v>
      </c>
      <c r="J109" t="s">
        <v>1220</v>
      </c>
      <c r="K109" t="s">
        <v>1221</v>
      </c>
      <c r="L109">
        <v>2</v>
      </c>
      <c r="M109">
        <v>1630</v>
      </c>
      <c r="N109">
        <v>0.1</v>
      </c>
      <c r="O109">
        <v>1467</v>
      </c>
      <c r="P109">
        <v>0.12</v>
      </c>
      <c r="Q109">
        <v>2934</v>
      </c>
      <c r="R109">
        <v>352.08</v>
      </c>
      <c r="S109">
        <v>3286.08</v>
      </c>
      <c r="T109">
        <f>ROUND(Table2[[#This Row],[TotalAmount]],0)</f>
        <v>3286</v>
      </c>
      <c r="U109" t="s">
        <v>1360</v>
      </c>
      <c r="V109" t="s">
        <v>1368</v>
      </c>
      <c r="W109" s="4">
        <v>45302</v>
      </c>
      <c r="X109" s="4" t="s">
        <v>1412</v>
      </c>
      <c r="Y109" t="b">
        <v>0</v>
      </c>
      <c r="Z109" t="s">
        <v>1412</v>
      </c>
      <c r="AA109" t="s">
        <v>1412</v>
      </c>
      <c r="AB109" t="s">
        <v>1412</v>
      </c>
      <c r="AC109" t="s">
        <v>1379</v>
      </c>
      <c r="AD109" t="s">
        <v>1377</v>
      </c>
      <c r="AE109" t="s">
        <v>1378</v>
      </c>
    </row>
    <row r="110" spans="1:31" x14ac:dyDescent="0.3">
      <c r="A110" t="s">
        <v>192</v>
      </c>
      <c r="B110" s="4">
        <v>45709.479861111111</v>
      </c>
      <c r="C110" t="s">
        <v>193</v>
      </c>
      <c r="D110" t="s">
        <v>1148</v>
      </c>
      <c r="E110" t="s">
        <v>1217</v>
      </c>
      <c r="F110" t="str" cm="1">
        <f t="array" ref="F110">_xlfn.IFS(
E110="Ahmedabad","Gujarat",
E110="Bengaluru","Karnataka",
E110="Bhopal","Madhya Pradesh",
E110="Bhubaneswar","Odisha",
E110="Chandigarh","Chandigarh",
E110="Chennai","Tamil Nadu",
E110="Delhi","Delhi",
E110="Guwahati","Assam",
E110="Hyderabad","Telangana",
E110="Indore","Madhya Pradesh",
E110="Jaipur","Rajasthan",
E110="Kochi","Kerala",
E110="Kolkata","West Bengal",
E110="Lucknow","Uttar Pradesh",
E110="Mumbai","Maharashtra",
E110="Nagpur","Maharashtra",
E110="Patna","Bihar",
E110="Pune","Maharashtra",
E110="Raipur","Chhattisgarh",
E110="Surat","Gujarat",
TRUE,"Not Found"
)</f>
        <v>Delhi</v>
      </c>
      <c r="G110" t="s">
        <v>1143</v>
      </c>
      <c r="H110" t="s">
        <v>1177</v>
      </c>
      <c r="I110" t="s">
        <v>1195</v>
      </c>
      <c r="J110" t="s">
        <v>1196</v>
      </c>
      <c r="K110" t="s">
        <v>1197</v>
      </c>
      <c r="L110">
        <v>2</v>
      </c>
      <c r="M110">
        <v>2793</v>
      </c>
      <c r="N110">
        <v>0.05</v>
      </c>
      <c r="O110">
        <v>2653.35</v>
      </c>
      <c r="P110">
        <v>0.18</v>
      </c>
      <c r="Q110">
        <v>5306.7</v>
      </c>
      <c r="R110">
        <v>955.2059999999999</v>
      </c>
      <c r="S110">
        <v>6261.9059999999999</v>
      </c>
      <c r="T110">
        <f>ROUND(Table2[[#This Row],[TotalAmount]],0)</f>
        <v>6262</v>
      </c>
      <c r="U110" t="s">
        <v>1360</v>
      </c>
      <c r="V110" t="s">
        <v>1369</v>
      </c>
      <c r="W110" s="4" t="s">
        <v>1412</v>
      </c>
      <c r="X110" s="4" t="s">
        <v>1412</v>
      </c>
      <c r="Y110" t="b">
        <v>0</v>
      </c>
      <c r="Z110" t="s">
        <v>1412</v>
      </c>
      <c r="AA110" t="s">
        <v>1412</v>
      </c>
      <c r="AB110" t="s">
        <v>1412</v>
      </c>
      <c r="AC110" t="s">
        <v>1386</v>
      </c>
      <c r="AD110" t="s">
        <v>1385</v>
      </c>
      <c r="AE110" t="s">
        <v>1378</v>
      </c>
    </row>
    <row r="111" spans="1:31" x14ac:dyDescent="0.3">
      <c r="A111" t="s">
        <v>194</v>
      </c>
      <c r="B111" s="4">
        <v>45447.550694444442</v>
      </c>
      <c r="C111" t="s">
        <v>195</v>
      </c>
      <c r="D111" t="s">
        <v>1148</v>
      </c>
      <c r="E111" t="s">
        <v>1149</v>
      </c>
      <c r="F111" t="str" cm="1">
        <f t="array" ref="F111">_xlfn.IFS(
E111="Ahmedabad","Gujarat",
E111="Bengaluru","Karnataka",
E111="Bhopal","Madhya Pradesh",
E111="Bhubaneswar","Odisha",
E111="Chandigarh","Chandigarh",
E111="Chennai","Tamil Nadu",
E111="Delhi","Delhi",
E111="Guwahati","Assam",
E111="Hyderabad","Telangana",
E111="Indore","Madhya Pradesh",
E111="Jaipur","Rajasthan",
E111="Kochi","Kerala",
E111="Kolkata","West Bengal",
E111="Lucknow","Uttar Pradesh",
E111="Mumbai","Maharashtra",
E111="Nagpur","Maharashtra",
E111="Patna","Bihar",
E111="Pune","Maharashtra",
E111="Raipur","Chhattisgarh",
E111="Surat","Gujarat",
TRUE,"Not Found"
)</f>
        <v>Uttar Pradesh</v>
      </c>
      <c r="G111" t="s">
        <v>1150</v>
      </c>
      <c r="H111" t="s">
        <v>1167</v>
      </c>
      <c r="I111" t="s">
        <v>1168</v>
      </c>
      <c r="J111" t="s">
        <v>1169</v>
      </c>
      <c r="K111" t="s">
        <v>1170</v>
      </c>
      <c r="L111">
        <v>2</v>
      </c>
      <c r="M111">
        <v>24733</v>
      </c>
      <c r="N111">
        <v>0</v>
      </c>
      <c r="O111">
        <v>24733</v>
      </c>
      <c r="P111">
        <v>0.12</v>
      </c>
      <c r="Q111">
        <v>49466</v>
      </c>
      <c r="R111">
        <v>5935.92</v>
      </c>
      <c r="S111">
        <v>55401.919999999998</v>
      </c>
      <c r="T111">
        <f>ROUND(Table2[[#This Row],[TotalAmount]],0)</f>
        <v>55402</v>
      </c>
      <c r="U111" t="s">
        <v>1365</v>
      </c>
      <c r="V111" t="s">
        <v>1361</v>
      </c>
      <c r="W111" s="4">
        <v>45447</v>
      </c>
      <c r="X111" s="4">
        <v>45451</v>
      </c>
      <c r="Y111" t="b">
        <v>0</v>
      </c>
      <c r="Z111" t="s">
        <v>1412</v>
      </c>
      <c r="AA111" t="s">
        <v>1412</v>
      </c>
      <c r="AB111" t="s">
        <v>1412</v>
      </c>
      <c r="AC111" t="s">
        <v>1382</v>
      </c>
      <c r="AD111" t="s">
        <v>1397</v>
      </c>
      <c r="AE111" t="s">
        <v>1395</v>
      </c>
    </row>
    <row r="112" spans="1:31" x14ac:dyDescent="0.3">
      <c r="A112" t="s">
        <v>196</v>
      </c>
      <c r="B112" s="4">
        <v>45445.518750000003</v>
      </c>
      <c r="C112" t="s">
        <v>197</v>
      </c>
      <c r="D112" t="s">
        <v>1148</v>
      </c>
      <c r="E112" t="s">
        <v>1262</v>
      </c>
      <c r="F112" t="str" cm="1">
        <f t="array" ref="F112">_xlfn.IFS(
E112="Ahmedabad","Gujarat",
E112="Bengaluru","Karnataka",
E112="Bhopal","Madhya Pradesh",
E112="Bhubaneswar","Odisha",
E112="Chandigarh","Chandigarh",
E112="Chennai","Tamil Nadu",
E112="Delhi","Delhi",
E112="Guwahati","Assam",
E112="Hyderabad","Telangana",
E112="Indore","Madhya Pradesh",
E112="Jaipur","Rajasthan",
E112="Kochi","Kerala",
E112="Kolkata","West Bengal",
E112="Lucknow","Uttar Pradesh",
E112="Mumbai","Maharashtra",
E112="Nagpur","Maharashtra",
E112="Patna","Bihar",
E112="Pune","Maharashtra",
E112="Raipur","Chhattisgarh",
E112="Surat","Gujarat",
TRUE,"Not Found"
)</f>
        <v>Rajasthan</v>
      </c>
      <c r="G112" t="s">
        <v>1228</v>
      </c>
      <c r="H112" t="s">
        <v>1172</v>
      </c>
      <c r="I112" t="s">
        <v>1229</v>
      </c>
      <c r="J112" t="s">
        <v>1230</v>
      </c>
      <c r="K112" t="s">
        <v>1231</v>
      </c>
      <c r="L112">
        <v>1</v>
      </c>
      <c r="M112">
        <v>5854</v>
      </c>
      <c r="N112">
        <v>0</v>
      </c>
      <c r="O112">
        <v>5854</v>
      </c>
      <c r="P112">
        <v>0.18</v>
      </c>
      <c r="Q112">
        <v>5854</v>
      </c>
      <c r="R112">
        <v>1053.72</v>
      </c>
      <c r="S112">
        <v>6907.72</v>
      </c>
      <c r="T112">
        <f>ROUND(Table2[[#This Row],[TotalAmount]],0)</f>
        <v>6908</v>
      </c>
      <c r="U112" t="s">
        <v>1365</v>
      </c>
      <c r="V112" t="s">
        <v>1367</v>
      </c>
      <c r="W112" s="4">
        <v>45446</v>
      </c>
      <c r="X112" s="4" t="s">
        <v>1412</v>
      </c>
      <c r="Y112" t="b">
        <v>0</v>
      </c>
      <c r="Z112" t="s">
        <v>1412</v>
      </c>
      <c r="AA112" t="s">
        <v>1412</v>
      </c>
      <c r="AB112" t="s">
        <v>1412</v>
      </c>
      <c r="AC112" t="s">
        <v>1388</v>
      </c>
      <c r="AD112" t="s">
        <v>1397</v>
      </c>
      <c r="AE112" t="s">
        <v>1389</v>
      </c>
    </row>
    <row r="113" spans="1:31" x14ac:dyDescent="0.3">
      <c r="A113" t="s">
        <v>198</v>
      </c>
      <c r="B113" s="4">
        <v>45405.506249999999</v>
      </c>
      <c r="C113" t="s">
        <v>128</v>
      </c>
      <c r="D113" t="s">
        <v>1182</v>
      </c>
      <c r="E113" t="s">
        <v>1183</v>
      </c>
      <c r="F113" t="str" cm="1">
        <f t="array" ref="F113">_xlfn.IFS(
E113="Ahmedabad","Gujarat",
E113="Bengaluru","Karnataka",
E113="Bhopal","Madhya Pradesh",
E113="Bhubaneswar","Odisha",
E113="Chandigarh","Chandigarh",
E113="Chennai","Tamil Nadu",
E113="Delhi","Delhi",
E113="Guwahati","Assam",
E113="Hyderabad","Telangana",
E113="Indore","Madhya Pradesh",
E113="Jaipur","Rajasthan",
E113="Kochi","Kerala",
E113="Kolkata","West Bengal",
E113="Lucknow","Uttar Pradesh",
E113="Mumbai","Maharashtra",
E113="Nagpur","Maharashtra",
E113="Patna","Bihar",
E113="Pune","Maharashtra",
E113="Raipur","Chhattisgarh",
E113="Surat","Gujarat",
TRUE,"Not Found"
)</f>
        <v>Telangana</v>
      </c>
      <c r="G113" t="s">
        <v>1150</v>
      </c>
      <c r="H113" t="s">
        <v>1144</v>
      </c>
      <c r="I113" t="s">
        <v>1145</v>
      </c>
      <c r="J113" t="s">
        <v>1151</v>
      </c>
      <c r="K113" t="s">
        <v>1152</v>
      </c>
      <c r="L113">
        <v>2</v>
      </c>
      <c r="M113">
        <v>6121</v>
      </c>
      <c r="N113">
        <v>0.05</v>
      </c>
      <c r="O113">
        <v>5814.95</v>
      </c>
      <c r="P113">
        <v>0.18</v>
      </c>
      <c r="Q113">
        <v>11629.9</v>
      </c>
      <c r="R113">
        <v>2093.3820000000001</v>
      </c>
      <c r="S113">
        <v>13723.281999999999</v>
      </c>
      <c r="T113">
        <f>ROUND(Table2[[#This Row],[TotalAmount]],0)</f>
        <v>13723</v>
      </c>
      <c r="U113" t="s">
        <v>1360</v>
      </c>
      <c r="V113" t="s">
        <v>1368</v>
      </c>
      <c r="W113" s="4">
        <v>45406</v>
      </c>
      <c r="X113" s="4" t="s">
        <v>1412</v>
      </c>
      <c r="Y113" t="b">
        <v>0</v>
      </c>
      <c r="Z113" t="s">
        <v>1412</v>
      </c>
      <c r="AA113" t="s">
        <v>1412</v>
      </c>
      <c r="AB113" t="s">
        <v>1412</v>
      </c>
      <c r="AC113" t="s">
        <v>1384</v>
      </c>
      <c r="AD113" t="s">
        <v>1400</v>
      </c>
      <c r="AE113" t="s">
        <v>1380</v>
      </c>
    </row>
    <row r="114" spans="1:31" x14ac:dyDescent="0.3">
      <c r="A114" t="s">
        <v>199</v>
      </c>
      <c r="B114" s="4">
        <v>45580.617361111108</v>
      </c>
      <c r="C114" t="s">
        <v>200</v>
      </c>
      <c r="D114" t="s">
        <v>1182</v>
      </c>
      <c r="E114" t="s">
        <v>1183</v>
      </c>
      <c r="F114" t="str" cm="1">
        <f t="array" ref="F114">_xlfn.IFS(
E114="Ahmedabad","Gujarat",
E114="Bengaluru","Karnataka",
E114="Bhopal","Madhya Pradesh",
E114="Bhubaneswar","Odisha",
E114="Chandigarh","Chandigarh",
E114="Chennai","Tamil Nadu",
E114="Delhi","Delhi",
E114="Guwahati","Assam",
E114="Hyderabad","Telangana",
E114="Indore","Madhya Pradesh",
E114="Jaipur","Rajasthan",
E114="Kochi","Kerala",
E114="Kolkata","West Bengal",
E114="Lucknow","Uttar Pradesh",
E114="Mumbai","Maharashtra",
E114="Nagpur","Maharashtra",
E114="Patna","Bihar",
E114="Pune","Maharashtra",
E114="Raipur","Chhattisgarh",
E114="Surat","Gujarat",
TRUE,"Not Found"
)</f>
        <v>Telangana</v>
      </c>
      <c r="G114" t="s">
        <v>1187</v>
      </c>
      <c r="H114" t="s">
        <v>1177</v>
      </c>
      <c r="I114" t="s">
        <v>1178</v>
      </c>
      <c r="J114" t="s">
        <v>1179</v>
      </c>
      <c r="K114" t="s">
        <v>1180</v>
      </c>
      <c r="L114">
        <v>1</v>
      </c>
      <c r="M114">
        <v>1826</v>
      </c>
      <c r="N114">
        <v>0</v>
      </c>
      <c r="O114">
        <v>1826</v>
      </c>
      <c r="P114">
        <v>0.18</v>
      </c>
      <c r="Q114">
        <v>1826</v>
      </c>
      <c r="R114">
        <v>328.68</v>
      </c>
      <c r="S114">
        <v>2154.6799999999998</v>
      </c>
      <c r="T114">
        <f>ROUND(Table2[[#This Row],[TotalAmount]],0)</f>
        <v>2155</v>
      </c>
      <c r="U114" t="s">
        <v>1363</v>
      </c>
      <c r="V114" t="s">
        <v>1361</v>
      </c>
      <c r="W114" s="4">
        <v>45580</v>
      </c>
      <c r="X114" s="4">
        <v>45581</v>
      </c>
      <c r="Y114" t="b">
        <v>0</v>
      </c>
      <c r="Z114" t="s">
        <v>1412</v>
      </c>
      <c r="AA114" t="s">
        <v>1412</v>
      </c>
      <c r="AB114" t="s">
        <v>1412</v>
      </c>
      <c r="AC114" t="s">
        <v>1392</v>
      </c>
      <c r="AD114" t="s">
        <v>1387</v>
      </c>
      <c r="AE114" t="s">
        <v>1383</v>
      </c>
    </row>
    <row r="115" spans="1:31" x14ac:dyDescent="0.3">
      <c r="A115" t="s">
        <v>201</v>
      </c>
      <c r="B115" s="4">
        <v>45315.547222222223</v>
      </c>
      <c r="C115" t="s">
        <v>195</v>
      </c>
      <c r="D115" t="s">
        <v>1148</v>
      </c>
      <c r="E115" t="s">
        <v>1149</v>
      </c>
      <c r="F115" t="str" cm="1">
        <f t="array" ref="F115">_xlfn.IFS(
E115="Ahmedabad","Gujarat",
E115="Bengaluru","Karnataka",
E115="Bhopal","Madhya Pradesh",
E115="Bhubaneswar","Odisha",
E115="Chandigarh","Chandigarh",
E115="Chennai","Tamil Nadu",
E115="Delhi","Delhi",
E115="Guwahati","Assam",
E115="Hyderabad","Telangana",
E115="Indore","Madhya Pradesh",
E115="Jaipur","Rajasthan",
E115="Kochi","Kerala",
E115="Kolkata","West Bengal",
E115="Lucknow","Uttar Pradesh",
E115="Mumbai","Maharashtra",
E115="Nagpur","Maharashtra",
E115="Patna","Bihar",
E115="Pune","Maharashtra",
E115="Raipur","Chhattisgarh",
E115="Surat","Gujarat",
TRUE,"Not Found"
)</f>
        <v>Uttar Pradesh</v>
      </c>
      <c r="G115" t="s">
        <v>1150</v>
      </c>
      <c r="H115" t="s">
        <v>1167</v>
      </c>
      <c r="I115" t="s">
        <v>1211</v>
      </c>
      <c r="J115" t="s">
        <v>1212</v>
      </c>
      <c r="K115" t="s">
        <v>1213</v>
      </c>
      <c r="L115">
        <v>1</v>
      </c>
      <c r="M115">
        <v>23009</v>
      </c>
      <c r="N115">
        <v>0</v>
      </c>
      <c r="O115">
        <v>23009</v>
      </c>
      <c r="P115">
        <v>0.18</v>
      </c>
      <c r="Q115">
        <v>23009</v>
      </c>
      <c r="R115">
        <v>4141.62</v>
      </c>
      <c r="S115">
        <v>27150.62</v>
      </c>
      <c r="T115">
        <f>ROUND(Table2[[#This Row],[TotalAmount]],0)</f>
        <v>27151</v>
      </c>
      <c r="U115" t="s">
        <v>1360</v>
      </c>
      <c r="V115" t="s">
        <v>1361</v>
      </c>
      <c r="W115" s="4">
        <v>45317</v>
      </c>
      <c r="X115" s="4">
        <v>45318</v>
      </c>
      <c r="Y115" t="b">
        <v>0</v>
      </c>
      <c r="Z115" t="s">
        <v>1412</v>
      </c>
      <c r="AA115" t="s">
        <v>1412</v>
      </c>
      <c r="AB115" t="s">
        <v>1412</v>
      </c>
      <c r="AC115" t="s">
        <v>1388</v>
      </c>
      <c r="AD115" t="s">
        <v>1400</v>
      </c>
      <c r="AE115" t="s">
        <v>1391</v>
      </c>
    </row>
    <row r="116" spans="1:31" x14ac:dyDescent="0.3">
      <c r="A116" t="s">
        <v>202</v>
      </c>
      <c r="B116" s="4">
        <v>45504.548611111109</v>
      </c>
      <c r="C116" t="s">
        <v>137</v>
      </c>
      <c r="D116" t="s">
        <v>1182</v>
      </c>
      <c r="E116" t="s">
        <v>1183</v>
      </c>
      <c r="F116" t="str" cm="1">
        <f t="array" ref="F116">_xlfn.IFS(
E116="Ahmedabad","Gujarat",
E116="Bengaluru","Karnataka",
E116="Bhopal","Madhya Pradesh",
E116="Bhubaneswar","Odisha",
E116="Chandigarh","Chandigarh",
E116="Chennai","Tamil Nadu",
E116="Delhi","Delhi",
E116="Guwahati","Assam",
E116="Hyderabad","Telangana",
E116="Indore","Madhya Pradesh",
E116="Jaipur","Rajasthan",
E116="Kochi","Kerala",
E116="Kolkata","West Bengal",
E116="Lucknow","Uttar Pradesh",
E116="Mumbai","Maharashtra",
E116="Nagpur","Maharashtra",
E116="Patna","Bihar",
E116="Pune","Maharashtra",
E116="Raipur","Chhattisgarh",
E116="Surat","Gujarat",
TRUE,"Not Found"
)</f>
        <v>Telangana</v>
      </c>
      <c r="G116" t="s">
        <v>1143</v>
      </c>
      <c r="H116" t="s">
        <v>1177</v>
      </c>
      <c r="I116" t="s">
        <v>1309</v>
      </c>
      <c r="J116" t="s">
        <v>1310</v>
      </c>
      <c r="K116" t="s">
        <v>1311</v>
      </c>
      <c r="L116">
        <v>2</v>
      </c>
      <c r="M116">
        <v>2306</v>
      </c>
      <c r="N116">
        <v>0.1</v>
      </c>
      <c r="O116">
        <v>2075.4</v>
      </c>
      <c r="P116">
        <v>0.12</v>
      </c>
      <c r="Q116">
        <v>4150.8</v>
      </c>
      <c r="R116">
        <v>498.096</v>
      </c>
      <c r="S116">
        <v>4648.8960000000006</v>
      </c>
      <c r="T116">
        <f>ROUND(Table2[[#This Row],[TotalAmount]],0)</f>
        <v>4649</v>
      </c>
      <c r="U116" t="s">
        <v>1360</v>
      </c>
      <c r="V116" t="s">
        <v>1361</v>
      </c>
      <c r="W116" s="4">
        <v>45506</v>
      </c>
      <c r="X116" s="4">
        <v>45511</v>
      </c>
      <c r="Y116" t="b">
        <v>0</v>
      </c>
      <c r="Z116" t="s">
        <v>1412</v>
      </c>
      <c r="AA116" t="s">
        <v>1412</v>
      </c>
      <c r="AB116" t="s">
        <v>1412</v>
      </c>
      <c r="AC116" t="s">
        <v>1388</v>
      </c>
      <c r="AD116" t="s">
        <v>1394</v>
      </c>
      <c r="AE116" t="s">
        <v>1393</v>
      </c>
    </row>
    <row r="117" spans="1:31" x14ac:dyDescent="0.3">
      <c r="A117" t="s">
        <v>203</v>
      </c>
      <c r="B117" s="4">
        <v>45675.71875</v>
      </c>
      <c r="C117" t="s">
        <v>115</v>
      </c>
      <c r="D117" t="s">
        <v>1157</v>
      </c>
      <c r="E117" t="s">
        <v>1249</v>
      </c>
      <c r="F117" t="str" cm="1">
        <f t="array" ref="F117">_xlfn.IFS(
E117="Ahmedabad","Gujarat",
E117="Bengaluru","Karnataka",
E117="Bhopal","Madhya Pradesh",
E117="Bhubaneswar","Odisha",
E117="Chandigarh","Chandigarh",
E117="Chennai","Tamil Nadu",
E117="Delhi","Delhi",
E117="Guwahati","Assam",
E117="Hyderabad","Telangana",
E117="Indore","Madhya Pradesh",
E117="Jaipur","Rajasthan",
E117="Kochi","Kerala",
E117="Kolkata","West Bengal",
E117="Lucknow","Uttar Pradesh",
E117="Mumbai","Maharashtra",
E117="Nagpur","Maharashtra",
E117="Patna","Bihar",
E117="Pune","Maharashtra",
E117="Raipur","Chhattisgarh",
E117="Surat","Gujarat",
TRUE,"Not Found"
)</f>
        <v>Maharashtra</v>
      </c>
      <c r="G117" t="s">
        <v>1150</v>
      </c>
      <c r="H117" t="s">
        <v>1177</v>
      </c>
      <c r="I117" t="s">
        <v>1236</v>
      </c>
      <c r="J117" t="s">
        <v>1237</v>
      </c>
      <c r="K117" t="s">
        <v>1238</v>
      </c>
      <c r="L117">
        <v>1</v>
      </c>
      <c r="M117">
        <v>2024</v>
      </c>
      <c r="N117">
        <v>0.05</v>
      </c>
      <c r="O117">
        <v>1922.8</v>
      </c>
      <c r="P117">
        <v>0.18</v>
      </c>
      <c r="Q117">
        <v>1922.8</v>
      </c>
      <c r="R117">
        <v>346.10399999999998</v>
      </c>
      <c r="S117">
        <v>2268.904</v>
      </c>
      <c r="T117">
        <f>ROUND(Table2[[#This Row],[TotalAmount]],0)</f>
        <v>2269</v>
      </c>
      <c r="U117" t="s">
        <v>1366</v>
      </c>
      <c r="V117" t="s">
        <v>1361</v>
      </c>
      <c r="W117" s="4">
        <v>45676</v>
      </c>
      <c r="X117" s="4">
        <v>45677</v>
      </c>
      <c r="Y117" t="b">
        <v>0</v>
      </c>
      <c r="Z117" t="s">
        <v>1412</v>
      </c>
      <c r="AA117" t="s">
        <v>1412</v>
      </c>
      <c r="AB117" t="s">
        <v>1412</v>
      </c>
      <c r="AC117" t="s">
        <v>1398</v>
      </c>
      <c r="AD117" t="s">
        <v>1385</v>
      </c>
      <c r="AE117" t="s">
        <v>1395</v>
      </c>
    </row>
    <row r="118" spans="1:31" x14ac:dyDescent="0.3">
      <c r="A118" t="s">
        <v>204</v>
      </c>
      <c r="B118" s="4">
        <v>45569.498611111107</v>
      </c>
      <c r="C118" t="s">
        <v>135</v>
      </c>
      <c r="D118" t="s">
        <v>1182</v>
      </c>
      <c r="E118" t="s">
        <v>1207</v>
      </c>
      <c r="F118" t="str" cm="1">
        <f t="array" ref="F118">_xlfn.IFS(
E118="Ahmedabad","Gujarat",
E118="Bengaluru","Karnataka",
E118="Bhopal","Madhya Pradesh",
E118="Bhubaneswar","Odisha",
E118="Chandigarh","Chandigarh",
E118="Chennai","Tamil Nadu",
E118="Delhi","Delhi",
E118="Guwahati","Assam",
E118="Hyderabad","Telangana",
E118="Indore","Madhya Pradesh",
E118="Jaipur","Rajasthan",
E118="Kochi","Kerala",
E118="Kolkata","West Bengal",
E118="Lucknow","Uttar Pradesh",
E118="Mumbai","Maharashtra",
E118="Nagpur","Maharashtra",
E118="Patna","Bihar",
E118="Pune","Maharashtra",
E118="Raipur","Chhattisgarh",
E118="Surat","Gujarat",
TRUE,"Not Found"
)</f>
        <v>Tamil Nadu</v>
      </c>
      <c r="G118" t="s">
        <v>1143</v>
      </c>
      <c r="H118" t="s">
        <v>1167</v>
      </c>
      <c r="I118" t="s">
        <v>1211</v>
      </c>
      <c r="J118" t="s">
        <v>1212</v>
      </c>
      <c r="K118" t="s">
        <v>1213</v>
      </c>
      <c r="L118">
        <v>1</v>
      </c>
      <c r="M118">
        <v>21713</v>
      </c>
      <c r="N118">
        <v>0</v>
      </c>
      <c r="O118">
        <v>21713</v>
      </c>
      <c r="P118">
        <v>0.05</v>
      </c>
      <c r="Q118">
        <v>21713</v>
      </c>
      <c r="R118">
        <v>1085.6500000000001</v>
      </c>
      <c r="S118">
        <v>22798.65</v>
      </c>
      <c r="T118">
        <f>ROUND(Table2[[#This Row],[TotalAmount]],0)</f>
        <v>22799</v>
      </c>
      <c r="U118" t="s">
        <v>1360</v>
      </c>
      <c r="V118" t="s">
        <v>1361</v>
      </c>
      <c r="W118" s="4">
        <v>45569</v>
      </c>
      <c r="X118" s="4">
        <v>45570</v>
      </c>
      <c r="Y118" t="b">
        <v>0</v>
      </c>
      <c r="Z118" t="s">
        <v>1412</v>
      </c>
      <c r="AA118" t="s">
        <v>1412</v>
      </c>
      <c r="AB118" t="s">
        <v>1412</v>
      </c>
      <c r="AC118" t="s">
        <v>1398</v>
      </c>
      <c r="AD118" t="s">
        <v>1377</v>
      </c>
      <c r="AE118" t="s">
        <v>1395</v>
      </c>
    </row>
    <row r="119" spans="1:31" x14ac:dyDescent="0.3">
      <c r="A119" t="s">
        <v>205</v>
      </c>
      <c r="B119" s="4">
        <v>45662.449305555558</v>
      </c>
      <c r="C119" t="s">
        <v>206</v>
      </c>
      <c r="D119" t="s">
        <v>1153</v>
      </c>
      <c r="E119" t="s">
        <v>1191</v>
      </c>
      <c r="F119" t="str" cm="1">
        <f t="array" ref="F119">_xlfn.IFS(
E119="Ahmedabad","Gujarat",
E119="Bengaluru","Karnataka",
E119="Bhopal","Madhya Pradesh",
E119="Bhubaneswar","Odisha",
E119="Chandigarh","Chandigarh",
E119="Chennai","Tamil Nadu",
E119="Delhi","Delhi",
E119="Guwahati","Assam",
E119="Hyderabad","Telangana",
E119="Indore","Madhya Pradesh",
E119="Jaipur","Rajasthan",
E119="Kochi","Kerala",
E119="Kolkata","West Bengal",
E119="Lucknow","Uttar Pradesh",
E119="Mumbai","Maharashtra",
E119="Nagpur","Maharashtra",
E119="Patna","Bihar",
E119="Pune","Maharashtra",
E119="Raipur","Chhattisgarh",
E119="Surat","Gujarat",
TRUE,"Not Found"
)</f>
        <v>Madhya Pradesh</v>
      </c>
      <c r="G119" t="s">
        <v>1150</v>
      </c>
      <c r="H119" t="s">
        <v>1163</v>
      </c>
      <c r="I119" t="s">
        <v>1184</v>
      </c>
      <c r="J119" t="s">
        <v>1260</v>
      </c>
      <c r="K119" t="s">
        <v>1261</v>
      </c>
      <c r="L119">
        <v>2</v>
      </c>
      <c r="M119">
        <v>1158</v>
      </c>
      <c r="N119">
        <v>0.15</v>
      </c>
      <c r="O119">
        <v>984.3</v>
      </c>
      <c r="P119">
        <v>0.12</v>
      </c>
      <c r="Q119">
        <v>1968.6</v>
      </c>
      <c r="R119">
        <v>236.232</v>
      </c>
      <c r="S119">
        <v>2204.8319999999999</v>
      </c>
      <c r="T119">
        <f>ROUND(Table2[[#This Row],[TotalAmount]],0)</f>
        <v>2205</v>
      </c>
      <c r="U119" t="s">
        <v>1366</v>
      </c>
      <c r="V119" t="s">
        <v>1364</v>
      </c>
      <c r="W119" s="4">
        <v>45664</v>
      </c>
      <c r="X119" s="4" t="s">
        <v>1412</v>
      </c>
      <c r="Y119" t="b">
        <v>1</v>
      </c>
      <c r="Z119" s="1">
        <v>45681</v>
      </c>
      <c r="AA119" s="1">
        <v>45681</v>
      </c>
      <c r="AB119" t="s">
        <v>1402</v>
      </c>
      <c r="AC119" t="s">
        <v>1386</v>
      </c>
      <c r="AD119" t="s">
        <v>1385</v>
      </c>
      <c r="AE119" t="s">
        <v>1378</v>
      </c>
    </row>
    <row r="120" spans="1:31" x14ac:dyDescent="0.3">
      <c r="A120" t="s">
        <v>207</v>
      </c>
      <c r="B120" s="4">
        <v>45466.490972222222</v>
      </c>
      <c r="C120" t="s">
        <v>208</v>
      </c>
      <c r="D120" t="s">
        <v>1157</v>
      </c>
      <c r="E120" t="s">
        <v>1201</v>
      </c>
      <c r="F120" t="str" cm="1">
        <f t="array" ref="F120">_xlfn.IFS(
E120="Ahmedabad","Gujarat",
E120="Bengaluru","Karnataka",
E120="Bhopal","Madhya Pradesh",
E120="Bhubaneswar","Odisha",
E120="Chandigarh","Chandigarh",
E120="Chennai","Tamil Nadu",
E120="Delhi","Delhi",
E120="Guwahati","Assam",
E120="Hyderabad","Telangana",
E120="Indore","Madhya Pradesh",
E120="Jaipur","Rajasthan",
E120="Kochi","Kerala",
E120="Kolkata","West Bengal",
E120="Lucknow","Uttar Pradesh",
E120="Mumbai","Maharashtra",
E120="Nagpur","Maharashtra",
E120="Patna","Bihar",
E120="Pune","Maharashtra",
E120="Raipur","Chhattisgarh",
E120="Surat","Gujarat",
TRUE,"Not Found"
)</f>
        <v>Maharashtra</v>
      </c>
      <c r="G120" t="s">
        <v>1143</v>
      </c>
      <c r="H120" t="s">
        <v>1167</v>
      </c>
      <c r="I120" t="s">
        <v>1168</v>
      </c>
      <c r="J120" t="s">
        <v>1312</v>
      </c>
      <c r="K120" t="s">
        <v>1313</v>
      </c>
      <c r="L120">
        <v>5</v>
      </c>
      <c r="M120">
        <v>46353</v>
      </c>
      <c r="N120">
        <v>0.1</v>
      </c>
      <c r="O120">
        <v>41717.699999999997</v>
      </c>
      <c r="P120">
        <v>0.12</v>
      </c>
      <c r="Q120">
        <v>208588.5</v>
      </c>
      <c r="R120">
        <v>25030.62</v>
      </c>
      <c r="S120">
        <v>233619.12</v>
      </c>
      <c r="T120">
        <f>ROUND(Table2[[#This Row],[TotalAmount]],0)</f>
        <v>233619</v>
      </c>
      <c r="U120" t="s">
        <v>1365</v>
      </c>
      <c r="V120" t="s">
        <v>1361</v>
      </c>
      <c r="W120" s="4">
        <v>45468</v>
      </c>
      <c r="X120" s="4">
        <v>45471</v>
      </c>
      <c r="Y120" t="b">
        <v>0</v>
      </c>
      <c r="Z120" t="s">
        <v>1412</v>
      </c>
      <c r="AA120" t="s">
        <v>1412</v>
      </c>
      <c r="AB120" t="s">
        <v>1412</v>
      </c>
      <c r="AC120" t="s">
        <v>1392</v>
      </c>
      <c r="AD120" t="s">
        <v>1399</v>
      </c>
      <c r="AE120" t="s">
        <v>1380</v>
      </c>
    </row>
    <row r="121" spans="1:31" x14ac:dyDescent="0.3">
      <c r="A121" t="s">
        <v>209</v>
      </c>
      <c r="B121" s="4">
        <v>45633.538194444453</v>
      </c>
      <c r="C121" t="s">
        <v>124</v>
      </c>
      <c r="D121" t="s">
        <v>1153</v>
      </c>
      <c r="E121" t="s">
        <v>1191</v>
      </c>
      <c r="F121" t="str" cm="1">
        <f t="array" ref="F121">_xlfn.IFS(
E121="Ahmedabad","Gujarat",
E121="Bengaluru","Karnataka",
E121="Bhopal","Madhya Pradesh",
E121="Bhubaneswar","Odisha",
E121="Chandigarh","Chandigarh",
E121="Chennai","Tamil Nadu",
E121="Delhi","Delhi",
E121="Guwahati","Assam",
E121="Hyderabad","Telangana",
E121="Indore","Madhya Pradesh",
E121="Jaipur","Rajasthan",
E121="Kochi","Kerala",
E121="Kolkata","West Bengal",
E121="Lucknow","Uttar Pradesh",
E121="Mumbai","Maharashtra",
E121="Nagpur","Maharashtra",
E121="Patna","Bihar",
E121="Pune","Maharashtra",
E121="Raipur","Chhattisgarh",
E121="Surat","Gujarat",
TRUE,"Not Found"
)</f>
        <v>Madhya Pradesh</v>
      </c>
      <c r="G121" t="s">
        <v>1187</v>
      </c>
      <c r="H121" t="s">
        <v>1167</v>
      </c>
      <c r="I121" t="s">
        <v>1211</v>
      </c>
      <c r="J121" t="s">
        <v>1279</v>
      </c>
      <c r="K121" t="s">
        <v>1280</v>
      </c>
      <c r="L121">
        <v>3</v>
      </c>
      <c r="M121">
        <v>40288</v>
      </c>
      <c r="N121">
        <v>0</v>
      </c>
      <c r="O121">
        <v>40288</v>
      </c>
      <c r="P121">
        <v>0.18</v>
      </c>
      <c r="Q121">
        <v>120864</v>
      </c>
      <c r="R121">
        <v>21755.52</v>
      </c>
      <c r="S121">
        <v>142619.51999999999</v>
      </c>
      <c r="T121">
        <f>ROUND(Table2[[#This Row],[TotalAmount]],0)</f>
        <v>142620</v>
      </c>
      <c r="U121" t="s">
        <v>1362</v>
      </c>
      <c r="V121" t="s">
        <v>1361</v>
      </c>
      <c r="W121" s="4">
        <v>45635</v>
      </c>
      <c r="X121" s="4">
        <v>45638</v>
      </c>
      <c r="Y121" t="b">
        <v>0</v>
      </c>
      <c r="Z121" t="s">
        <v>1412</v>
      </c>
      <c r="AA121" t="s">
        <v>1412</v>
      </c>
      <c r="AB121" t="s">
        <v>1412</v>
      </c>
      <c r="AC121" t="s">
        <v>1382</v>
      </c>
      <c r="AD121" t="s">
        <v>1385</v>
      </c>
      <c r="AE121" t="s">
        <v>1393</v>
      </c>
    </row>
    <row r="122" spans="1:31" x14ac:dyDescent="0.3">
      <c r="A122" t="s">
        <v>210</v>
      </c>
      <c r="B122" s="4">
        <v>45699.410416666673</v>
      </c>
      <c r="C122" t="s">
        <v>211</v>
      </c>
      <c r="D122" t="s">
        <v>1157</v>
      </c>
      <c r="E122" t="s">
        <v>1181</v>
      </c>
      <c r="F122" t="str" cm="1">
        <f t="array" ref="F122">_xlfn.IFS(
E122="Ahmedabad","Gujarat",
E122="Bengaluru","Karnataka",
E122="Bhopal","Madhya Pradesh",
E122="Bhubaneswar","Odisha",
E122="Chandigarh","Chandigarh",
E122="Chennai","Tamil Nadu",
E122="Delhi","Delhi",
E122="Guwahati","Assam",
E122="Hyderabad","Telangana",
E122="Indore","Madhya Pradesh",
E122="Jaipur","Rajasthan",
E122="Kochi","Kerala",
E122="Kolkata","West Bengal",
E122="Lucknow","Uttar Pradesh",
E122="Mumbai","Maharashtra",
E122="Nagpur","Maharashtra",
E122="Patna","Bihar",
E122="Pune","Maharashtra",
E122="Raipur","Chhattisgarh",
E122="Surat","Gujarat",
TRUE,"Not Found"
)</f>
        <v>Gujarat</v>
      </c>
      <c r="G122" t="s">
        <v>1143</v>
      </c>
      <c r="H122" t="s">
        <v>1167</v>
      </c>
      <c r="I122" t="s">
        <v>1168</v>
      </c>
      <c r="J122" t="s">
        <v>1314</v>
      </c>
      <c r="K122" t="s">
        <v>1315</v>
      </c>
      <c r="L122">
        <v>3</v>
      </c>
      <c r="M122">
        <v>39885</v>
      </c>
      <c r="N122">
        <v>0</v>
      </c>
      <c r="O122">
        <v>39885</v>
      </c>
      <c r="P122">
        <v>0.18</v>
      </c>
      <c r="Q122">
        <v>119655</v>
      </c>
      <c r="R122">
        <v>21537.9</v>
      </c>
      <c r="S122">
        <v>141192.9</v>
      </c>
      <c r="T122">
        <f>ROUND(Table2[[#This Row],[TotalAmount]],0)</f>
        <v>141193</v>
      </c>
      <c r="U122" t="s">
        <v>1363</v>
      </c>
      <c r="V122" t="s">
        <v>1364</v>
      </c>
      <c r="W122" s="4">
        <v>45701</v>
      </c>
      <c r="X122" s="4" t="s">
        <v>1412</v>
      </c>
      <c r="Y122" t="b">
        <v>1</v>
      </c>
      <c r="Z122" s="1">
        <v>45710</v>
      </c>
      <c r="AA122" s="1">
        <v>45710</v>
      </c>
      <c r="AB122" t="s">
        <v>1403</v>
      </c>
      <c r="AC122" t="s">
        <v>1398</v>
      </c>
      <c r="AD122" t="s">
        <v>1385</v>
      </c>
      <c r="AE122" t="s">
        <v>1378</v>
      </c>
    </row>
    <row r="123" spans="1:31" x14ac:dyDescent="0.3">
      <c r="A123" t="s">
        <v>212</v>
      </c>
      <c r="B123" s="4">
        <v>45478.469444444447</v>
      </c>
      <c r="C123" t="s">
        <v>213</v>
      </c>
      <c r="D123" t="s">
        <v>1182</v>
      </c>
      <c r="E123" t="s">
        <v>1256</v>
      </c>
      <c r="F123" t="str" cm="1">
        <f t="array" ref="F123">_xlfn.IFS(
E123="Ahmedabad","Gujarat",
E123="Bengaluru","Karnataka",
E123="Bhopal","Madhya Pradesh",
E123="Bhubaneswar","Odisha",
E123="Chandigarh","Chandigarh",
E123="Chennai","Tamil Nadu",
E123="Delhi","Delhi",
E123="Guwahati","Assam",
E123="Hyderabad","Telangana",
E123="Indore","Madhya Pradesh",
E123="Jaipur","Rajasthan",
E123="Kochi","Kerala",
E123="Kolkata","West Bengal",
E123="Lucknow","Uttar Pradesh",
E123="Mumbai","Maharashtra",
E123="Nagpur","Maharashtra",
E123="Patna","Bihar",
E123="Pune","Maharashtra",
E123="Raipur","Chhattisgarh",
E123="Surat","Gujarat",
TRUE,"Not Found"
)</f>
        <v>Karnataka</v>
      </c>
      <c r="G123" t="s">
        <v>1143</v>
      </c>
      <c r="H123" t="s">
        <v>1167</v>
      </c>
      <c r="I123" t="s">
        <v>1288</v>
      </c>
      <c r="J123" t="s">
        <v>1289</v>
      </c>
      <c r="K123" t="s">
        <v>1290</v>
      </c>
      <c r="L123">
        <v>1</v>
      </c>
      <c r="M123">
        <v>7411</v>
      </c>
      <c r="N123">
        <v>0</v>
      </c>
      <c r="O123">
        <v>7411</v>
      </c>
      <c r="P123">
        <v>0.12</v>
      </c>
      <c r="Q123">
        <v>7411</v>
      </c>
      <c r="R123">
        <v>889.31999999999994</v>
      </c>
      <c r="S123">
        <v>8300.32</v>
      </c>
      <c r="T123">
        <f>ROUND(Table2[[#This Row],[TotalAmount]],0)</f>
        <v>8300</v>
      </c>
      <c r="U123" t="s">
        <v>1363</v>
      </c>
      <c r="V123" t="s">
        <v>1361</v>
      </c>
      <c r="W123" s="4">
        <v>45479</v>
      </c>
      <c r="X123" s="4">
        <v>45480</v>
      </c>
      <c r="Y123" t="b">
        <v>0</v>
      </c>
      <c r="Z123" t="s">
        <v>1412</v>
      </c>
      <c r="AA123" t="s">
        <v>1412</v>
      </c>
      <c r="AB123" t="s">
        <v>1412</v>
      </c>
      <c r="AC123" t="s">
        <v>1398</v>
      </c>
      <c r="AD123" t="s">
        <v>1400</v>
      </c>
      <c r="AE123" t="s">
        <v>1393</v>
      </c>
    </row>
    <row r="124" spans="1:31" x14ac:dyDescent="0.3">
      <c r="A124" t="s">
        <v>214</v>
      </c>
      <c r="B124" s="4">
        <v>45337.597916666673</v>
      </c>
      <c r="C124" t="s">
        <v>22</v>
      </c>
      <c r="D124" t="s">
        <v>1182</v>
      </c>
      <c r="E124" t="s">
        <v>1183</v>
      </c>
      <c r="F124" t="str" cm="1">
        <f t="array" ref="F124">_xlfn.IFS(
E124="Ahmedabad","Gujarat",
E124="Bengaluru","Karnataka",
E124="Bhopal","Madhya Pradesh",
E124="Bhubaneswar","Odisha",
E124="Chandigarh","Chandigarh",
E124="Chennai","Tamil Nadu",
E124="Delhi","Delhi",
E124="Guwahati","Assam",
E124="Hyderabad","Telangana",
E124="Indore","Madhya Pradesh",
E124="Jaipur","Rajasthan",
E124="Kochi","Kerala",
E124="Kolkata","West Bengal",
E124="Lucknow","Uttar Pradesh",
E124="Mumbai","Maharashtra",
E124="Nagpur","Maharashtra",
E124="Patna","Bihar",
E124="Pune","Maharashtra",
E124="Raipur","Chhattisgarh",
E124="Surat","Gujarat",
TRUE,"Not Found"
)</f>
        <v>Telangana</v>
      </c>
      <c r="G124" t="s">
        <v>1143</v>
      </c>
      <c r="H124" t="s">
        <v>1163</v>
      </c>
      <c r="I124" t="s">
        <v>1184</v>
      </c>
      <c r="J124" t="s">
        <v>1185</v>
      </c>
      <c r="K124" t="s">
        <v>1186</v>
      </c>
      <c r="L124">
        <v>1</v>
      </c>
      <c r="M124">
        <v>205</v>
      </c>
      <c r="N124">
        <v>0</v>
      </c>
      <c r="O124">
        <v>205</v>
      </c>
      <c r="P124">
        <v>0.12</v>
      </c>
      <c r="Q124">
        <v>205</v>
      </c>
      <c r="R124">
        <v>24.6</v>
      </c>
      <c r="S124">
        <v>229.6</v>
      </c>
      <c r="T124">
        <f>ROUND(Table2[[#This Row],[TotalAmount]],0)</f>
        <v>230</v>
      </c>
      <c r="U124" t="s">
        <v>1363</v>
      </c>
      <c r="V124" t="s">
        <v>1361</v>
      </c>
      <c r="W124" s="4">
        <v>45339</v>
      </c>
      <c r="X124" s="4">
        <v>45342</v>
      </c>
      <c r="Y124" t="b">
        <v>0</v>
      </c>
      <c r="Z124" t="s">
        <v>1412</v>
      </c>
      <c r="AA124" t="s">
        <v>1412</v>
      </c>
      <c r="AB124" t="s">
        <v>1412</v>
      </c>
      <c r="AC124" t="s">
        <v>1376</v>
      </c>
      <c r="AD124" t="s">
        <v>1394</v>
      </c>
      <c r="AE124" t="s">
        <v>1393</v>
      </c>
    </row>
    <row r="125" spans="1:31" x14ac:dyDescent="0.3">
      <c r="A125" t="s">
        <v>215</v>
      </c>
      <c r="B125" s="4">
        <v>45653.609027777777</v>
      </c>
      <c r="C125" t="s">
        <v>216</v>
      </c>
      <c r="D125" t="s">
        <v>1157</v>
      </c>
      <c r="E125" t="s">
        <v>1201</v>
      </c>
      <c r="F125" t="str" cm="1">
        <f t="array" ref="F125">_xlfn.IFS(
E125="Ahmedabad","Gujarat",
E125="Bengaluru","Karnataka",
E125="Bhopal","Madhya Pradesh",
E125="Bhubaneswar","Odisha",
E125="Chandigarh","Chandigarh",
E125="Chennai","Tamil Nadu",
E125="Delhi","Delhi",
E125="Guwahati","Assam",
E125="Hyderabad","Telangana",
E125="Indore","Madhya Pradesh",
E125="Jaipur","Rajasthan",
E125="Kochi","Kerala",
E125="Kolkata","West Bengal",
E125="Lucknow","Uttar Pradesh",
E125="Mumbai","Maharashtra",
E125="Nagpur","Maharashtra",
E125="Patna","Bihar",
E125="Pune","Maharashtra",
E125="Raipur","Chhattisgarh",
E125="Surat","Gujarat",
TRUE,"Not Found"
)</f>
        <v>Maharashtra</v>
      </c>
      <c r="G125" t="s">
        <v>1150</v>
      </c>
      <c r="H125" t="s">
        <v>1172</v>
      </c>
      <c r="I125" t="s">
        <v>1198</v>
      </c>
      <c r="J125" t="s">
        <v>1250</v>
      </c>
      <c r="K125" t="s">
        <v>1251</v>
      </c>
      <c r="L125">
        <v>2</v>
      </c>
      <c r="M125">
        <v>9730</v>
      </c>
      <c r="N125">
        <v>0.05</v>
      </c>
      <c r="O125">
        <v>9243.5</v>
      </c>
      <c r="P125">
        <v>0.18</v>
      </c>
      <c r="Q125">
        <v>18487</v>
      </c>
      <c r="R125">
        <v>3327.66</v>
      </c>
      <c r="S125">
        <v>21814.66</v>
      </c>
      <c r="T125">
        <f>ROUND(Table2[[#This Row],[TotalAmount]],0)</f>
        <v>21815</v>
      </c>
      <c r="U125" t="s">
        <v>1362</v>
      </c>
      <c r="V125" t="s">
        <v>1361</v>
      </c>
      <c r="W125" s="4">
        <v>45653</v>
      </c>
      <c r="X125" s="4">
        <v>45657</v>
      </c>
      <c r="Y125" t="b">
        <v>0</v>
      </c>
      <c r="Z125" t="s">
        <v>1412</v>
      </c>
      <c r="AA125" t="s">
        <v>1412</v>
      </c>
      <c r="AB125" t="s">
        <v>1412</v>
      </c>
      <c r="AC125" t="s">
        <v>1382</v>
      </c>
      <c r="AD125" t="s">
        <v>1397</v>
      </c>
      <c r="AE125" t="s">
        <v>1389</v>
      </c>
    </row>
    <row r="126" spans="1:31" x14ac:dyDescent="0.3">
      <c r="A126" t="s">
        <v>217</v>
      </c>
      <c r="B126" s="4">
        <v>45432.673611111109</v>
      </c>
      <c r="C126" t="s">
        <v>218</v>
      </c>
      <c r="D126" t="s">
        <v>1153</v>
      </c>
      <c r="E126" t="s">
        <v>1191</v>
      </c>
      <c r="F126" t="str" cm="1">
        <f t="array" ref="F126">_xlfn.IFS(
E126="Ahmedabad","Gujarat",
E126="Bengaluru","Karnataka",
E126="Bhopal","Madhya Pradesh",
E126="Bhubaneswar","Odisha",
E126="Chandigarh","Chandigarh",
E126="Chennai","Tamil Nadu",
E126="Delhi","Delhi",
E126="Guwahati","Assam",
E126="Hyderabad","Telangana",
E126="Indore","Madhya Pradesh",
E126="Jaipur","Rajasthan",
E126="Kochi","Kerala",
E126="Kolkata","West Bengal",
E126="Lucknow","Uttar Pradesh",
E126="Mumbai","Maharashtra",
E126="Nagpur","Maharashtra",
E126="Patna","Bihar",
E126="Pune","Maharashtra",
E126="Raipur","Chhattisgarh",
E126="Surat","Gujarat",
TRUE,"Not Found"
)</f>
        <v>Madhya Pradesh</v>
      </c>
      <c r="G126" t="s">
        <v>1150</v>
      </c>
      <c r="H126" t="s">
        <v>1163</v>
      </c>
      <c r="I126" t="s">
        <v>1266</v>
      </c>
      <c r="J126" t="s">
        <v>1267</v>
      </c>
      <c r="K126" t="s">
        <v>1268</v>
      </c>
      <c r="L126">
        <v>1</v>
      </c>
      <c r="M126">
        <v>703</v>
      </c>
      <c r="N126">
        <v>0</v>
      </c>
      <c r="O126">
        <v>703</v>
      </c>
      <c r="P126">
        <v>0.12</v>
      </c>
      <c r="Q126">
        <v>703</v>
      </c>
      <c r="R126">
        <v>84.36</v>
      </c>
      <c r="S126">
        <v>787.36</v>
      </c>
      <c r="T126">
        <f>ROUND(Table2[[#This Row],[TotalAmount]],0)</f>
        <v>787</v>
      </c>
      <c r="U126" t="s">
        <v>1363</v>
      </c>
      <c r="V126" t="s">
        <v>1367</v>
      </c>
      <c r="W126" s="4">
        <v>45432</v>
      </c>
      <c r="X126" s="4" t="s">
        <v>1412</v>
      </c>
      <c r="Y126" t="b">
        <v>0</v>
      </c>
      <c r="Z126" t="s">
        <v>1412</v>
      </c>
      <c r="AA126" t="s">
        <v>1412</v>
      </c>
      <c r="AB126" t="s">
        <v>1412</v>
      </c>
      <c r="AC126" t="s">
        <v>1384</v>
      </c>
      <c r="AD126" t="s">
        <v>1399</v>
      </c>
      <c r="AE126" t="s">
        <v>1395</v>
      </c>
    </row>
    <row r="127" spans="1:31" x14ac:dyDescent="0.3">
      <c r="A127" t="s">
        <v>219</v>
      </c>
      <c r="B127" s="4">
        <v>45719.35</v>
      </c>
      <c r="C127" t="s">
        <v>77</v>
      </c>
      <c r="D127" t="s">
        <v>1182</v>
      </c>
      <c r="E127" t="s">
        <v>1256</v>
      </c>
      <c r="F127" t="str" cm="1">
        <f t="array" ref="F127">_xlfn.IFS(
E127="Ahmedabad","Gujarat",
E127="Bengaluru","Karnataka",
E127="Bhopal","Madhya Pradesh",
E127="Bhubaneswar","Odisha",
E127="Chandigarh","Chandigarh",
E127="Chennai","Tamil Nadu",
E127="Delhi","Delhi",
E127="Guwahati","Assam",
E127="Hyderabad","Telangana",
E127="Indore","Madhya Pradesh",
E127="Jaipur","Rajasthan",
E127="Kochi","Kerala",
E127="Kolkata","West Bengal",
E127="Lucknow","Uttar Pradesh",
E127="Mumbai","Maharashtra",
E127="Nagpur","Maharashtra",
E127="Patna","Bihar",
E127="Pune","Maharashtra",
E127="Raipur","Chhattisgarh",
E127="Surat","Gujarat",
TRUE,"Not Found"
)</f>
        <v>Karnataka</v>
      </c>
      <c r="G127" t="s">
        <v>1143</v>
      </c>
      <c r="H127" t="s">
        <v>1172</v>
      </c>
      <c r="I127" t="s">
        <v>1188</v>
      </c>
      <c r="J127" t="s">
        <v>1258</v>
      </c>
      <c r="K127" t="s">
        <v>1259</v>
      </c>
      <c r="L127">
        <v>3</v>
      </c>
      <c r="M127">
        <v>8929</v>
      </c>
      <c r="N127">
        <v>0</v>
      </c>
      <c r="O127">
        <v>8929</v>
      </c>
      <c r="P127">
        <v>0.05</v>
      </c>
      <c r="Q127">
        <v>26787</v>
      </c>
      <c r="R127">
        <v>1339.35</v>
      </c>
      <c r="S127">
        <v>28126.35</v>
      </c>
      <c r="T127">
        <f>ROUND(Table2[[#This Row],[TotalAmount]],0)</f>
        <v>28126</v>
      </c>
      <c r="U127" t="s">
        <v>1365</v>
      </c>
      <c r="V127" t="s">
        <v>1361</v>
      </c>
      <c r="W127" s="4">
        <v>45720</v>
      </c>
      <c r="X127" s="4">
        <v>45723</v>
      </c>
      <c r="Y127" t="b">
        <v>0</v>
      </c>
      <c r="Z127" t="s">
        <v>1412</v>
      </c>
      <c r="AA127" t="s">
        <v>1412</v>
      </c>
      <c r="AB127" t="s">
        <v>1412</v>
      </c>
      <c r="AC127" t="s">
        <v>1384</v>
      </c>
      <c r="AD127" t="s">
        <v>1394</v>
      </c>
      <c r="AE127" t="s">
        <v>1393</v>
      </c>
    </row>
    <row r="128" spans="1:31" x14ac:dyDescent="0.3">
      <c r="A128" t="s">
        <v>220</v>
      </c>
      <c r="B128" s="4">
        <v>45719.53402777778</v>
      </c>
      <c r="C128" t="s">
        <v>105</v>
      </c>
      <c r="D128" t="s">
        <v>1182</v>
      </c>
      <c r="E128" t="s">
        <v>1207</v>
      </c>
      <c r="F128" t="str" cm="1">
        <f t="array" ref="F128">_xlfn.IFS(
E128="Ahmedabad","Gujarat",
E128="Bengaluru","Karnataka",
E128="Bhopal","Madhya Pradesh",
E128="Bhubaneswar","Odisha",
E128="Chandigarh","Chandigarh",
E128="Chennai","Tamil Nadu",
E128="Delhi","Delhi",
E128="Guwahati","Assam",
E128="Hyderabad","Telangana",
E128="Indore","Madhya Pradesh",
E128="Jaipur","Rajasthan",
E128="Kochi","Kerala",
E128="Kolkata","West Bengal",
E128="Lucknow","Uttar Pradesh",
E128="Mumbai","Maharashtra",
E128="Nagpur","Maharashtra",
E128="Patna","Bihar",
E128="Pune","Maharashtra",
E128="Raipur","Chhattisgarh",
E128="Surat","Gujarat",
TRUE,"Not Found"
)</f>
        <v>Tamil Nadu</v>
      </c>
      <c r="G128" t="s">
        <v>1150</v>
      </c>
      <c r="H128" t="s">
        <v>1144</v>
      </c>
      <c r="I128" t="s">
        <v>1276</v>
      </c>
      <c r="J128" t="s">
        <v>1286</v>
      </c>
      <c r="K128" t="s">
        <v>1287</v>
      </c>
      <c r="L128">
        <v>1</v>
      </c>
      <c r="M128">
        <v>9046</v>
      </c>
      <c r="N128">
        <v>0</v>
      </c>
      <c r="O128">
        <v>9046</v>
      </c>
      <c r="P128">
        <v>0.12</v>
      </c>
      <c r="Q128">
        <v>9046</v>
      </c>
      <c r="R128">
        <v>1085.52</v>
      </c>
      <c r="S128">
        <v>10131.52</v>
      </c>
      <c r="T128">
        <f>ROUND(Table2[[#This Row],[TotalAmount]],0)</f>
        <v>10132</v>
      </c>
      <c r="U128" t="s">
        <v>1363</v>
      </c>
      <c r="V128" t="s">
        <v>1361</v>
      </c>
      <c r="W128" s="4">
        <v>45720</v>
      </c>
      <c r="X128" s="4">
        <v>45723</v>
      </c>
      <c r="Y128" t="b">
        <v>0</v>
      </c>
      <c r="Z128" t="s">
        <v>1412</v>
      </c>
      <c r="AA128" t="s">
        <v>1412</v>
      </c>
      <c r="AB128" t="s">
        <v>1412</v>
      </c>
      <c r="AC128" t="s">
        <v>1382</v>
      </c>
      <c r="AD128" t="s">
        <v>1397</v>
      </c>
      <c r="AE128" t="s">
        <v>1395</v>
      </c>
    </row>
    <row r="129" spans="1:31" x14ac:dyDescent="0.3">
      <c r="A129" t="s">
        <v>221</v>
      </c>
      <c r="B129" s="4">
        <v>45630.383333333331</v>
      </c>
      <c r="C129" t="s">
        <v>155</v>
      </c>
      <c r="D129" t="s">
        <v>1157</v>
      </c>
      <c r="E129" t="s">
        <v>1158</v>
      </c>
      <c r="F129" t="str" cm="1">
        <f t="array" ref="F129">_xlfn.IFS(
E129="Ahmedabad","Gujarat",
E129="Bengaluru","Karnataka",
E129="Bhopal","Madhya Pradesh",
E129="Bhubaneswar","Odisha",
E129="Chandigarh","Chandigarh",
E129="Chennai","Tamil Nadu",
E129="Delhi","Delhi",
E129="Guwahati","Assam",
E129="Hyderabad","Telangana",
E129="Indore","Madhya Pradesh",
E129="Jaipur","Rajasthan",
E129="Kochi","Kerala",
E129="Kolkata","West Bengal",
E129="Lucknow","Uttar Pradesh",
E129="Mumbai","Maharashtra",
E129="Nagpur","Maharashtra",
E129="Patna","Bihar",
E129="Pune","Maharashtra",
E129="Raipur","Chhattisgarh",
E129="Surat","Gujarat",
TRUE,"Not Found"
)</f>
        <v>Gujarat</v>
      </c>
      <c r="G129" t="s">
        <v>1143</v>
      </c>
      <c r="H129" t="s">
        <v>1177</v>
      </c>
      <c r="I129" t="s">
        <v>1195</v>
      </c>
      <c r="J129" t="s">
        <v>1196</v>
      </c>
      <c r="K129" t="s">
        <v>1197</v>
      </c>
      <c r="L129">
        <v>1</v>
      </c>
      <c r="M129">
        <v>1040</v>
      </c>
      <c r="N129">
        <v>0</v>
      </c>
      <c r="O129">
        <v>1040</v>
      </c>
      <c r="P129">
        <v>0.12</v>
      </c>
      <c r="Q129">
        <v>1040</v>
      </c>
      <c r="R129">
        <v>124.8</v>
      </c>
      <c r="S129">
        <v>1164.8</v>
      </c>
      <c r="T129">
        <f>ROUND(Table2[[#This Row],[TotalAmount]],0)</f>
        <v>1165</v>
      </c>
      <c r="U129" t="s">
        <v>1360</v>
      </c>
      <c r="V129" t="s">
        <v>1368</v>
      </c>
      <c r="W129" s="4">
        <v>45630</v>
      </c>
      <c r="X129" s="4" t="s">
        <v>1412</v>
      </c>
      <c r="Y129" t="b">
        <v>0</v>
      </c>
      <c r="Z129" t="s">
        <v>1412</v>
      </c>
      <c r="AA129" t="s">
        <v>1412</v>
      </c>
      <c r="AB129" t="s">
        <v>1412</v>
      </c>
      <c r="AC129" t="s">
        <v>1390</v>
      </c>
      <c r="AD129" t="s">
        <v>1399</v>
      </c>
      <c r="AE129" t="s">
        <v>1393</v>
      </c>
    </row>
    <row r="130" spans="1:31" x14ac:dyDescent="0.3">
      <c r="A130" t="s">
        <v>222</v>
      </c>
      <c r="B130" s="4">
        <v>45640.619444444441</v>
      </c>
      <c r="C130" t="s">
        <v>223</v>
      </c>
      <c r="D130" t="s">
        <v>1148</v>
      </c>
      <c r="E130" t="s">
        <v>1149</v>
      </c>
      <c r="F130" t="str" cm="1">
        <f t="array" ref="F130">_xlfn.IFS(
E130="Ahmedabad","Gujarat",
E130="Bengaluru","Karnataka",
E130="Bhopal","Madhya Pradesh",
E130="Bhubaneswar","Odisha",
E130="Chandigarh","Chandigarh",
E130="Chennai","Tamil Nadu",
E130="Delhi","Delhi",
E130="Guwahati","Assam",
E130="Hyderabad","Telangana",
E130="Indore","Madhya Pradesh",
E130="Jaipur","Rajasthan",
E130="Kochi","Kerala",
E130="Kolkata","West Bengal",
E130="Lucknow","Uttar Pradesh",
E130="Mumbai","Maharashtra",
E130="Nagpur","Maharashtra",
E130="Patna","Bihar",
E130="Pune","Maharashtra",
E130="Raipur","Chhattisgarh",
E130="Surat","Gujarat",
TRUE,"Not Found"
)</f>
        <v>Uttar Pradesh</v>
      </c>
      <c r="G130" t="s">
        <v>1150</v>
      </c>
      <c r="H130" t="s">
        <v>1172</v>
      </c>
      <c r="I130" t="s">
        <v>1229</v>
      </c>
      <c r="J130" t="s">
        <v>1230</v>
      </c>
      <c r="K130" t="s">
        <v>1231</v>
      </c>
      <c r="L130">
        <v>1</v>
      </c>
      <c r="M130">
        <v>5481</v>
      </c>
      <c r="N130">
        <v>0.05</v>
      </c>
      <c r="O130">
        <v>5206.95</v>
      </c>
      <c r="P130">
        <v>0.12</v>
      </c>
      <c r="Q130">
        <v>5206.95</v>
      </c>
      <c r="R130">
        <v>624.83399999999995</v>
      </c>
      <c r="S130">
        <v>5831.7839999999997</v>
      </c>
      <c r="T130">
        <f>ROUND(Table2[[#This Row],[TotalAmount]],0)</f>
        <v>5832</v>
      </c>
      <c r="U130" t="s">
        <v>1366</v>
      </c>
      <c r="V130" t="s">
        <v>1361</v>
      </c>
      <c r="W130" s="4">
        <v>45640</v>
      </c>
      <c r="X130" s="4">
        <v>45643</v>
      </c>
      <c r="Y130" t="b">
        <v>0</v>
      </c>
      <c r="Z130" t="s">
        <v>1412</v>
      </c>
      <c r="AA130" t="s">
        <v>1412</v>
      </c>
      <c r="AB130" t="s">
        <v>1412</v>
      </c>
      <c r="AC130" t="s">
        <v>1392</v>
      </c>
      <c r="AD130" t="s">
        <v>1394</v>
      </c>
      <c r="AE130" t="s">
        <v>1391</v>
      </c>
    </row>
    <row r="131" spans="1:31" x14ac:dyDescent="0.3">
      <c r="A131" t="s">
        <v>224</v>
      </c>
      <c r="B131" s="4">
        <v>45589.463194444441</v>
      </c>
      <c r="C131" t="s">
        <v>67</v>
      </c>
      <c r="D131" t="s">
        <v>1148</v>
      </c>
      <c r="E131" t="s">
        <v>1149</v>
      </c>
      <c r="F131" t="str" cm="1">
        <f t="array" ref="F131">_xlfn.IFS(
E131="Ahmedabad","Gujarat",
E131="Bengaluru","Karnataka",
E131="Bhopal","Madhya Pradesh",
E131="Bhubaneswar","Odisha",
E131="Chandigarh","Chandigarh",
E131="Chennai","Tamil Nadu",
E131="Delhi","Delhi",
E131="Guwahati","Assam",
E131="Hyderabad","Telangana",
E131="Indore","Madhya Pradesh",
E131="Jaipur","Rajasthan",
E131="Kochi","Kerala",
E131="Kolkata","West Bengal",
E131="Lucknow","Uttar Pradesh",
E131="Mumbai","Maharashtra",
E131="Nagpur","Maharashtra",
E131="Patna","Bihar",
E131="Pune","Maharashtra",
E131="Raipur","Chhattisgarh",
E131="Surat","Gujarat",
TRUE,"Not Found"
)</f>
        <v>Uttar Pradesh</v>
      </c>
      <c r="G131" t="s">
        <v>1187</v>
      </c>
      <c r="H131" t="s">
        <v>1167</v>
      </c>
      <c r="I131" t="s">
        <v>1168</v>
      </c>
      <c r="J131" t="s">
        <v>1169</v>
      </c>
      <c r="K131" t="s">
        <v>1170</v>
      </c>
      <c r="L131">
        <v>1</v>
      </c>
      <c r="M131">
        <v>4469</v>
      </c>
      <c r="N131">
        <v>0.1</v>
      </c>
      <c r="O131">
        <v>4022.1</v>
      </c>
      <c r="P131">
        <v>0.12</v>
      </c>
      <c r="Q131">
        <v>4022.1</v>
      </c>
      <c r="R131">
        <v>482.65199999999999</v>
      </c>
      <c r="S131">
        <v>4504.7519999999986</v>
      </c>
      <c r="T131">
        <f>ROUND(Table2[[#This Row],[TotalAmount]],0)</f>
        <v>4505</v>
      </c>
      <c r="U131" t="s">
        <v>1363</v>
      </c>
      <c r="V131" t="s">
        <v>1361</v>
      </c>
      <c r="W131" s="4">
        <v>45589</v>
      </c>
      <c r="X131" s="4">
        <v>45591</v>
      </c>
      <c r="Y131" t="b">
        <v>0</v>
      </c>
      <c r="Z131" t="s">
        <v>1412</v>
      </c>
      <c r="AA131" t="s">
        <v>1412</v>
      </c>
      <c r="AB131" t="s">
        <v>1412</v>
      </c>
      <c r="AC131" t="s">
        <v>1392</v>
      </c>
      <c r="AD131" t="s">
        <v>1394</v>
      </c>
      <c r="AE131" t="s">
        <v>1389</v>
      </c>
    </row>
    <row r="132" spans="1:31" x14ac:dyDescent="0.3">
      <c r="A132" t="s">
        <v>225</v>
      </c>
      <c r="B132" s="4">
        <v>45690.419444444437</v>
      </c>
      <c r="C132" t="s">
        <v>117</v>
      </c>
      <c r="D132" t="s">
        <v>1141</v>
      </c>
      <c r="E132" t="s">
        <v>1285</v>
      </c>
      <c r="F132" t="str" cm="1">
        <f t="array" ref="F132">_xlfn.IFS(
E132="Ahmedabad","Gujarat",
E132="Bengaluru","Karnataka",
E132="Bhopal","Madhya Pradesh",
E132="Bhubaneswar","Odisha",
E132="Chandigarh","Chandigarh",
E132="Chennai","Tamil Nadu",
E132="Delhi","Delhi",
E132="Guwahati","Assam",
E132="Hyderabad","Telangana",
E132="Indore","Madhya Pradesh",
E132="Jaipur","Rajasthan",
E132="Kochi","Kerala",
E132="Kolkata","West Bengal",
E132="Lucknow","Uttar Pradesh",
E132="Mumbai","Maharashtra",
E132="Nagpur","Maharashtra",
E132="Patna","Bihar",
E132="Pune","Maharashtra",
E132="Raipur","Chhattisgarh",
E132="Surat","Gujarat",
TRUE,"Not Found"
)</f>
        <v>Assam</v>
      </c>
      <c r="G132" t="s">
        <v>1143</v>
      </c>
      <c r="H132" t="s">
        <v>1144</v>
      </c>
      <c r="I132" t="s">
        <v>1159</v>
      </c>
      <c r="J132" t="s">
        <v>1160</v>
      </c>
      <c r="K132" t="s">
        <v>1161</v>
      </c>
      <c r="L132">
        <v>1</v>
      </c>
      <c r="M132">
        <v>2729</v>
      </c>
      <c r="N132">
        <v>0</v>
      </c>
      <c r="O132">
        <v>2729</v>
      </c>
      <c r="P132">
        <v>0.18</v>
      </c>
      <c r="Q132">
        <v>2729</v>
      </c>
      <c r="R132">
        <v>491.22</v>
      </c>
      <c r="S132">
        <v>3220.22</v>
      </c>
      <c r="T132">
        <f>ROUND(Table2[[#This Row],[TotalAmount]],0)</f>
        <v>3220</v>
      </c>
      <c r="U132" t="s">
        <v>1366</v>
      </c>
      <c r="V132" t="s">
        <v>1368</v>
      </c>
      <c r="W132" s="4">
        <v>45690</v>
      </c>
      <c r="X132" s="4" t="s">
        <v>1412</v>
      </c>
      <c r="Y132" t="b">
        <v>0</v>
      </c>
      <c r="Z132" t="s">
        <v>1412</v>
      </c>
      <c r="AA132" t="s">
        <v>1412</v>
      </c>
      <c r="AB132" t="s">
        <v>1412</v>
      </c>
      <c r="AC132" t="s">
        <v>1384</v>
      </c>
      <c r="AD132" t="s">
        <v>1399</v>
      </c>
      <c r="AE132" t="s">
        <v>1383</v>
      </c>
    </row>
    <row r="133" spans="1:31" x14ac:dyDescent="0.3">
      <c r="A133" t="s">
        <v>226</v>
      </c>
      <c r="B133" s="4">
        <v>45699.585416666669</v>
      </c>
      <c r="C133" t="s">
        <v>227</v>
      </c>
      <c r="D133" t="s">
        <v>1153</v>
      </c>
      <c r="E133" t="s">
        <v>1154</v>
      </c>
      <c r="F133" t="str" cm="1">
        <f t="array" ref="F133">_xlfn.IFS(
E133="Ahmedabad","Gujarat",
E133="Bengaluru","Karnataka",
E133="Bhopal","Madhya Pradesh",
E133="Bhubaneswar","Odisha",
E133="Chandigarh","Chandigarh",
E133="Chennai","Tamil Nadu",
E133="Delhi","Delhi",
E133="Guwahati","Assam",
E133="Hyderabad","Telangana",
E133="Indore","Madhya Pradesh",
E133="Jaipur","Rajasthan",
E133="Kochi","Kerala",
E133="Kolkata","West Bengal",
E133="Lucknow","Uttar Pradesh",
E133="Mumbai","Maharashtra",
E133="Nagpur","Maharashtra",
E133="Patna","Bihar",
E133="Pune","Maharashtra",
E133="Raipur","Chhattisgarh",
E133="Surat","Gujarat",
TRUE,"Not Found"
)</f>
        <v>Maharashtra</v>
      </c>
      <c r="G133" t="s">
        <v>1143</v>
      </c>
      <c r="H133" t="s">
        <v>1144</v>
      </c>
      <c r="I133" t="s">
        <v>1269</v>
      </c>
      <c r="J133" t="s">
        <v>1301</v>
      </c>
      <c r="K133" t="s">
        <v>1302</v>
      </c>
      <c r="L133">
        <v>2</v>
      </c>
      <c r="M133">
        <v>1658</v>
      </c>
      <c r="N133">
        <v>0</v>
      </c>
      <c r="O133">
        <v>1658</v>
      </c>
      <c r="P133">
        <v>0.05</v>
      </c>
      <c r="Q133">
        <v>3316</v>
      </c>
      <c r="R133">
        <v>165.8</v>
      </c>
      <c r="S133">
        <v>3481.8</v>
      </c>
      <c r="T133">
        <f>ROUND(Table2[[#This Row],[TotalAmount]],0)</f>
        <v>3482</v>
      </c>
      <c r="U133" t="s">
        <v>1366</v>
      </c>
      <c r="V133" t="s">
        <v>1361</v>
      </c>
      <c r="W133" s="4">
        <v>45701</v>
      </c>
      <c r="X133" s="4">
        <v>45706</v>
      </c>
      <c r="Y133" t="b">
        <v>0</v>
      </c>
      <c r="Z133" t="s">
        <v>1412</v>
      </c>
      <c r="AA133" t="s">
        <v>1412</v>
      </c>
      <c r="AB133" t="s">
        <v>1412</v>
      </c>
      <c r="AC133" t="s">
        <v>1384</v>
      </c>
      <c r="AD133" t="s">
        <v>1394</v>
      </c>
      <c r="AE133" t="s">
        <v>1389</v>
      </c>
    </row>
    <row r="134" spans="1:31" x14ac:dyDescent="0.3">
      <c r="A134" t="s">
        <v>228</v>
      </c>
      <c r="B134" s="4">
        <v>45570.647222222222</v>
      </c>
      <c r="C134" t="s">
        <v>229</v>
      </c>
      <c r="D134" t="s">
        <v>1148</v>
      </c>
      <c r="E134" t="s">
        <v>1149</v>
      </c>
      <c r="F134" t="str" cm="1">
        <f t="array" ref="F134">_xlfn.IFS(
E134="Ahmedabad","Gujarat",
E134="Bengaluru","Karnataka",
E134="Bhopal","Madhya Pradesh",
E134="Bhubaneswar","Odisha",
E134="Chandigarh","Chandigarh",
E134="Chennai","Tamil Nadu",
E134="Delhi","Delhi",
E134="Guwahati","Assam",
E134="Hyderabad","Telangana",
E134="Indore","Madhya Pradesh",
E134="Jaipur","Rajasthan",
E134="Kochi","Kerala",
E134="Kolkata","West Bengal",
E134="Lucknow","Uttar Pradesh",
E134="Mumbai","Maharashtra",
E134="Nagpur","Maharashtra",
E134="Patna","Bihar",
E134="Pune","Maharashtra",
E134="Raipur","Chhattisgarh",
E134="Surat","Gujarat",
TRUE,"Not Found"
)</f>
        <v>Uttar Pradesh</v>
      </c>
      <c r="G134" t="s">
        <v>1143</v>
      </c>
      <c r="H134" t="s">
        <v>1172</v>
      </c>
      <c r="I134" t="s">
        <v>1188</v>
      </c>
      <c r="J134" t="s">
        <v>1258</v>
      </c>
      <c r="K134" t="s">
        <v>1259</v>
      </c>
      <c r="L134">
        <v>1</v>
      </c>
      <c r="M134">
        <v>843</v>
      </c>
      <c r="N134">
        <v>0</v>
      </c>
      <c r="O134">
        <v>843</v>
      </c>
      <c r="P134">
        <v>0.12</v>
      </c>
      <c r="Q134">
        <v>843</v>
      </c>
      <c r="R134">
        <v>101.16</v>
      </c>
      <c r="S134">
        <v>944.16</v>
      </c>
      <c r="T134">
        <f>ROUND(Table2[[#This Row],[TotalAmount]],0)</f>
        <v>944</v>
      </c>
      <c r="U134" t="s">
        <v>1363</v>
      </c>
      <c r="V134" t="s">
        <v>1361</v>
      </c>
      <c r="W134" s="4">
        <v>45572</v>
      </c>
      <c r="X134" s="4">
        <v>45577</v>
      </c>
      <c r="Y134" t="b">
        <v>0</v>
      </c>
      <c r="Z134" t="s">
        <v>1412</v>
      </c>
      <c r="AA134" t="s">
        <v>1412</v>
      </c>
      <c r="AB134" t="s">
        <v>1412</v>
      </c>
      <c r="AC134" t="s">
        <v>1379</v>
      </c>
      <c r="AD134" t="s">
        <v>1385</v>
      </c>
      <c r="AE134" t="s">
        <v>1378</v>
      </c>
    </row>
    <row r="135" spans="1:31" x14ac:dyDescent="0.3">
      <c r="A135" t="s">
        <v>230</v>
      </c>
      <c r="B135" s="4">
        <v>45611.530555555553</v>
      </c>
      <c r="C135" t="s">
        <v>231</v>
      </c>
      <c r="D135" t="s">
        <v>1157</v>
      </c>
      <c r="E135" t="s">
        <v>1249</v>
      </c>
      <c r="F135" t="str" cm="1">
        <f t="array" ref="F135">_xlfn.IFS(
E135="Ahmedabad","Gujarat",
E135="Bengaluru","Karnataka",
E135="Bhopal","Madhya Pradesh",
E135="Bhubaneswar","Odisha",
E135="Chandigarh","Chandigarh",
E135="Chennai","Tamil Nadu",
E135="Delhi","Delhi",
E135="Guwahati","Assam",
E135="Hyderabad","Telangana",
E135="Indore","Madhya Pradesh",
E135="Jaipur","Rajasthan",
E135="Kochi","Kerala",
E135="Kolkata","West Bengal",
E135="Lucknow","Uttar Pradesh",
E135="Mumbai","Maharashtra",
E135="Nagpur","Maharashtra",
E135="Patna","Bihar",
E135="Pune","Maharashtra",
E135="Raipur","Chhattisgarh",
E135="Surat","Gujarat",
TRUE,"Not Found"
)</f>
        <v>Maharashtra</v>
      </c>
      <c r="G135" t="s">
        <v>1143</v>
      </c>
      <c r="H135" t="s">
        <v>1172</v>
      </c>
      <c r="I135" t="s">
        <v>1188</v>
      </c>
      <c r="J135" t="s">
        <v>1232</v>
      </c>
      <c r="K135" t="s">
        <v>1233</v>
      </c>
      <c r="L135">
        <v>1</v>
      </c>
      <c r="M135">
        <v>656</v>
      </c>
      <c r="N135">
        <v>0</v>
      </c>
      <c r="O135">
        <v>656</v>
      </c>
      <c r="P135">
        <v>0.12</v>
      </c>
      <c r="Q135">
        <v>656</v>
      </c>
      <c r="R135">
        <v>78.72</v>
      </c>
      <c r="S135">
        <v>734.72</v>
      </c>
      <c r="T135">
        <f>ROUND(Table2[[#This Row],[TotalAmount]],0)</f>
        <v>735</v>
      </c>
      <c r="U135" t="s">
        <v>1360</v>
      </c>
      <c r="V135" t="s">
        <v>1361</v>
      </c>
      <c r="W135" s="4">
        <v>45612</v>
      </c>
      <c r="X135" s="4">
        <v>45617</v>
      </c>
      <c r="Y135" t="b">
        <v>0</v>
      </c>
      <c r="Z135" t="s">
        <v>1412</v>
      </c>
      <c r="AA135" t="s">
        <v>1412</v>
      </c>
      <c r="AB135" t="s">
        <v>1412</v>
      </c>
      <c r="AC135" t="s">
        <v>1398</v>
      </c>
      <c r="AD135" t="s">
        <v>1399</v>
      </c>
      <c r="AE135" t="s">
        <v>1393</v>
      </c>
    </row>
    <row r="136" spans="1:31" x14ac:dyDescent="0.3">
      <c r="A136" t="s">
        <v>232</v>
      </c>
      <c r="B136" s="4">
        <v>45335.681250000001</v>
      </c>
      <c r="C136" t="s">
        <v>233</v>
      </c>
      <c r="D136" t="s">
        <v>1153</v>
      </c>
      <c r="E136" t="s">
        <v>1154</v>
      </c>
      <c r="F136" t="str" cm="1">
        <f t="array" ref="F136">_xlfn.IFS(
E136="Ahmedabad","Gujarat",
E136="Bengaluru","Karnataka",
E136="Bhopal","Madhya Pradesh",
E136="Bhubaneswar","Odisha",
E136="Chandigarh","Chandigarh",
E136="Chennai","Tamil Nadu",
E136="Delhi","Delhi",
E136="Guwahati","Assam",
E136="Hyderabad","Telangana",
E136="Indore","Madhya Pradesh",
E136="Jaipur","Rajasthan",
E136="Kochi","Kerala",
E136="Kolkata","West Bengal",
E136="Lucknow","Uttar Pradesh",
E136="Mumbai","Maharashtra",
E136="Nagpur","Maharashtra",
E136="Patna","Bihar",
E136="Pune","Maharashtra",
E136="Raipur","Chhattisgarh",
E136="Surat","Gujarat",
TRUE,"Not Found"
)</f>
        <v>Maharashtra</v>
      </c>
      <c r="G136" t="s">
        <v>1150</v>
      </c>
      <c r="H136" t="s">
        <v>1163</v>
      </c>
      <c r="I136" t="s">
        <v>1224</v>
      </c>
      <c r="J136" t="s">
        <v>1316</v>
      </c>
      <c r="K136" t="s">
        <v>1317</v>
      </c>
      <c r="L136">
        <v>3</v>
      </c>
      <c r="M136">
        <v>623</v>
      </c>
      <c r="N136">
        <v>0</v>
      </c>
      <c r="O136">
        <v>623</v>
      </c>
      <c r="P136">
        <v>0.18</v>
      </c>
      <c r="Q136">
        <v>1869</v>
      </c>
      <c r="R136">
        <v>336.42</v>
      </c>
      <c r="S136">
        <v>2205.42</v>
      </c>
      <c r="T136">
        <f>ROUND(Table2[[#This Row],[TotalAmount]],0)</f>
        <v>2205</v>
      </c>
      <c r="U136" t="s">
        <v>1362</v>
      </c>
      <c r="V136" t="s">
        <v>1361</v>
      </c>
      <c r="W136" s="4">
        <v>45336</v>
      </c>
      <c r="X136" s="4">
        <v>45337</v>
      </c>
      <c r="Y136" t="b">
        <v>0</v>
      </c>
      <c r="Z136" t="s">
        <v>1412</v>
      </c>
      <c r="AA136" t="s">
        <v>1412</v>
      </c>
      <c r="AB136" t="s">
        <v>1412</v>
      </c>
      <c r="AC136" t="s">
        <v>1396</v>
      </c>
      <c r="AD136" t="s">
        <v>1400</v>
      </c>
      <c r="AE136" t="s">
        <v>1380</v>
      </c>
    </row>
    <row r="137" spans="1:31" x14ac:dyDescent="0.3">
      <c r="A137" t="s">
        <v>234</v>
      </c>
      <c r="B137" s="4">
        <v>45691.489583333343</v>
      </c>
      <c r="C137" t="s">
        <v>235</v>
      </c>
      <c r="D137" t="s">
        <v>1157</v>
      </c>
      <c r="E137" t="s">
        <v>1158</v>
      </c>
      <c r="F137" t="str" cm="1">
        <f t="array" ref="F137">_xlfn.IFS(
E137="Ahmedabad","Gujarat",
E137="Bengaluru","Karnataka",
E137="Bhopal","Madhya Pradesh",
E137="Bhubaneswar","Odisha",
E137="Chandigarh","Chandigarh",
E137="Chennai","Tamil Nadu",
E137="Delhi","Delhi",
E137="Guwahati","Assam",
E137="Hyderabad","Telangana",
E137="Indore","Madhya Pradesh",
E137="Jaipur","Rajasthan",
E137="Kochi","Kerala",
E137="Kolkata","West Bengal",
E137="Lucknow","Uttar Pradesh",
E137="Mumbai","Maharashtra",
E137="Nagpur","Maharashtra",
E137="Patna","Bihar",
E137="Pune","Maharashtra",
E137="Raipur","Chhattisgarh",
E137="Surat","Gujarat",
TRUE,"Not Found"
)</f>
        <v>Gujarat</v>
      </c>
      <c r="G137" t="s">
        <v>1150</v>
      </c>
      <c r="H137" t="s">
        <v>1163</v>
      </c>
      <c r="I137" t="s">
        <v>1164</v>
      </c>
      <c r="J137" t="s">
        <v>1318</v>
      </c>
      <c r="K137" t="s">
        <v>1319</v>
      </c>
      <c r="L137">
        <v>2</v>
      </c>
      <c r="M137">
        <v>310</v>
      </c>
      <c r="N137">
        <v>0.05</v>
      </c>
      <c r="O137">
        <v>294.5</v>
      </c>
      <c r="P137">
        <v>0.18</v>
      </c>
      <c r="Q137">
        <v>589</v>
      </c>
      <c r="R137">
        <v>106.02</v>
      </c>
      <c r="S137">
        <v>695.02</v>
      </c>
      <c r="T137">
        <f>ROUND(Table2[[#This Row],[TotalAmount]],0)</f>
        <v>695</v>
      </c>
      <c r="U137" t="s">
        <v>1363</v>
      </c>
      <c r="V137" t="s">
        <v>1361</v>
      </c>
      <c r="W137" s="4">
        <v>45692</v>
      </c>
      <c r="X137" s="4">
        <v>45697</v>
      </c>
      <c r="Y137" t="b">
        <v>0</v>
      </c>
      <c r="Z137" t="s">
        <v>1412</v>
      </c>
      <c r="AA137" t="s">
        <v>1412</v>
      </c>
      <c r="AB137" t="s">
        <v>1412</v>
      </c>
      <c r="AC137" t="s">
        <v>1379</v>
      </c>
      <c r="AD137" t="s">
        <v>1394</v>
      </c>
      <c r="AE137" t="s">
        <v>1393</v>
      </c>
    </row>
    <row r="138" spans="1:31" x14ac:dyDescent="0.3">
      <c r="A138" t="s">
        <v>236</v>
      </c>
      <c r="B138" s="4">
        <v>45390.510416666657</v>
      </c>
      <c r="C138" t="s">
        <v>237</v>
      </c>
      <c r="D138" t="s">
        <v>1182</v>
      </c>
      <c r="E138" t="s">
        <v>1183</v>
      </c>
      <c r="F138" t="str" cm="1">
        <f t="array" ref="F138">_xlfn.IFS(
E138="Ahmedabad","Gujarat",
E138="Bengaluru","Karnataka",
E138="Bhopal","Madhya Pradesh",
E138="Bhubaneswar","Odisha",
E138="Chandigarh","Chandigarh",
E138="Chennai","Tamil Nadu",
E138="Delhi","Delhi",
E138="Guwahati","Assam",
E138="Hyderabad","Telangana",
E138="Indore","Madhya Pradesh",
E138="Jaipur","Rajasthan",
E138="Kochi","Kerala",
E138="Kolkata","West Bengal",
E138="Lucknow","Uttar Pradesh",
E138="Mumbai","Maharashtra",
E138="Nagpur","Maharashtra",
E138="Patna","Bihar",
E138="Pune","Maharashtra",
E138="Raipur","Chhattisgarh",
E138="Surat","Gujarat",
TRUE,"Not Found"
)</f>
        <v>Telangana</v>
      </c>
      <c r="G138" t="s">
        <v>1143</v>
      </c>
      <c r="H138" t="s">
        <v>1163</v>
      </c>
      <c r="I138" t="s">
        <v>1184</v>
      </c>
      <c r="J138" t="s">
        <v>1185</v>
      </c>
      <c r="K138" t="s">
        <v>1186</v>
      </c>
      <c r="L138">
        <v>1</v>
      </c>
      <c r="M138">
        <v>217</v>
      </c>
      <c r="N138">
        <v>0.15</v>
      </c>
      <c r="O138">
        <v>184.45</v>
      </c>
      <c r="P138">
        <v>0.12</v>
      </c>
      <c r="Q138">
        <v>184.45</v>
      </c>
      <c r="R138">
        <v>22.134</v>
      </c>
      <c r="S138">
        <v>206.584</v>
      </c>
      <c r="T138">
        <f>ROUND(Table2[[#This Row],[TotalAmount]],0)</f>
        <v>207</v>
      </c>
      <c r="U138" t="s">
        <v>1362</v>
      </c>
      <c r="V138" t="s">
        <v>1361</v>
      </c>
      <c r="W138" s="4">
        <v>45390</v>
      </c>
      <c r="X138" s="4">
        <v>45393</v>
      </c>
      <c r="Y138" t="b">
        <v>0</v>
      </c>
      <c r="Z138" t="s">
        <v>1412</v>
      </c>
      <c r="AA138" t="s">
        <v>1412</v>
      </c>
      <c r="AB138" t="s">
        <v>1412</v>
      </c>
      <c r="AC138" t="s">
        <v>1379</v>
      </c>
      <c r="AD138" t="s">
        <v>1394</v>
      </c>
      <c r="AE138" t="s">
        <v>1383</v>
      </c>
    </row>
    <row r="139" spans="1:31" x14ac:dyDescent="0.3">
      <c r="A139" t="s">
        <v>238</v>
      </c>
      <c r="B139" s="4">
        <v>45299.603472222218</v>
      </c>
      <c r="C139" t="s">
        <v>239</v>
      </c>
      <c r="D139" t="s">
        <v>1153</v>
      </c>
      <c r="E139" t="s">
        <v>1162</v>
      </c>
      <c r="F139" t="str" cm="1">
        <f t="array" ref="F139">_xlfn.IFS(
E139="Ahmedabad","Gujarat",
E139="Bengaluru","Karnataka",
E139="Bhopal","Madhya Pradesh",
E139="Bhubaneswar","Odisha",
E139="Chandigarh","Chandigarh",
E139="Chennai","Tamil Nadu",
E139="Delhi","Delhi",
E139="Guwahati","Assam",
E139="Hyderabad","Telangana",
E139="Indore","Madhya Pradesh",
E139="Jaipur","Rajasthan",
E139="Kochi","Kerala",
E139="Kolkata","West Bengal",
E139="Lucknow","Uttar Pradesh",
E139="Mumbai","Maharashtra",
E139="Nagpur","Maharashtra",
E139="Patna","Bihar",
E139="Pune","Maharashtra",
E139="Raipur","Chhattisgarh",
E139="Surat","Gujarat",
TRUE,"Not Found"
)</f>
        <v>Madhya Pradesh</v>
      </c>
      <c r="G139" t="s">
        <v>1143</v>
      </c>
      <c r="H139" t="s">
        <v>1177</v>
      </c>
      <c r="I139" t="s">
        <v>1236</v>
      </c>
      <c r="J139" t="s">
        <v>1254</v>
      </c>
      <c r="K139" t="s">
        <v>1255</v>
      </c>
      <c r="L139">
        <v>3</v>
      </c>
      <c r="M139">
        <v>1957</v>
      </c>
      <c r="N139">
        <v>0.15</v>
      </c>
      <c r="O139">
        <v>1663.45</v>
      </c>
      <c r="P139">
        <v>0.12</v>
      </c>
      <c r="Q139">
        <v>4990.3500000000004</v>
      </c>
      <c r="R139">
        <v>598.84199999999998</v>
      </c>
      <c r="S139">
        <v>5589.192</v>
      </c>
      <c r="T139">
        <f>ROUND(Table2[[#This Row],[TotalAmount]],0)</f>
        <v>5589</v>
      </c>
      <c r="U139" t="s">
        <v>1360</v>
      </c>
      <c r="V139" t="s">
        <v>1369</v>
      </c>
      <c r="W139" s="4" t="s">
        <v>1412</v>
      </c>
      <c r="X139" s="4" t="s">
        <v>1412</v>
      </c>
      <c r="Y139" t="b">
        <v>0</v>
      </c>
      <c r="Z139" t="s">
        <v>1412</v>
      </c>
      <c r="AA139" t="s">
        <v>1412</v>
      </c>
      <c r="AB139" t="s">
        <v>1412</v>
      </c>
      <c r="AC139" t="s">
        <v>1392</v>
      </c>
      <c r="AD139" t="s">
        <v>1387</v>
      </c>
      <c r="AE139" t="s">
        <v>1383</v>
      </c>
    </row>
    <row r="140" spans="1:31" x14ac:dyDescent="0.3">
      <c r="A140" t="s">
        <v>240</v>
      </c>
      <c r="B140" s="4">
        <v>45712.553472222222</v>
      </c>
      <c r="C140" t="s">
        <v>241</v>
      </c>
      <c r="D140" t="s">
        <v>1182</v>
      </c>
      <c r="E140" t="s">
        <v>1183</v>
      </c>
      <c r="F140" t="str" cm="1">
        <f t="array" ref="F140">_xlfn.IFS(
E140="Ahmedabad","Gujarat",
E140="Bengaluru","Karnataka",
E140="Bhopal","Madhya Pradesh",
E140="Bhubaneswar","Odisha",
E140="Chandigarh","Chandigarh",
E140="Chennai","Tamil Nadu",
E140="Delhi","Delhi",
E140="Guwahati","Assam",
E140="Hyderabad","Telangana",
E140="Indore","Madhya Pradesh",
E140="Jaipur","Rajasthan",
E140="Kochi","Kerala",
E140="Kolkata","West Bengal",
E140="Lucknow","Uttar Pradesh",
E140="Mumbai","Maharashtra",
E140="Nagpur","Maharashtra",
E140="Patna","Bihar",
E140="Pune","Maharashtra",
E140="Raipur","Chhattisgarh",
E140="Surat","Gujarat",
TRUE,"Not Found"
)</f>
        <v>Telangana</v>
      </c>
      <c r="G140" t="s">
        <v>1228</v>
      </c>
      <c r="H140" t="s">
        <v>1177</v>
      </c>
      <c r="I140" t="s">
        <v>1195</v>
      </c>
      <c r="J140" t="s">
        <v>1202</v>
      </c>
      <c r="K140" t="s">
        <v>1203</v>
      </c>
      <c r="L140">
        <v>1</v>
      </c>
      <c r="M140">
        <v>2547</v>
      </c>
      <c r="N140">
        <v>0.05</v>
      </c>
      <c r="O140">
        <v>2419.65</v>
      </c>
      <c r="P140">
        <v>0.18</v>
      </c>
      <c r="Q140">
        <v>2419.65</v>
      </c>
      <c r="R140">
        <v>435.53699999999998</v>
      </c>
      <c r="S140">
        <v>2855.1869999999999</v>
      </c>
      <c r="T140">
        <f>ROUND(Table2[[#This Row],[TotalAmount]],0)</f>
        <v>2855</v>
      </c>
      <c r="U140" t="s">
        <v>1362</v>
      </c>
      <c r="V140" t="s">
        <v>1361</v>
      </c>
      <c r="W140" s="4">
        <v>45714</v>
      </c>
      <c r="X140" s="4">
        <v>45717</v>
      </c>
      <c r="Y140" t="b">
        <v>0</v>
      </c>
      <c r="Z140" t="s">
        <v>1412</v>
      </c>
      <c r="AA140" t="s">
        <v>1412</v>
      </c>
      <c r="AB140" t="s">
        <v>1412</v>
      </c>
      <c r="AC140" t="s">
        <v>1388</v>
      </c>
      <c r="AD140" t="s">
        <v>1394</v>
      </c>
      <c r="AE140" t="s">
        <v>1391</v>
      </c>
    </row>
    <row r="141" spans="1:31" x14ac:dyDescent="0.3">
      <c r="A141" t="s">
        <v>242</v>
      </c>
      <c r="B141" s="4">
        <v>45589.496527777781</v>
      </c>
      <c r="C141" t="s">
        <v>243</v>
      </c>
      <c r="D141" t="s">
        <v>1153</v>
      </c>
      <c r="E141" t="s">
        <v>1176</v>
      </c>
      <c r="F141" t="str" cm="1">
        <f t="array" ref="F141">_xlfn.IFS(
E141="Ahmedabad","Gujarat",
E141="Bengaluru","Karnataka",
E141="Bhopal","Madhya Pradesh",
E141="Bhubaneswar","Odisha",
E141="Chandigarh","Chandigarh",
E141="Chennai","Tamil Nadu",
E141="Delhi","Delhi",
E141="Guwahati","Assam",
E141="Hyderabad","Telangana",
E141="Indore","Madhya Pradesh",
E141="Jaipur","Rajasthan",
E141="Kochi","Kerala",
E141="Kolkata","West Bengal",
E141="Lucknow","Uttar Pradesh",
E141="Mumbai","Maharashtra",
E141="Nagpur","Maharashtra",
E141="Patna","Bihar",
E141="Pune","Maharashtra",
E141="Raipur","Chhattisgarh",
E141="Surat","Gujarat",
TRUE,"Not Found"
)</f>
        <v>Chhattisgarh</v>
      </c>
      <c r="G141" t="s">
        <v>1143</v>
      </c>
      <c r="H141" t="s">
        <v>1167</v>
      </c>
      <c r="I141" t="s">
        <v>1288</v>
      </c>
      <c r="J141" t="s">
        <v>1289</v>
      </c>
      <c r="K141" t="s">
        <v>1290</v>
      </c>
      <c r="L141">
        <v>2</v>
      </c>
      <c r="M141">
        <v>46517</v>
      </c>
      <c r="N141">
        <v>0.05</v>
      </c>
      <c r="O141">
        <v>44191.15</v>
      </c>
      <c r="P141">
        <v>0.12</v>
      </c>
      <c r="Q141">
        <v>88382.3</v>
      </c>
      <c r="R141">
        <v>10605.876</v>
      </c>
      <c r="S141">
        <v>98988.176000000007</v>
      </c>
      <c r="T141">
        <f>ROUND(Table2[[#This Row],[TotalAmount]],0)</f>
        <v>98988</v>
      </c>
      <c r="U141" t="s">
        <v>1365</v>
      </c>
      <c r="V141" t="s">
        <v>1361</v>
      </c>
      <c r="W141" s="4">
        <v>45590</v>
      </c>
      <c r="X141" s="4">
        <v>45593</v>
      </c>
      <c r="Y141" t="b">
        <v>0</v>
      </c>
      <c r="Z141" t="s">
        <v>1412</v>
      </c>
      <c r="AA141" t="s">
        <v>1412</v>
      </c>
      <c r="AB141" t="s">
        <v>1412</v>
      </c>
      <c r="AC141" t="s">
        <v>1390</v>
      </c>
      <c r="AD141" t="s">
        <v>1400</v>
      </c>
      <c r="AE141" t="s">
        <v>1383</v>
      </c>
    </row>
    <row r="142" spans="1:31" x14ac:dyDescent="0.3">
      <c r="A142" t="s">
        <v>244</v>
      </c>
      <c r="B142" s="4">
        <v>45429.523611111108</v>
      </c>
      <c r="C142" t="s">
        <v>245</v>
      </c>
      <c r="D142" t="s">
        <v>1182</v>
      </c>
      <c r="E142" t="s">
        <v>1207</v>
      </c>
      <c r="F142" t="str" cm="1">
        <f t="array" ref="F142">_xlfn.IFS(
E142="Ahmedabad","Gujarat",
E142="Bengaluru","Karnataka",
E142="Bhopal","Madhya Pradesh",
E142="Bhubaneswar","Odisha",
E142="Chandigarh","Chandigarh",
E142="Chennai","Tamil Nadu",
E142="Delhi","Delhi",
E142="Guwahati","Assam",
E142="Hyderabad","Telangana",
E142="Indore","Madhya Pradesh",
E142="Jaipur","Rajasthan",
E142="Kochi","Kerala",
E142="Kolkata","West Bengal",
E142="Lucknow","Uttar Pradesh",
E142="Mumbai","Maharashtra",
E142="Nagpur","Maharashtra",
E142="Patna","Bihar",
E142="Pune","Maharashtra",
E142="Raipur","Chhattisgarh",
E142="Surat","Gujarat",
TRUE,"Not Found"
)</f>
        <v>Tamil Nadu</v>
      </c>
      <c r="G142" t="s">
        <v>1143</v>
      </c>
      <c r="H142" t="s">
        <v>1177</v>
      </c>
      <c r="I142" t="s">
        <v>1195</v>
      </c>
      <c r="J142" t="s">
        <v>1196</v>
      </c>
      <c r="K142" t="s">
        <v>1197</v>
      </c>
      <c r="L142">
        <v>1</v>
      </c>
      <c r="M142">
        <v>2791</v>
      </c>
      <c r="N142">
        <v>0</v>
      </c>
      <c r="O142">
        <v>2791</v>
      </c>
      <c r="P142">
        <v>0.12</v>
      </c>
      <c r="Q142">
        <v>2791</v>
      </c>
      <c r="R142">
        <v>334.92</v>
      </c>
      <c r="S142">
        <v>3125.92</v>
      </c>
      <c r="T142">
        <f>ROUND(Table2[[#This Row],[TotalAmount]],0)</f>
        <v>3126</v>
      </c>
      <c r="U142" t="s">
        <v>1362</v>
      </c>
      <c r="V142" t="s">
        <v>1367</v>
      </c>
      <c r="W142" s="4">
        <v>45430</v>
      </c>
      <c r="X142" s="4" t="s">
        <v>1412</v>
      </c>
      <c r="Y142" t="b">
        <v>0</v>
      </c>
      <c r="Z142" t="s">
        <v>1412</v>
      </c>
      <c r="AA142" t="s">
        <v>1412</v>
      </c>
      <c r="AB142" t="s">
        <v>1412</v>
      </c>
      <c r="AC142" t="s">
        <v>1379</v>
      </c>
      <c r="AD142" t="s">
        <v>1387</v>
      </c>
      <c r="AE142" t="s">
        <v>1395</v>
      </c>
    </row>
    <row r="143" spans="1:31" x14ac:dyDescent="0.3">
      <c r="A143" t="s">
        <v>246</v>
      </c>
      <c r="B143" s="4">
        <v>45305.689583333333</v>
      </c>
      <c r="C143" t="s">
        <v>247</v>
      </c>
      <c r="D143" t="s">
        <v>1141</v>
      </c>
      <c r="E143" t="s">
        <v>1227</v>
      </c>
      <c r="F143" t="str" cm="1">
        <f t="array" ref="F143">_xlfn.IFS(
E143="Ahmedabad","Gujarat",
E143="Bengaluru","Karnataka",
E143="Bhopal","Madhya Pradesh",
E143="Bhubaneswar","Odisha",
E143="Chandigarh","Chandigarh",
E143="Chennai","Tamil Nadu",
E143="Delhi","Delhi",
E143="Guwahati","Assam",
E143="Hyderabad","Telangana",
E143="Indore","Madhya Pradesh",
E143="Jaipur","Rajasthan",
E143="Kochi","Kerala",
E143="Kolkata","West Bengal",
E143="Lucknow","Uttar Pradesh",
E143="Mumbai","Maharashtra",
E143="Nagpur","Maharashtra",
E143="Patna","Bihar",
E143="Pune","Maharashtra",
E143="Raipur","Chhattisgarh",
E143="Surat","Gujarat",
TRUE,"Not Found"
)</f>
        <v>Bihar</v>
      </c>
      <c r="G143" t="s">
        <v>1150</v>
      </c>
      <c r="H143" t="s">
        <v>1172</v>
      </c>
      <c r="I143" t="s">
        <v>1188</v>
      </c>
      <c r="J143" t="s">
        <v>1258</v>
      </c>
      <c r="K143" t="s">
        <v>1259</v>
      </c>
      <c r="L143">
        <v>3</v>
      </c>
      <c r="M143">
        <v>7681</v>
      </c>
      <c r="N143">
        <v>0.05</v>
      </c>
      <c r="O143">
        <v>7296.95</v>
      </c>
      <c r="P143">
        <v>0.18</v>
      </c>
      <c r="Q143">
        <v>21890.85</v>
      </c>
      <c r="R143">
        <v>3940.3530000000001</v>
      </c>
      <c r="S143">
        <v>25831.203000000001</v>
      </c>
      <c r="T143">
        <f>ROUND(Table2[[#This Row],[TotalAmount]],0)</f>
        <v>25831</v>
      </c>
      <c r="U143" t="s">
        <v>1360</v>
      </c>
      <c r="V143" t="s">
        <v>1361</v>
      </c>
      <c r="W143" s="4">
        <v>45305</v>
      </c>
      <c r="X143" s="4">
        <v>45306</v>
      </c>
      <c r="Y143" t="b">
        <v>0</v>
      </c>
      <c r="Z143" t="s">
        <v>1412</v>
      </c>
      <c r="AA143" t="s">
        <v>1412</v>
      </c>
      <c r="AB143" t="s">
        <v>1412</v>
      </c>
      <c r="AC143" t="s">
        <v>1384</v>
      </c>
      <c r="AD143" t="s">
        <v>1385</v>
      </c>
      <c r="AE143" t="s">
        <v>1383</v>
      </c>
    </row>
    <row r="144" spans="1:31" x14ac:dyDescent="0.3">
      <c r="A144" t="s">
        <v>248</v>
      </c>
      <c r="B144" s="4">
        <v>45539.495138888888</v>
      </c>
      <c r="C144" t="s">
        <v>169</v>
      </c>
      <c r="D144" t="s">
        <v>1148</v>
      </c>
      <c r="E144" t="s">
        <v>1149</v>
      </c>
      <c r="F144" t="str" cm="1">
        <f t="array" ref="F144">_xlfn.IFS(
E144="Ahmedabad","Gujarat",
E144="Bengaluru","Karnataka",
E144="Bhopal","Madhya Pradesh",
E144="Bhubaneswar","Odisha",
E144="Chandigarh","Chandigarh",
E144="Chennai","Tamil Nadu",
E144="Delhi","Delhi",
E144="Guwahati","Assam",
E144="Hyderabad","Telangana",
E144="Indore","Madhya Pradesh",
E144="Jaipur","Rajasthan",
E144="Kochi","Kerala",
E144="Kolkata","West Bengal",
E144="Lucknow","Uttar Pradesh",
E144="Mumbai","Maharashtra",
E144="Nagpur","Maharashtra",
E144="Patna","Bihar",
E144="Pune","Maharashtra",
E144="Raipur","Chhattisgarh",
E144="Surat","Gujarat",
TRUE,"Not Found"
)</f>
        <v>Uttar Pradesh</v>
      </c>
      <c r="G144" t="s">
        <v>1187</v>
      </c>
      <c r="H144" t="s">
        <v>1172</v>
      </c>
      <c r="I144" t="s">
        <v>1173</v>
      </c>
      <c r="J144" t="s">
        <v>1174</v>
      </c>
      <c r="K144" t="s">
        <v>1175</v>
      </c>
      <c r="L144">
        <v>1</v>
      </c>
      <c r="M144">
        <v>2593</v>
      </c>
      <c r="N144">
        <v>0</v>
      </c>
      <c r="O144">
        <v>2593</v>
      </c>
      <c r="P144">
        <v>0.12</v>
      </c>
      <c r="Q144">
        <v>2593</v>
      </c>
      <c r="R144">
        <v>311.16000000000003</v>
      </c>
      <c r="S144">
        <v>2904.16</v>
      </c>
      <c r="T144">
        <f>ROUND(Table2[[#This Row],[TotalAmount]],0)</f>
        <v>2904</v>
      </c>
      <c r="U144" t="s">
        <v>1360</v>
      </c>
      <c r="V144" t="s">
        <v>1368</v>
      </c>
      <c r="W144" s="4">
        <v>45539</v>
      </c>
      <c r="X144" s="4" t="s">
        <v>1412</v>
      </c>
      <c r="Y144" t="b">
        <v>0</v>
      </c>
      <c r="Z144" t="s">
        <v>1412</v>
      </c>
      <c r="AA144" t="s">
        <v>1412</v>
      </c>
      <c r="AB144" t="s">
        <v>1412</v>
      </c>
      <c r="AC144" t="s">
        <v>1388</v>
      </c>
      <c r="AD144" t="s">
        <v>1394</v>
      </c>
      <c r="AE144" t="s">
        <v>1391</v>
      </c>
    </row>
    <row r="145" spans="1:31" x14ac:dyDescent="0.3">
      <c r="A145" t="s">
        <v>249</v>
      </c>
      <c r="B145" s="4">
        <v>45582.355555555558</v>
      </c>
      <c r="C145" t="s">
        <v>124</v>
      </c>
      <c r="D145" t="s">
        <v>1153</v>
      </c>
      <c r="E145" t="s">
        <v>1191</v>
      </c>
      <c r="F145" t="str" cm="1">
        <f t="array" ref="F145">_xlfn.IFS(
E145="Ahmedabad","Gujarat",
E145="Bengaluru","Karnataka",
E145="Bhopal","Madhya Pradesh",
E145="Bhubaneswar","Odisha",
E145="Chandigarh","Chandigarh",
E145="Chennai","Tamil Nadu",
E145="Delhi","Delhi",
E145="Guwahati","Assam",
E145="Hyderabad","Telangana",
E145="Indore","Madhya Pradesh",
E145="Jaipur","Rajasthan",
E145="Kochi","Kerala",
E145="Kolkata","West Bengal",
E145="Lucknow","Uttar Pradesh",
E145="Mumbai","Maharashtra",
E145="Nagpur","Maharashtra",
E145="Patna","Bihar",
E145="Pune","Maharashtra",
E145="Raipur","Chhattisgarh",
E145="Surat","Gujarat",
TRUE,"Not Found"
)</f>
        <v>Madhya Pradesh</v>
      </c>
      <c r="G145" t="s">
        <v>1228</v>
      </c>
      <c r="H145" t="s">
        <v>1177</v>
      </c>
      <c r="I145" t="s">
        <v>1195</v>
      </c>
      <c r="J145" t="s">
        <v>1218</v>
      </c>
      <c r="K145" t="s">
        <v>1219</v>
      </c>
      <c r="L145">
        <v>3</v>
      </c>
      <c r="M145">
        <v>2988</v>
      </c>
      <c r="N145">
        <v>0.1</v>
      </c>
      <c r="O145">
        <v>2689.2</v>
      </c>
      <c r="P145">
        <v>0.12</v>
      </c>
      <c r="Q145">
        <v>8067.6</v>
      </c>
      <c r="R145">
        <v>968.11199999999997</v>
      </c>
      <c r="S145">
        <v>9035.7119999999995</v>
      </c>
      <c r="T145">
        <f>ROUND(Table2[[#This Row],[TotalAmount]],0)</f>
        <v>9036</v>
      </c>
      <c r="U145" t="s">
        <v>1365</v>
      </c>
      <c r="V145" t="s">
        <v>1361</v>
      </c>
      <c r="W145" s="4">
        <v>45584</v>
      </c>
      <c r="X145" s="4">
        <v>45587</v>
      </c>
      <c r="Y145" t="b">
        <v>0</v>
      </c>
      <c r="Z145" t="s">
        <v>1412</v>
      </c>
      <c r="AA145" t="s">
        <v>1412</v>
      </c>
      <c r="AB145" t="s">
        <v>1412</v>
      </c>
      <c r="AC145" t="s">
        <v>1382</v>
      </c>
      <c r="AD145" t="s">
        <v>1377</v>
      </c>
      <c r="AE145" t="s">
        <v>1378</v>
      </c>
    </row>
    <row r="146" spans="1:31" x14ac:dyDescent="0.3">
      <c r="A146" t="s">
        <v>250</v>
      </c>
      <c r="B146" s="4">
        <v>45345.559027777781</v>
      </c>
      <c r="C146" t="s">
        <v>251</v>
      </c>
      <c r="D146" t="s">
        <v>1148</v>
      </c>
      <c r="E146" t="s">
        <v>1171</v>
      </c>
      <c r="F146" t="str" cm="1">
        <f t="array" ref="F146">_xlfn.IFS(
E146="Ahmedabad","Gujarat",
E146="Bengaluru","Karnataka",
E146="Bhopal","Madhya Pradesh",
E146="Bhubaneswar","Odisha",
E146="Chandigarh","Chandigarh",
E146="Chennai","Tamil Nadu",
E146="Delhi","Delhi",
E146="Guwahati","Assam",
E146="Hyderabad","Telangana",
E146="Indore","Madhya Pradesh",
E146="Jaipur","Rajasthan",
E146="Kochi","Kerala",
E146="Kolkata","West Bengal",
E146="Lucknow","Uttar Pradesh",
E146="Mumbai","Maharashtra",
E146="Nagpur","Maharashtra",
E146="Patna","Bihar",
E146="Pune","Maharashtra",
E146="Raipur","Chhattisgarh",
E146="Surat","Gujarat",
TRUE,"Not Found"
)</f>
        <v>Chandigarh</v>
      </c>
      <c r="G146" t="s">
        <v>1150</v>
      </c>
      <c r="H146" t="s">
        <v>1144</v>
      </c>
      <c r="I146" t="s">
        <v>1214</v>
      </c>
      <c r="J146" t="s">
        <v>1320</v>
      </c>
      <c r="K146" t="s">
        <v>1321</v>
      </c>
      <c r="L146">
        <v>1</v>
      </c>
      <c r="M146">
        <v>2443</v>
      </c>
      <c r="N146">
        <v>0.1</v>
      </c>
      <c r="O146">
        <v>2198.6999999999998</v>
      </c>
      <c r="P146">
        <v>0.05</v>
      </c>
      <c r="Q146">
        <v>2198.6999999999998</v>
      </c>
      <c r="R146">
        <v>109.935</v>
      </c>
      <c r="S146">
        <v>2308.6350000000002</v>
      </c>
      <c r="T146">
        <f>ROUND(Table2[[#This Row],[TotalAmount]],0)</f>
        <v>2309</v>
      </c>
      <c r="U146" t="s">
        <v>1360</v>
      </c>
      <c r="V146" t="s">
        <v>1361</v>
      </c>
      <c r="W146" s="4">
        <v>45347</v>
      </c>
      <c r="X146" s="4">
        <v>45352</v>
      </c>
      <c r="Y146" t="b">
        <v>0</v>
      </c>
      <c r="Z146" t="s">
        <v>1412</v>
      </c>
      <c r="AA146" t="s">
        <v>1412</v>
      </c>
      <c r="AB146" t="s">
        <v>1412</v>
      </c>
      <c r="AC146" t="s">
        <v>1398</v>
      </c>
      <c r="AD146" t="s">
        <v>1377</v>
      </c>
      <c r="AE146" t="s">
        <v>1393</v>
      </c>
    </row>
    <row r="147" spans="1:31" x14ac:dyDescent="0.3">
      <c r="A147" t="s">
        <v>252</v>
      </c>
      <c r="B147" s="4">
        <v>45699.571527777778</v>
      </c>
      <c r="C147" t="s">
        <v>24</v>
      </c>
      <c r="D147" t="s">
        <v>1153</v>
      </c>
      <c r="E147" t="s">
        <v>1154</v>
      </c>
      <c r="F147" t="str" cm="1">
        <f t="array" ref="F147">_xlfn.IFS(
E147="Ahmedabad","Gujarat",
E147="Bengaluru","Karnataka",
E147="Bhopal","Madhya Pradesh",
E147="Bhubaneswar","Odisha",
E147="Chandigarh","Chandigarh",
E147="Chennai","Tamil Nadu",
E147="Delhi","Delhi",
E147="Guwahati","Assam",
E147="Hyderabad","Telangana",
E147="Indore","Madhya Pradesh",
E147="Jaipur","Rajasthan",
E147="Kochi","Kerala",
E147="Kolkata","West Bengal",
E147="Lucknow","Uttar Pradesh",
E147="Mumbai","Maharashtra",
E147="Nagpur","Maharashtra",
E147="Patna","Bihar",
E147="Pune","Maharashtra",
E147="Raipur","Chhattisgarh",
E147="Surat","Gujarat",
TRUE,"Not Found"
)</f>
        <v>Maharashtra</v>
      </c>
      <c r="G147" t="s">
        <v>1143</v>
      </c>
      <c r="H147" t="s">
        <v>1172</v>
      </c>
      <c r="I147" t="s">
        <v>1204</v>
      </c>
      <c r="J147" t="s">
        <v>1297</v>
      </c>
      <c r="K147" t="s">
        <v>1298</v>
      </c>
      <c r="L147">
        <v>2</v>
      </c>
      <c r="M147">
        <v>1529</v>
      </c>
      <c r="N147">
        <v>0.1</v>
      </c>
      <c r="O147">
        <v>1376.1</v>
      </c>
      <c r="P147">
        <v>0.12</v>
      </c>
      <c r="Q147">
        <v>2752.2</v>
      </c>
      <c r="R147">
        <v>330.26400000000001</v>
      </c>
      <c r="S147">
        <v>3082.4639999999999</v>
      </c>
      <c r="T147">
        <f>ROUND(Table2[[#This Row],[TotalAmount]],0)</f>
        <v>3082</v>
      </c>
      <c r="U147" t="s">
        <v>1363</v>
      </c>
      <c r="V147" t="s">
        <v>1361</v>
      </c>
      <c r="W147" s="4">
        <v>45700</v>
      </c>
      <c r="X147" s="4">
        <v>45701</v>
      </c>
      <c r="Y147" t="b">
        <v>0</v>
      </c>
      <c r="Z147" t="s">
        <v>1412</v>
      </c>
      <c r="AA147" t="s">
        <v>1412</v>
      </c>
      <c r="AB147" t="s">
        <v>1412</v>
      </c>
      <c r="AC147" t="s">
        <v>1392</v>
      </c>
      <c r="AD147" t="s">
        <v>1385</v>
      </c>
      <c r="AE147" t="s">
        <v>1389</v>
      </c>
    </row>
    <row r="148" spans="1:31" x14ac:dyDescent="0.3">
      <c r="A148" t="s">
        <v>253</v>
      </c>
      <c r="B148" s="4">
        <v>45668.681250000001</v>
      </c>
      <c r="C148" t="s">
        <v>164</v>
      </c>
      <c r="D148" t="s">
        <v>1157</v>
      </c>
      <c r="E148" t="s">
        <v>1249</v>
      </c>
      <c r="F148" t="str" cm="1">
        <f t="array" ref="F148">_xlfn.IFS(
E148="Ahmedabad","Gujarat",
E148="Bengaluru","Karnataka",
E148="Bhopal","Madhya Pradesh",
E148="Bhubaneswar","Odisha",
E148="Chandigarh","Chandigarh",
E148="Chennai","Tamil Nadu",
E148="Delhi","Delhi",
E148="Guwahati","Assam",
E148="Hyderabad","Telangana",
E148="Indore","Madhya Pradesh",
E148="Jaipur","Rajasthan",
E148="Kochi","Kerala",
E148="Kolkata","West Bengal",
E148="Lucknow","Uttar Pradesh",
E148="Mumbai","Maharashtra",
E148="Nagpur","Maharashtra",
E148="Patna","Bihar",
E148="Pune","Maharashtra",
E148="Raipur","Chhattisgarh",
E148="Surat","Gujarat",
TRUE,"Not Found"
)</f>
        <v>Maharashtra</v>
      </c>
      <c r="G148" t="s">
        <v>1150</v>
      </c>
      <c r="H148" t="s">
        <v>1177</v>
      </c>
      <c r="I148" t="s">
        <v>1309</v>
      </c>
      <c r="J148" t="s">
        <v>1310</v>
      </c>
      <c r="K148" t="s">
        <v>1311</v>
      </c>
      <c r="L148">
        <v>1</v>
      </c>
      <c r="M148">
        <v>1093</v>
      </c>
      <c r="N148">
        <v>0</v>
      </c>
      <c r="O148">
        <v>1093</v>
      </c>
      <c r="P148">
        <v>0.05</v>
      </c>
      <c r="Q148">
        <v>1093</v>
      </c>
      <c r="R148">
        <v>54.650000000000013</v>
      </c>
      <c r="S148">
        <v>1147.6500000000001</v>
      </c>
      <c r="T148">
        <f>ROUND(Table2[[#This Row],[TotalAmount]],0)</f>
        <v>1148</v>
      </c>
      <c r="U148" t="s">
        <v>1360</v>
      </c>
      <c r="V148" t="s">
        <v>1367</v>
      </c>
      <c r="W148" s="4">
        <v>45670</v>
      </c>
      <c r="X148" s="4" t="s">
        <v>1412</v>
      </c>
      <c r="Y148" t="b">
        <v>0</v>
      </c>
      <c r="Z148" t="s">
        <v>1412</v>
      </c>
      <c r="AA148" t="s">
        <v>1412</v>
      </c>
      <c r="AB148" t="s">
        <v>1412</v>
      </c>
      <c r="AC148" t="s">
        <v>1376</v>
      </c>
      <c r="AD148" t="s">
        <v>1397</v>
      </c>
      <c r="AE148" t="s">
        <v>1380</v>
      </c>
    </row>
    <row r="149" spans="1:31" x14ac:dyDescent="0.3">
      <c r="A149" t="s">
        <v>254</v>
      </c>
      <c r="B149" s="4">
        <v>45701.600694444453</v>
      </c>
      <c r="C149" t="s">
        <v>160</v>
      </c>
      <c r="D149" t="s">
        <v>1157</v>
      </c>
      <c r="E149" t="s">
        <v>1201</v>
      </c>
      <c r="F149" t="str" cm="1">
        <f t="array" ref="F149">_xlfn.IFS(
E149="Ahmedabad","Gujarat",
E149="Bengaluru","Karnataka",
E149="Bhopal","Madhya Pradesh",
E149="Bhubaneswar","Odisha",
E149="Chandigarh","Chandigarh",
E149="Chennai","Tamil Nadu",
E149="Delhi","Delhi",
E149="Guwahati","Assam",
E149="Hyderabad","Telangana",
E149="Indore","Madhya Pradesh",
E149="Jaipur","Rajasthan",
E149="Kochi","Kerala",
E149="Kolkata","West Bengal",
E149="Lucknow","Uttar Pradesh",
E149="Mumbai","Maharashtra",
E149="Nagpur","Maharashtra",
E149="Patna","Bihar",
E149="Pune","Maharashtra",
E149="Raipur","Chhattisgarh",
E149="Surat","Gujarat",
TRUE,"Not Found"
)</f>
        <v>Maharashtra</v>
      </c>
      <c r="G149" t="s">
        <v>1143</v>
      </c>
      <c r="H149" t="s">
        <v>1177</v>
      </c>
      <c r="I149" t="s">
        <v>1236</v>
      </c>
      <c r="J149" t="s">
        <v>1237</v>
      </c>
      <c r="K149" t="s">
        <v>1238</v>
      </c>
      <c r="L149">
        <v>2</v>
      </c>
      <c r="M149">
        <v>747</v>
      </c>
      <c r="N149">
        <v>0</v>
      </c>
      <c r="O149">
        <v>747</v>
      </c>
      <c r="P149">
        <v>0.12</v>
      </c>
      <c r="Q149">
        <v>1494</v>
      </c>
      <c r="R149">
        <v>179.28</v>
      </c>
      <c r="S149">
        <v>1673.28</v>
      </c>
      <c r="T149">
        <f>ROUND(Table2[[#This Row],[TotalAmount]],0)</f>
        <v>1673</v>
      </c>
      <c r="U149" t="s">
        <v>1365</v>
      </c>
      <c r="V149" t="s">
        <v>1361</v>
      </c>
      <c r="W149" s="4">
        <v>45702</v>
      </c>
      <c r="X149" s="4">
        <v>45704</v>
      </c>
      <c r="Y149" t="b">
        <v>0</v>
      </c>
      <c r="Z149" t="s">
        <v>1412</v>
      </c>
      <c r="AA149" t="s">
        <v>1412</v>
      </c>
      <c r="AB149" t="s">
        <v>1412</v>
      </c>
      <c r="AC149" t="s">
        <v>1390</v>
      </c>
      <c r="AD149" t="s">
        <v>1399</v>
      </c>
      <c r="AE149" t="s">
        <v>1391</v>
      </c>
    </row>
    <row r="150" spans="1:31" x14ac:dyDescent="0.3">
      <c r="A150" t="s">
        <v>255</v>
      </c>
      <c r="B150" s="4">
        <v>45297.633333333331</v>
      </c>
      <c r="C150" t="s">
        <v>45</v>
      </c>
      <c r="D150" t="s">
        <v>1141</v>
      </c>
      <c r="E150" t="s">
        <v>1142</v>
      </c>
      <c r="F150" t="str" cm="1">
        <f t="array" ref="F150">_xlfn.IFS(
E150="Ahmedabad","Gujarat",
E150="Bengaluru","Karnataka",
E150="Bhopal","Madhya Pradesh",
E150="Bhubaneswar","Odisha",
E150="Chandigarh","Chandigarh",
E150="Chennai","Tamil Nadu",
E150="Delhi","Delhi",
E150="Guwahati","Assam",
E150="Hyderabad","Telangana",
E150="Indore","Madhya Pradesh",
E150="Jaipur","Rajasthan",
E150="Kochi","Kerala",
E150="Kolkata","West Bengal",
E150="Lucknow","Uttar Pradesh",
E150="Mumbai","Maharashtra",
E150="Nagpur","Maharashtra",
E150="Patna","Bihar",
E150="Pune","Maharashtra",
E150="Raipur","Chhattisgarh",
E150="Surat","Gujarat",
TRUE,"Not Found"
)</f>
        <v>West Bengal</v>
      </c>
      <c r="G150" t="s">
        <v>1187</v>
      </c>
      <c r="H150" t="s">
        <v>1144</v>
      </c>
      <c r="I150" t="s">
        <v>1276</v>
      </c>
      <c r="J150" t="s">
        <v>1307</v>
      </c>
      <c r="K150" t="s">
        <v>1308</v>
      </c>
      <c r="L150">
        <v>2</v>
      </c>
      <c r="M150">
        <v>4288</v>
      </c>
      <c r="N150">
        <v>0</v>
      </c>
      <c r="O150">
        <v>4288</v>
      </c>
      <c r="P150">
        <v>0.12</v>
      </c>
      <c r="Q150">
        <v>8576</v>
      </c>
      <c r="R150">
        <v>1029.1199999999999</v>
      </c>
      <c r="S150">
        <v>9605.119999999999</v>
      </c>
      <c r="T150">
        <f>ROUND(Table2[[#This Row],[TotalAmount]],0)</f>
        <v>9605</v>
      </c>
      <c r="U150" t="s">
        <v>1360</v>
      </c>
      <c r="V150" t="s">
        <v>1361</v>
      </c>
      <c r="W150" s="4">
        <v>45298</v>
      </c>
      <c r="X150" s="4">
        <v>45300</v>
      </c>
      <c r="Y150" t="b">
        <v>0</v>
      </c>
      <c r="Z150" t="s">
        <v>1412</v>
      </c>
      <c r="AA150" t="s">
        <v>1412</v>
      </c>
      <c r="AB150" t="s">
        <v>1412</v>
      </c>
      <c r="AC150" t="s">
        <v>1386</v>
      </c>
      <c r="AD150" t="s">
        <v>1385</v>
      </c>
      <c r="AE150" t="s">
        <v>1391</v>
      </c>
    </row>
    <row r="151" spans="1:31" x14ac:dyDescent="0.3">
      <c r="A151" t="s">
        <v>256</v>
      </c>
      <c r="B151" s="4">
        <v>45337.518750000003</v>
      </c>
      <c r="C151" t="s">
        <v>61</v>
      </c>
      <c r="D151" t="s">
        <v>1153</v>
      </c>
      <c r="E151" t="s">
        <v>1176</v>
      </c>
      <c r="F151" t="str" cm="1">
        <f t="array" ref="F151">_xlfn.IFS(
E151="Ahmedabad","Gujarat",
E151="Bengaluru","Karnataka",
E151="Bhopal","Madhya Pradesh",
E151="Bhubaneswar","Odisha",
E151="Chandigarh","Chandigarh",
E151="Chennai","Tamil Nadu",
E151="Delhi","Delhi",
E151="Guwahati","Assam",
E151="Hyderabad","Telangana",
E151="Indore","Madhya Pradesh",
E151="Jaipur","Rajasthan",
E151="Kochi","Kerala",
E151="Kolkata","West Bengal",
E151="Lucknow","Uttar Pradesh",
E151="Mumbai","Maharashtra",
E151="Nagpur","Maharashtra",
E151="Patna","Bihar",
E151="Pune","Maharashtra",
E151="Raipur","Chhattisgarh",
E151="Surat","Gujarat",
TRUE,"Not Found"
)</f>
        <v>Chhattisgarh</v>
      </c>
      <c r="G151" t="s">
        <v>1150</v>
      </c>
      <c r="H151" t="s">
        <v>1144</v>
      </c>
      <c r="I151" t="s">
        <v>1276</v>
      </c>
      <c r="J151" t="s">
        <v>1286</v>
      </c>
      <c r="K151" t="s">
        <v>1287</v>
      </c>
      <c r="L151">
        <v>4</v>
      </c>
      <c r="M151">
        <v>11348</v>
      </c>
      <c r="N151">
        <v>0</v>
      </c>
      <c r="O151">
        <v>11348</v>
      </c>
      <c r="P151">
        <v>0.18</v>
      </c>
      <c r="Q151">
        <v>45392</v>
      </c>
      <c r="R151">
        <v>8170.5599999999986</v>
      </c>
      <c r="S151">
        <v>53562.559999999998</v>
      </c>
      <c r="T151">
        <f>ROUND(Table2[[#This Row],[TotalAmount]],0)</f>
        <v>53563</v>
      </c>
      <c r="U151" t="s">
        <v>1363</v>
      </c>
      <c r="V151" t="s">
        <v>1368</v>
      </c>
      <c r="W151" s="4">
        <v>45337</v>
      </c>
      <c r="X151" s="4" t="s">
        <v>1412</v>
      </c>
      <c r="Y151" t="b">
        <v>0</v>
      </c>
      <c r="Z151" t="s">
        <v>1412</v>
      </c>
      <c r="AA151" t="s">
        <v>1412</v>
      </c>
      <c r="AB151" t="s">
        <v>1412</v>
      </c>
      <c r="AC151" t="s">
        <v>1379</v>
      </c>
      <c r="AD151" t="s">
        <v>1385</v>
      </c>
      <c r="AE151" t="s">
        <v>1389</v>
      </c>
    </row>
    <row r="152" spans="1:31" x14ac:dyDescent="0.3">
      <c r="A152" t="s">
        <v>257</v>
      </c>
      <c r="B152" s="4">
        <v>45334.552083333343</v>
      </c>
      <c r="C152" t="s">
        <v>233</v>
      </c>
      <c r="D152" t="s">
        <v>1153</v>
      </c>
      <c r="E152" t="s">
        <v>1154</v>
      </c>
      <c r="F152" t="str" cm="1">
        <f t="array" ref="F152">_xlfn.IFS(
E152="Ahmedabad","Gujarat",
E152="Bengaluru","Karnataka",
E152="Bhopal","Madhya Pradesh",
E152="Bhubaneswar","Odisha",
E152="Chandigarh","Chandigarh",
E152="Chennai","Tamil Nadu",
E152="Delhi","Delhi",
E152="Guwahati","Assam",
E152="Hyderabad","Telangana",
E152="Indore","Madhya Pradesh",
E152="Jaipur","Rajasthan",
E152="Kochi","Kerala",
E152="Kolkata","West Bengal",
E152="Lucknow","Uttar Pradesh",
E152="Mumbai","Maharashtra",
E152="Nagpur","Maharashtra",
E152="Patna","Bihar",
E152="Pune","Maharashtra",
E152="Raipur","Chhattisgarh",
E152="Surat","Gujarat",
TRUE,"Not Found"
)</f>
        <v>Maharashtra</v>
      </c>
      <c r="G152" t="s">
        <v>1143</v>
      </c>
      <c r="H152" t="s">
        <v>1144</v>
      </c>
      <c r="I152" t="s">
        <v>1145</v>
      </c>
      <c r="J152" t="s">
        <v>1146</v>
      </c>
      <c r="K152" t="s">
        <v>1147</v>
      </c>
      <c r="L152">
        <v>3</v>
      </c>
      <c r="M152">
        <v>11741</v>
      </c>
      <c r="N152">
        <v>0.1</v>
      </c>
      <c r="O152">
        <v>10566.9</v>
      </c>
      <c r="P152">
        <v>0.05</v>
      </c>
      <c r="Q152">
        <v>31700.7</v>
      </c>
      <c r="R152">
        <v>1585.0350000000001</v>
      </c>
      <c r="S152">
        <v>33285.735000000001</v>
      </c>
      <c r="T152">
        <f>ROUND(Table2[[#This Row],[TotalAmount]],0)</f>
        <v>33286</v>
      </c>
      <c r="U152" t="s">
        <v>1362</v>
      </c>
      <c r="V152" t="s">
        <v>1361</v>
      </c>
      <c r="W152" s="4">
        <v>45336</v>
      </c>
      <c r="X152" s="4">
        <v>45340</v>
      </c>
      <c r="Y152" t="b">
        <v>0</v>
      </c>
      <c r="Z152" t="s">
        <v>1412</v>
      </c>
      <c r="AA152" t="s">
        <v>1412</v>
      </c>
      <c r="AB152" t="s">
        <v>1412</v>
      </c>
      <c r="AC152" t="s">
        <v>1390</v>
      </c>
      <c r="AD152" t="s">
        <v>1387</v>
      </c>
      <c r="AE152" t="s">
        <v>1380</v>
      </c>
    </row>
    <row r="153" spans="1:31" x14ac:dyDescent="0.3">
      <c r="A153" t="s">
        <v>258</v>
      </c>
      <c r="B153" s="4">
        <v>45338.620138888888</v>
      </c>
      <c r="C153" t="s">
        <v>259</v>
      </c>
      <c r="D153" t="s">
        <v>1141</v>
      </c>
      <c r="E153" t="s">
        <v>1227</v>
      </c>
      <c r="F153" t="str" cm="1">
        <f t="array" ref="F153">_xlfn.IFS(
E153="Ahmedabad","Gujarat",
E153="Bengaluru","Karnataka",
E153="Bhopal","Madhya Pradesh",
E153="Bhubaneswar","Odisha",
E153="Chandigarh","Chandigarh",
E153="Chennai","Tamil Nadu",
E153="Delhi","Delhi",
E153="Guwahati","Assam",
E153="Hyderabad","Telangana",
E153="Indore","Madhya Pradesh",
E153="Jaipur","Rajasthan",
E153="Kochi","Kerala",
E153="Kolkata","West Bengal",
E153="Lucknow","Uttar Pradesh",
E153="Mumbai","Maharashtra",
E153="Nagpur","Maharashtra",
E153="Patna","Bihar",
E153="Pune","Maharashtra",
E153="Raipur","Chhattisgarh",
E153="Surat","Gujarat",
TRUE,"Not Found"
)</f>
        <v>Bihar</v>
      </c>
      <c r="G153" t="s">
        <v>1150</v>
      </c>
      <c r="H153" t="s">
        <v>1167</v>
      </c>
      <c r="I153" t="s">
        <v>1208</v>
      </c>
      <c r="J153" t="s">
        <v>1322</v>
      </c>
      <c r="K153" t="s">
        <v>1323</v>
      </c>
      <c r="L153">
        <v>2</v>
      </c>
      <c r="M153">
        <v>6557</v>
      </c>
      <c r="N153">
        <v>0</v>
      </c>
      <c r="O153">
        <v>6557</v>
      </c>
      <c r="P153">
        <v>0.18</v>
      </c>
      <c r="Q153">
        <v>13114</v>
      </c>
      <c r="R153">
        <v>2360.52</v>
      </c>
      <c r="S153">
        <v>15474.52</v>
      </c>
      <c r="T153">
        <f>ROUND(Table2[[#This Row],[TotalAmount]],0)</f>
        <v>15475</v>
      </c>
      <c r="U153" t="s">
        <v>1362</v>
      </c>
      <c r="V153" t="s">
        <v>1361</v>
      </c>
      <c r="W153" s="4">
        <v>45338</v>
      </c>
      <c r="X153" s="4">
        <v>45343</v>
      </c>
      <c r="Y153" t="b">
        <v>0</v>
      </c>
      <c r="Z153" t="s">
        <v>1412</v>
      </c>
      <c r="AA153" t="s">
        <v>1412</v>
      </c>
      <c r="AB153" t="s">
        <v>1412</v>
      </c>
      <c r="AC153" t="s">
        <v>1388</v>
      </c>
      <c r="AD153" t="s">
        <v>1399</v>
      </c>
      <c r="AE153" t="s">
        <v>1389</v>
      </c>
    </row>
    <row r="154" spans="1:31" x14ac:dyDescent="0.3">
      <c r="A154" t="s">
        <v>260</v>
      </c>
      <c r="B154" s="4">
        <v>45767.599305555559</v>
      </c>
      <c r="C154" t="s">
        <v>243</v>
      </c>
      <c r="D154" t="s">
        <v>1153</v>
      </c>
      <c r="E154" t="s">
        <v>1176</v>
      </c>
      <c r="F154" t="str" cm="1">
        <f t="array" ref="F154">_xlfn.IFS(
E154="Ahmedabad","Gujarat",
E154="Bengaluru","Karnataka",
E154="Bhopal","Madhya Pradesh",
E154="Bhubaneswar","Odisha",
E154="Chandigarh","Chandigarh",
E154="Chennai","Tamil Nadu",
E154="Delhi","Delhi",
E154="Guwahati","Assam",
E154="Hyderabad","Telangana",
E154="Indore","Madhya Pradesh",
E154="Jaipur","Rajasthan",
E154="Kochi","Kerala",
E154="Kolkata","West Bengal",
E154="Lucknow","Uttar Pradesh",
E154="Mumbai","Maharashtra",
E154="Nagpur","Maharashtra",
E154="Patna","Bihar",
E154="Pune","Maharashtra",
E154="Raipur","Chhattisgarh",
E154="Surat","Gujarat",
TRUE,"Not Found"
)</f>
        <v>Chhattisgarh</v>
      </c>
      <c r="G154" t="s">
        <v>1187</v>
      </c>
      <c r="H154" t="s">
        <v>1167</v>
      </c>
      <c r="I154" t="s">
        <v>1208</v>
      </c>
      <c r="J154" t="s">
        <v>1322</v>
      </c>
      <c r="K154" t="s">
        <v>1323</v>
      </c>
      <c r="L154">
        <v>2</v>
      </c>
      <c r="M154">
        <v>8310</v>
      </c>
      <c r="N154">
        <v>0.15</v>
      </c>
      <c r="O154">
        <v>7063.5</v>
      </c>
      <c r="P154">
        <v>0.18</v>
      </c>
      <c r="Q154">
        <v>14127</v>
      </c>
      <c r="R154">
        <v>2542.86</v>
      </c>
      <c r="S154">
        <v>16669.86</v>
      </c>
      <c r="T154">
        <f>ROUND(Table2[[#This Row],[TotalAmount]],0)</f>
        <v>16670</v>
      </c>
      <c r="U154" t="s">
        <v>1360</v>
      </c>
      <c r="V154" t="s">
        <v>1364</v>
      </c>
      <c r="W154" s="4">
        <v>45768</v>
      </c>
      <c r="X154" s="4" t="s">
        <v>1412</v>
      </c>
      <c r="Y154" t="b">
        <v>1</v>
      </c>
      <c r="Z154" s="1">
        <v>45778</v>
      </c>
      <c r="AA154" s="1">
        <v>45778</v>
      </c>
      <c r="AB154" t="s">
        <v>1403</v>
      </c>
      <c r="AC154" t="s">
        <v>1390</v>
      </c>
      <c r="AD154" t="s">
        <v>1385</v>
      </c>
      <c r="AE154" t="s">
        <v>1393</v>
      </c>
    </row>
    <row r="155" spans="1:31" x14ac:dyDescent="0.3">
      <c r="A155" t="s">
        <v>261</v>
      </c>
      <c r="B155" s="4">
        <v>45550.582638888889</v>
      </c>
      <c r="C155" t="s">
        <v>262</v>
      </c>
      <c r="D155" t="s">
        <v>1141</v>
      </c>
      <c r="E155" t="s">
        <v>1142</v>
      </c>
      <c r="F155" t="str" cm="1">
        <f t="array" ref="F155">_xlfn.IFS(
E155="Ahmedabad","Gujarat",
E155="Bengaluru","Karnataka",
E155="Bhopal","Madhya Pradesh",
E155="Bhubaneswar","Odisha",
E155="Chandigarh","Chandigarh",
E155="Chennai","Tamil Nadu",
E155="Delhi","Delhi",
E155="Guwahati","Assam",
E155="Hyderabad","Telangana",
E155="Indore","Madhya Pradesh",
E155="Jaipur","Rajasthan",
E155="Kochi","Kerala",
E155="Kolkata","West Bengal",
E155="Lucknow","Uttar Pradesh",
E155="Mumbai","Maharashtra",
E155="Nagpur","Maharashtra",
E155="Patna","Bihar",
E155="Pune","Maharashtra",
E155="Raipur","Chhattisgarh",
E155="Surat","Gujarat",
TRUE,"Not Found"
)</f>
        <v>West Bengal</v>
      </c>
      <c r="G155" t="s">
        <v>1228</v>
      </c>
      <c r="H155" t="s">
        <v>1172</v>
      </c>
      <c r="I155" t="s">
        <v>1204</v>
      </c>
      <c r="J155" t="s">
        <v>1297</v>
      </c>
      <c r="K155" t="s">
        <v>1298</v>
      </c>
      <c r="L155">
        <v>1</v>
      </c>
      <c r="M155">
        <v>9109</v>
      </c>
      <c r="N155">
        <v>0</v>
      </c>
      <c r="O155">
        <v>9109</v>
      </c>
      <c r="P155">
        <v>0.18</v>
      </c>
      <c r="Q155">
        <v>9109</v>
      </c>
      <c r="R155">
        <v>1639.62</v>
      </c>
      <c r="S155">
        <v>10748.62</v>
      </c>
      <c r="T155">
        <f>ROUND(Table2[[#This Row],[TotalAmount]],0)</f>
        <v>10749</v>
      </c>
      <c r="U155" t="s">
        <v>1363</v>
      </c>
      <c r="V155" t="s">
        <v>1361</v>
      </c>
      <c r="W155" s="4">
        <v>45550</v>
      </c>
      <c r="X155" s="4">
        <v>45554</v>
      </c>
      <c r="Y155" t="b">
        <v>0</v>
      </c>
      <c r="Z155" t="s">
        <v>1412</v>
      </c>
      <c r="AA155" t="s">
        <v>1412</v>
      </c>
      <c r="AB155" t="s">
        <v>1412</v>
      </c>
      <c r="AC155" t="s">
        <v>1386</v>
      </c>
      <c r="AD155" t="s">
        <v>1377</v>
      </c>
      <c r="AE155" t="s">
        <v>1391</v>
      </c>
    </row>
    <row r="156" spans="1:31" x14ac:dyDescent="0.3">
      <c r="A156" t="s">
        <v>263</v>
      </c>
      <c r="B156" s="4">
        <v>45410.572916666657</v>
      </c>
      <c r="C156" t="s">
        <v>264</v>
      </c>
      <c r="D156" t="s">
        <v>1153</v>
      </c>
      <c r="E156" t="s">
        <v>1162</v>
      </c>
      <c r="F156" t="str" cm="1">
        <f t="array" ref="F156">_xlfn.IFS(
E156="Ahmedabad","Gujarat",
E156="Bengaluru","Karnataka",
E156="Bhopal","Madhya Pradesh",
E156="Bhubaneswar","Odisha",
E156="Chandigarh","Chandigarh",
E156="Chennai","Tamil Nadu",
E156="Delhi","Delhi",
E156="Guwahati","Assam",
E156="Hyderabad","Telangana",
E156="Indore","Madhya Pradesh",
E156="Jaipur","Rajasthan",
E156="Kochi","Kerala",
E156="Kolkata","West Bengal",
E156="Lucknow","Uttar Pradesh",
E156="Mumbai","Maharashtra",
E156="Nagpur","Maharashtra",
E156="Patna","Bihar",
E156="Pune","Maharashtra",
E156="Raipur","Chhattisgarh",
E156="Surat","Gujarat",
TRUE,"Not Found"
)</f>
        <v>Madhya Pradesh</v>
      </c>
      <c r="G156" t="s">
        <v>1228</v>
      </c>
      <c r="H156" t="s">
        <v>1144</v>
      </c>
      <c r="I156" t="s">
        <v>1214</v>
      </c>
      <c r="J156" t="s">
        <v>1215</v>
      </c>
      <c r="K156" t="s">
        <v>1216</v>
      </c>
      <c r="L156">
        <v>2</v>
      </c>
      <c r="M156">
        <v>2379</v>
      </c>
      <c r="N156">
        <v>0</v>
      </c>
      <c r="O156">
        <v>2379</v>
      </c>
      <c r="P156">
        <v>0.05</v>
      </c>
      <c r="Q156">
        <v>4758</v>
      </c>
      <c r="R156">
        <v>237.9</v>
      </c>
      <c r="S156">
        <v>4995.8999999999996</v>
      </c>
      <c r="T156">
        <f>ROUND(Table2[[#This Row],[TotalAmount]],0)</f>
        <v>4996</v>
      </c>
      <c r="U156" t="s">
        <v>1362</v>
      </c>
      <c r="V156" t="s">
        <v>1361</v>
      </c>
      <c r="W156" s="4">
        <v>45412</v>
      </c>
      <c r="X156" s="4">
        <v>45415</v>
      </c>
      <c r="Y156" t="b">
        <v>0</v>
      </c>
      <c r="Z156" t="s">
        <v>1412</v>
      </c>
      <c r="AA156" t="s">
        <v>1412</v>
      </c>
      <c r="AB156" t="s">
        <v>1412</v>
      </c>
      <c r="AC156" t="s">
        <v>1379</v>
      </c>
      <c r="AD156" t="s">
        <v>1399</v>
      </c>
      <c r="AE156" t="s">
        <v>1393</v>
      </c>
    </row>
    <row r="157" spans="1:31" x14ac:dyDescent="0.3">
      <c r="A157" t="s">
        <v>265</v>
      </c>
      <c r="B157" s="4">
        <v>45557.464583333327</v>
      </c>
      <c r="C157" t="s">
        <v>189</v>
      </c>
      <c r="D157" t="s">
        <v>1182</v>
      </c>
      <c r="E157" t="s">
        <v>1207</v>
      </c>
      <c r="F157" t="str" cm="1">
        <f t="array" ref="F157">_xlfn.IFS(
E157="Ahmedabad","Gujarat",
E157="Bengaluru","Karnataka",
E157="Bhopal","Madhya Pradesh",
E157="Bhubaneswar","Odisha",
E157="Chandigarh","Chandigarh",
E157="Chennai","Tamil Nadu",
E157="Delhi","Delhi",
E157="Guwahati","Assam",
E157="Hyderabad","Telangana",
E157="Indore","Madhya Pradesh",
E157="Jaipur","Rajasthan",
E157="Kochi","Kerala",
E157="Kolkata","West Bengal",
E157="Lucknow","Uttar Pradesh",
E157="Mumbai","Maharashtra",
E157="Nagpur","Maharashtra",
E157="Patna","Bihar",
E157="Pune","Maharashtra",
E157="Raipur","Chhattisgarh",
E157="Surat","Gujarat",
TRUE,"Not Found"
)</f>
        <v>Tamil Nadu</v>
      </c>
      <c r="G157" t="s">
        <v>1143</v>
      </c>
      <c r="H157" t="s">
        <v>1167</v>
      </c>
      <c r="I157" t="s">
        <v>1168</v>
      </c>
      <c r="J157" t="s">
        <v>1169</v>
      </c>
      <c r="K157" t="s">
        <v>1170</v>
      </c>
      <c r="L157">
        <v>1</v>
      </c>
      <c r="M157">
        <v>14196</v>
      </c>
      <c r="N157">
        <v>0.05</v>
      </c>
      <c r="O157">
        <v>13486.2</v>
      </c>
      <c r="P157">
        <v>0.05</v>
      </c>
      <c r="Q157">
        <v>13486.2</v>
      </c>
      <c r="R157">
        <v>674.31</v>
      </c>
      <c r="S157">
        <v>14160.51</v>
      </c>
      <c r="T157">
        <f>ROUND(Table2[[#This Row],[TotalAmount]],0)</f>
        <v>14161</v>
      </c>
      <c r="U157" t="s">
        <v>1362</v>
      </c>
      <c r="V157" t="s">
        <v>1369</v>
      </c>
      <c r="W157" s="4" t="s">
        <v>1412</v>
      </c>
      <c r="X157" s="4" t="s">
        <v>1412</v>
      </c>
      <c r="Y157" t="b">
        <v>0</v>
      </c>
      <c r="Z157" t="s">
        <v>1412</v>
      </c>
      <c r="AA157" t="s">
        <v>1412</v>
      </c>
      <c r="AB157" t="s">
        <v>1412</v>
      </c>
      <c r="AC157" t="s">
        <v>1390</v>
      </c>
      <c r="AD157" t="s">
        <v>1385</v>
      </c>
      <c r="AE157" t="s">
        <v>1380</v>
      </c>
    </row>
    <row r="158" spans="1:31" x14ac:dyDescent="0.3">
      <c r="A158" t="s">
        <v>266</v>
      </c>
      <c r="B158" s="4">
        <v>45423.540277777778</v>
      </c>
      <c r="C158" t="s">
        <v>267</v>
      </c>
      <c r="D158" t="s">
        <v>1148</v>
      </c>
      <c r="E158" t="s">
        <v>1217</v>
      </c>
      <c r="F158" t="str" cm="1">
        <f t="array" ref="F158">_xlfn.IFS(
E158="Ahmedabad","Gujarat",
E158="Bengaluru","Karnataka",
E158="Bhopal","Madhya Pradesh",
E158="Bhubaneswar","Odisha",
E158="Chandigarh","Chandigarh",
E158="Chennai","Tamil Nadu",
E158="Delhi","Delhi",
E158="Guwahati","Assam",
E158="Hyderabad","Telangana",
E158="Indore","Madhya Pradesh",
E158="Jaipur","Rajasthan",
E158="Kochi","Kerala",
E158="Kolkata","West Bengal",
E158="Lucknow","Uttar Pradesh",
E158="Mumbai","Maharashtra",
E158="Nagpur","Maharashtra",
E158="Patna","Bihar",
E158="Pune","Maharashtra",
E158="Raipur","Chhattisgarh",
E158="Surat","Gujarat",
TRUE,"Not Found"
)</f>
        <v>Delhi</v>
      </c>
      <c r="G158" t="s">
        <v>1143</v>
      </c>
      <c r="H158" t="s">
        <v>1144</v>
      </c>
      <c r="I158" t="s">
        <v>1159</v>
      </c>
      <c r="J158" t="s">
        <v>1160</v>
      </c>
      <c r="K158" t="s">
        <v>1161</v>
      </c>
      <c r="L158">
        <v>4</v>
      </c>
      <c r="M158">
        <v>4071</v>
      </c>
      <c r="N158">
        <v>0.1</v>
      </c>
      <c r="O158">
        <v>3663.9</v>
      </c>
      <c r="P158">
        <v>0.12</v>
      </c>
      <c r="Q158">
        <v>14655.6</v>
      </c>
      <c r="R158">
        <v>1758.672</v>
      </c>
      <c r="S158">
        <v>16414.272000000001</v>
      </c>
      <c r="T158">
        <f>ROUND(Table2[[#This Row],[TotalAmount]],0)</f>
        <v>16414</v>
      </c>
      <c r="U158" t="s">
        <v>1360</v>
      </c>
      <c r="V158" t="s">
        <v>1361</v>
      </c>
      <c r="W158" s="4">
        <v>45424</v>
      </c>
      <c r="X158" s="4">
        <v>45429</v>
      </c>
      <c r="Y158" t="b">
        <v>0</v>
      </c>
      <c r="Z158" t="s">
        <v>1412</v>
      </c>
      <c r="AA158" t="s">
        <v>1412</v>
      </c>
      <c r="AB158" t="s">
        <v>1412</v>
      </c>
      <c r="AC158" t="s">
        <v>1376</v>
      </c>
      <c r="AD158" t="s">
        <v>1377</v>
      </c>
      <c r="AE158" t="s">
        <v>1395</v>
      </c>
    </row>
    <row r="159" spans="1:31" x14ac:dyDescent="0.3">
      <c r="A159" t="s">
        <v>268</v>
      </c>
      <c r="B159" s="4">
        <v>45643.494444444441</v>
      </c>
      <c r="C159" t="s">
        <v>269</v>
      </c>
      <c r="D159" t="s">
        <v>1141</v>
      </c>
      <c r="E159" t="s">
        <v>1239</v>
      </c>
      <c r="F159" t="str" cm="1">
        <f t="array" ref="F159">_xlfn.IFS(
E159="Ahmedabad","Gujarat",
E159="Bengaluru","Karnataka",
E159="Bhopal","Madhya Pradesh",
E159="Bhubaneswar","Odisha",
E159="Chandigarh","Chandigarh",
E159="Chennai","Tamil Nadu",
E159="Delhi","Delhi",
E159="Guwahati","Assam",
E159="Hyderabad","Telangana",
E159="Indore","Madhya Pradesh",
E159="Jaipur","Rajasthan",
E159="Kochi","Kerala",
E159="Kolkata","West Bengal",
E159="Lucknow","Uttar Pradesh",
E159="Mumbai","Maharashtra",
E159="Nagpur","Maharashtra",
E159="Patna","Bihar",
E159="Pune","Maharashtra",
E159="Raipur","Chhattisgarh",
E159="Surat","Gujarat",
TRUE,"Not Found"
)</f>
        <v>Odisha</v>
      </c>
      <c r="G159" t="s">
        <v>1150</v>
      </c>
      <c r="H159" t="s">
        <v>1163</v>
      </c>
      <c r="I159" t="s">
        <v>1224</v>
      </c>
      <c r="J159" t="s">
        <v>1243</v>
      </c>
      <c r="K159" t="s">
        <v>1244</v>
      </c>
      <c r="L159">
        <v>3</v>
      </c>
      <c r="M159">
        <v>478</v>
      </c>
      <c r="N159">
        <v>0</v>
      </c>
      <c r="O159">
        <v>478</v>
      </c>
      <c r="P159">
        <v>0.18</v>
      </c>
      <c r="Q159">
        <v>1434</v>
      </c>
      <c r="R159">
        <v>258.12</v>
      </c>
      <c r="S159">
        <v>1692.12</v>
      </c>
      <c r="T159">
        <f>ROUND(Table2[[#This Row],[TotalAmount]],0)</f>
        <v>1692</v>
      </c>
      <c r="U159" t="s">
        <v>1360</v>
      </c>
      <c r="V159" t="s">
        <v>1361</v>
      </c>
      <c r="W159" s="4">
        <v>45643</v>
      </c>
      <c r="X159" s="4">
        <v>45648</v>
      </c>
      <c r="Y159" t="b">
        <v>0</v>
      </c>
      <c r="Z159" t="s">
        <v>1412</v>
      </c>
      <c r="AA159" t="s">
        <v>1412</v>
      </c>
      <c r="AB159" t="s">
        <v>1412</v>
      </c>
      <c r="AC159" t="s">
        <v>1386</v>
      </c>
      <c r="AD159" t="s">
        <v>1394</v>
      </c>
      <c r="AE159" t="s">
        <v>1383</v>
      </c>
    </row>
    <row r="160" spans="1:31" x14ac:dyDescent="0.3">
      <c r="A160" t="s">
        <v>270</v>
      </c>
      <c r="B160" s="4">
        <v>45563.59097222222</v>
      </c>
      <c r="C160" t="s">
        <v>271</v>
      </c>
      <c r="D160" t="s">
        <v>1148</v>
      </c>
      <c r="E160" t="s">
        <v>1149</v>
      </c>
      <c r="F160" t="str" cm="1">
        <f t="array" ref="F160">_xlfn.IFS(
E160="Ahmedabad","Gujarat",
E160="Bengaluru","Karnataka",
E160="Bhopal","Madhya Pradesh",
E160="Bhubaneswar","Odisha",
E160="Chandigarh","Chandigarh",
E160="Chennai","Tamil Nadu",
E160="Delhi","Delhi",
E160="Guwahati","Assam",
E160="Hyderabad","Telangana",
E160="Indore","Madhya Pradesh",
E160="Jaipur","Rajasthan",
E160="Kochi","Kerala",
E160="Kolkata","West Bengal",
E160="Lucknow","Uttar Pradesh",
E160="Mumbai","Maharashtra",
E160="Nagpur","Maharashtra",
E160="Patna","Bihar",
E160="Pune","Maharashtra",
E160="Raipur","Chhattisgarh",
E160="Surat","Gujarat",
TRUE,"Not Found"
)</f>
        <v>Uttar Pradesh</v>
      </c>
      <c r="G160" t="s">
        <v>1143</v>
      </c>
      <c r="H160" t="s">
        <v>1167</v>
      </c>
      <c r="I160" t="s">
        <v>1211</v>
      </c>
      <c r="J160" t="s">
        <v>1212</v>
      </c>
      <c r="K160" t="s">
        <v>1213</v>
      </c>
      <c r="L160">
        <v>1</v>
      </c>
      <c r="M160">
        <v>40181</v>
      </c>
      <c r="N160">
        <v>0</v>
      </c>
      <c r="O160">
        <v>40181</v>
      </c>
      <c r="P160">
        <v>0.18</v>
      </c>
      <c r="Q160">
        <v>40181</v>
      </c>
      <c r="R160">
        <v>7232.58</v>
      </c>
      <c r="S160">
        <v>47413.58</v>
      </c>
      <c r="T160">
        <f>ROUND(Table2[[#This Row],[TotalAmount]],0)</f>
        <v>47414</v>
      </c>
      <c r="U160" t="s">
        <v>1363</v>
      </c>
      <c r="V160" t="s">
        <v>1361</v>
      </c>
      <c r="W160" s="4">
        <v>45565</v>
      </c>
      <c r="X160" s="4">
        <v>45570</v>
      </c>
      <c r="Y160" t="b">
        <v>0</v>
      </c>
      <c r="Z160" t="s">
        <v>1412</v>
      </c>
      <c r="AA160" t="s">
        <v>1412</v>
      </c>
      <c r="AB160" t="s">
        <v>1412</v>
      </c>
      <c r="AC160" t="s">
        <v>1396</v>
      </c>
      <c r="AD160" t="s">
        <v>1397</v>
      </c>
      <c r="AE160" t="s">
        <v>1378</v>
      </c>
    </row>
    <row r="161" spans="1:31" x14ac:dyDescent="0.3">
      <c r="A161" t="s">
        <v>272</v>
      </c>
      <c r="B161" s="4">
        <v>45586.542361111111</v>
      </c>
      <c r="C161" t="s">
        <v>273</v>
      </c>
      <c r="D161" t="s">
        <v>1157</v>
      </c>
      <c r="E161" t="s">
        <v>1158</v>
      </c>
      <c r="F161" t="str" cm="1">
        <f t="array" ref="F161">_xlfn.IFS(
E161="Ahmedabad","Gujarat",
E161="Bengaluru","Karnataka",
E161="Bhopal","Madhya Pradesh",
E161="Bhubaneswar","Odisha",
E161="Chandigarh","Chandigarh",
E161="Chennai","Tamil Nadu",
E161="Delhi","Delhi",
E161="Guwahati","Assam",
E161="Hyderabad","Telangana",
E161="Indore","Madhya Pradesh",
E161="Jaipur","Rajasthan",
E161="Kochi","Kerala",
E161="Kolkata","West Bengal",
E161="Lucknow","Uttar Pradesh",
E161="Mumbai","Maharashtra",
E161="Nagpur","Maharashtra",
E161="Patna","Bihar",
E161="Pune","Maharashtra",
E161="Raipur","Chhattisgarh",
E161="Surat","Gujarat",
TRUE,"Not Found"
)</f>
        <v>Gujarat</v>
      </c>
      <c r="G161" t="s">
        <v>1150</v>
      </c>
      <c r="H161" t="s">
        <v>1167</v>
      </c>
      <c r="I161" t="s">
        <v>1288</v>
      </c>
      <c r="J161" t="s">
        <v>1293</v>
      </c>
      <c r="K161" t="s">
        <v>1294</v>
      </c>
      <c r="L161">
        <v>1</v>
      </c>
      <c r="M161">
        <v>39085</v>
      </c>
      <c r="N161">
        <v>0</v>
      </c>
      <c r="O161">
        <v>39085</v>
      </c>
      <c r="P161">
        <v>0.05</v>
      </c>
      <c r="Q161">
        <v>39085</v>
      </c>
      <c r="R161">
        <v>1954.25</v>
      </c>
      <c r="S161">
        <v>41039.25</v>
      </c>
      <c r="T161">
        <f>ROUND(Table2[[#This Row],[TotalAmount]],0)</f>
        <v>41039</v>
      </c>
      <c r="U161" t="s">
        <v>1363</v>
      </c>
      <c r="V161" t="s">
        <v>1361</v>
      </c>
      <c r="W161" s="4">
        <v>45588</v>
      </c>
      <c r="X161" s="4">
        <v>45589</v>
      </c>
      <c r="Y161" t="b">
        <v>0</v>
      </c>
      <c r="Z161" t="s">
        <v>1412</v>
      </c>
      <c r="AA161" t="s">
        <v>1412</v>
      </c>
      <c r="AB161" t="s">
        <v>1412</v>
      </c>
      <c r="AC161" t="s">
        <v>1398</v>
      </c>
      <c r="AD161" t="s">
        <v>1397</v>
      </c>
      <c r="AE161" t="s">
        <v>1383</v>
      </c>
    </row>
    <row r="162" spans="1:31" x14ac:dyDescent="0.3">
      <c r="A162" t="s">
        <v>274</v>
      </c>
      <c r="B162" s="4">
        <v>45324.520138888889</v>
      </c>
      <c r="C162" t="s">
        <v>275</v>
      </c>
      <c r="D162" t="s">
        <v>1141</v>
      </c>
      <c r="E162" t="s">
        <v>1227</v>
      </c>
      <c r="F162" t="str" cm="1">
        <f t="array" ref="F162">_xlfn.IFS(
E162="Ahmedabad","Gujarat",
E162="Bengaluru","Karnataka",
E162="Bhopal","Madhya Pradesh",
E162="Bhubaneswar","Odisha",
E162="Chandigarh","Chandigarh",
E162="Chennai","Tamil Nadu",
E162="Delhi","Delhi",
E162="Guwahati","Assam",
E162="Hyderabad","Telangana",
E162="Indore","Madhya Pradesh",
E162="Jaipur","Rajasthan",
E162="Kochi","Kerala",
E162="Kolkata","West Bengal",
E162="Lucknow","Uttar Pradesh",
E162="Mumbai","Maharashtra",
E162="Nagpur","Maharashtra",
E162="Patna","Bihar",
E162="Pune","Maharashtra",
E162="Raipur","Chhattisgarh",
E162="Surat","Gujarat",
TRUE,"Not Found"
)</f>
        <v>Bihar</v>
      </c>
      <c r="G162" t="s">
        <v>1143</v>
      </c>
      <c r="H162" t="s">
        <v>1177</v>
      </c>
      <c r="I162" t="s">
        <v>1192</v>
      </c>
      <c r="J162" t="s">
        <v>1283</v>
      </c>
      <c r="K162" t="s">
        <v>1284</v>
      </c>
      <c r="L162">
        <v>3</v>
      </c>
      <c r="M162">
        <v>1427</v>
      </c>
      <c r="N162">
        <v>0</v>
      </c>
      <c r="O162">
        <v>1427</v>
      </c>
      <c r="P162">
        <v>0.05</v>
      </c>
      <c r="Q162">
        <v>4281</v>
      </c>
      <c r="R162">
        <v>214.05</v>
      </c>
      <c r="S162">
        <v>4495.05</v>
      </c>
      <c r="T162">
        <f>ROUND(Table2[[#This Row],[TotalAmount]],0)</f>
        <v>4495</v>
      </c>
      <c r="U162" t="s">
        <v>1360</v>
      </c>
      <c r="V162" t="s">
        <v>1369</v>
      </c>
      <c r="W162" s="4" t="s">
        <v>1412</v>
      </c>
      <c r="X162" s="4" t="s">
        <v>1412</v>
      </c>
      <c r="Y162" t="b">
        <v>0</v>
      </c>
      <c r="Z162" t="s">
        <v>1412</v>
      </c>
      <c r="AA162" t="s">
        <v>1412</v>
      </c>
      <c r="AB162" t="s">
        <v>1412</v>
      </c>
      <c r="AC162" t="s">
        <v>1379</v>
      </c>
      <c r="AD162" t="s">
        <v>1377</v>
      </c>
      <c r="AE162" t="s">
        <v>1380</v>
      </c>
    </row>
    <row r="163" spans="1:31" x14ac:dyDescent="0.3">
      <c r="A163" t="s">
        <v>276</v>
      </c>
      <c r="B163" s="4">
        <v>45502.499305555553</v>
      </c>
      <c r="C163" t="s">
        <v>4</v>
      </c>
      <c r="D163" t="s">
        <v>1141</v>
      </c>
      <c r="E163" t="s">
        <v>1142</v>
      </c>
      <c r="F163" t="str" cm="1">
        <f t="array" ref="F163">_xlfn.IFS(
E163="Ahmedabad","Gujarat",
E163="Bengaluru","Karnataka",
E163="Bhopal","Madhya Pradesh",
E163="Bhubaneswar","Odisha",
E163="Chandigarh","Chandigarh",
E163="Chennai","Tamil Nadu",
E163="Delhi","Delhi",
E163="Guwahati","Assam",
E163="Hyderabad","Telangana",
E163="Indore","Madhya Pradesh",
E163="Jaipur","Rajasthan",
E163="Kochi","Kerala",
E163="Kolkata","West Bengal",
E163="Lucknow","Uttar Pradesh",
E163="Mumbai","Maharashtra",
E163="Nagpur","Maharashtra",
E163="Patna","Bihar",
E163="Pune","Maharashtra",
E163="Raipur","Chhattisgarh",
E163="Surat","Gujarat",
TRUE,"Not Found"
)</f>
        <v>West Bengal</v>
      </c>
      <c r="G163" t="s">
        <v>1150</v>
      </c>
      <c r="H163" t="s">
        <v>1163</v>
      </c>
      <c r="I163" t="s">
        <v>1224</v>
      </c>
      <c r="J163" t="s">
        <v>1225</v>
      </c>
      <c r="K163" t="s">
        <v>1226</v>
      </c>
      <c r="L163">
        <v>1</v>
      </c>
      <c r="M163">
        <v>335</v>
      </c>
      <c r="N163">
        <v>0.05</v>
      </c>
      <c r="O163">
        <v>318.25</v>
      </c>
      <c r="P163">
        <v>0.05</v>
      </c>
      <c r="Q163">
        <v>318.25</v>
      </c>
      <c r="R163">
        <v>15.9125</v>
      </c>
      <c r="S163">
        <v>334.16250000000002</v>
      </c>
      <c r="T163">
        <f>ROUND(Table2[[#This Row],[TotalAmount]],0)</f>
        <v>334</v>
      </c>
      <c r="U163" t="s">
        <v>1360</v>
      </c>
      <c r="V163" t="s">
        <v>1361</v>
      </c>
      <c r="W163" s="4">
        <v>45504</v>
      </c>
      <c r="X163" s="4">
        <v>45508</v>
      </c>
      <c r="Y163" t="b">
        <v>0</v>
      </c>
      <c r="Z163" t="s">
        <v>1412</v>
      </c>
      <c r="AA163" t="s">
        <v>1412</v>
      </c>
      <c r="AB163" t="s">
        <v>1412</v>
      </c>
      <c r="AC163" t="s">
        <v>1382</v>
      </c>
      <c r="AD163" t="s">
        <v>1394</v>
      </c>
      <c r="AE163" t="s">
        <v>1389</v>
      </c>
    </row>
    <row r="164" spans="1:31" x14ac:dyDescent="0.3">
      <c r="A164" t="s">
        <v>277</v>
      </c>
      <c r="B164" s="4">
        <v>45301.457638888889</v>
      </c>
      <c r="C164" t="s">
        <v>278</v>
      </c>
      <c r="D164" t="s">
        <v>1148</v>
      </c>
      <c r="E164" t="s">
        <v>1262</v>
      </c>
      <c r="F164" t="str" cm="1">
        <f t="array" ref="F164">_xlfn.IFS(
E164="Ahmedabad","Gujarat",
E164="Bengaluru","Karnataka",
E164="Bhopal","Madhya Pradesh",
E164="Bhubaneswar","Odisha",
E164="Chandigarh","Chandigarh",
E164="Chennai","Tamil Nadu",
E164="Delhi","Delhi",
E164="Guwahati","Assam",
E164="Hyderabad","Telangana",
E164="Indore","Madhya Pradesh",
E164="Jaipur","Rajasthan",
E164="Kochi","Kerala",
E164="Kolkata","West Bengal",
E164="Lucknow","Uttar Pradesh",
E164="Mumbai","Maharashtra",
E164="Nagpur","Maharashtra",
E164="Patna","Bihar",
E164="Pune","Maharashtra",
E164="Raipur","Chhattisgarh",
E164="Surat","Gujarat",
TRUE,"Not Found"
)</f>
        <v>Rajasthan</v>
      </c>
      <c r="G164" t="s">
        <v>1150</v>
      </c>
      <c r="H164" t="s">
        <v>1172</v>
      </c>
      <c r="I164" t="s">
        <v>1188</v>
      </c>
      <c r="J164" t="s">
        <v>1189</v>
      </c>
      <c r="K164" t="s">
        <v>1190</v>
      </c>
      <c r="L164">
        <v>1</v>
      </c>
      <c r="M164">
        <v>1431</v>
      </c>
      <c r="N164">
        <v>0</v>
      </c>
      <c r="O164">
        <v>1431</v>
      </c>
      <c r="P164">
        <v>0.12</v>
      </c>
      <c r="Q164">
        <v>1431</v>
      </c>
      <c r="R164">
        <v>171.72</v>
      </c>
      <c r="S164">
        <v>1602.72</v>
      </c>
      <c r="T164">
        <f>ROUND(Table2[[#This Row],[TotalAmount]],0)</f>
        <v>1603</v>
      </c>
      <c r="U164" t="s">
        <v>1365</v>
      </c>
      <c r="V164" t="s">
        <v>1361</v>
      </c>
      <c r="W164" s="4">
        <v>45301</v>
      </c>
      <c r="X164" s="4">
        <v>45306</v>
      </c>
      <c r="Y164" t="b">
        <v>0</v>
      </c>
      <c r="Z164" t="s">
        <v>1412</v>
      </c>
      <c r="AA164" t="s">
        <v>1412</v>
      </c>
      <c r="AB164" t="s">
        <v>1412</v>
      </c>
      <c r="AC164" t="s">
        <v>1396</v>
      </c>
      <c r="AD164" t="s">
        <v>1400</v>
      </c>
      <c r="AE164" t="s">
        <v>1391</v>
      </c>
    </row>
    <row r="165" spans="1:31" x14ac:dyDescent="0.3">
      <c r="A165" t="s">
        <v>279</v>
      </c>
      <c r="B165" s="4">
        <v>45754.677083333343</v>
      </c>
      <c r="C165" t="s">
        <v>20</v>
      </c>
      <c r="D165" t="s">
        <v>1157</v>
      </c>
      <c r="E165" t="s">
        <v>1181</v>
      </c>
      <c r="F165" t="str" cm="1">
        <f t="array" ref="F165">_xlfn.IFS(
E165="Ahmedabad","Gujarat",
E165="Bengaluru","Karnataka",
E165="Bhopal","Madhya Pradesh",
E165="Bhubaneswar","Odisha",
E165="Chandigarh","Chandigarh",
E165="Chennai","Tamil Nadu",
E165="Delhi","Delhi",
E165="Guwahati","Assam",
E165="Hyderabad","Telangana",
E165="Indore","Madhya Pradesh",
E165="Jaipur","Rajasthan",
E165="Kochi","Kerala",
E165="Kolkata","West Bengal",
E165="Lucknow","Uttar Pradesh",
E165="Mumbai","Maharashtra",
E165="Nagpur","Maharashtra",
E165="Patna","Bihar",
E165="Pune","Maharashtra",
E165="Raipur","Chhattisgarh",
E165="Surat","Gujarat",
TRUE,"Not Found"
)</f>
        <v>Gujarat</v>
      </c>
      <c r="G165" t="s">
        <v>1187</v>
      </c>
      <c r="H165" t="s">
        <v>1163</v>
      </c>
      <c r="I165" t="s">
        <v>1240</v>
      </c>
      <c r="J165" t="s">
        <v>1247</v>
      </c>
      <c r="K165" t="s">
        <v>1248</v>
      </c>
      <c r="L165">
        <v>1</v>
      </c>
      <c r="M165">
        <v>148</v>
      </c>
      <c r="N165">
        <v>0.05</v>
      </c>
      <c r="O165">
        <v>140.6</v>
      </c>
      <c r="P165">
        <v>0.18</v>
      </c>
      <c r="Q165">
        <v>140.6</v>
      </c>
      <c r="R165">
        <v>25.308</v>
      </c>
      <c r="S165">
        <v>165.90799999999999</v>
      </c>
      <c r="T165">
        <f>ROUND(Table2[[#This Row],[TotalAmount]],0)</f>
        <v>166</v>
      </c>
      <c r="U165" t="s">
        <v>1363</v>
      </c>
      <c r="V165" t="s">
        <v>1368</v>
      </c>
      <c r="W165" s="4">
        <v>45756</v>
      </c>
      <c r="X165" s="4" t="s">
        <v>1412</v>
      </c>
      <c r="Y165" t="b">
        <v>0</v>
      </c>
      <c r="Z165" t="s">
        <v>1412</v>
      </c>
      <c r="AA165" t="s">
        <v>1412</v>
      </c>
      <c r="AB165" t="s">
        <v>1412</v>
      </c>
      <c r="AC165" t="s">
        <v>1384</v>
      </c>
      <c r="AD165" t="s">
        <v>1377</v>
      </c>
      <c r="AE165" t="s">
        <v>1389</v>
      </c>
    </row>
    <row r="166" spans="1:31" x14ac:dyDescent="0.3">
      <c r="A166" t="s">
        <v>280</v>
      </c>
      <c r="B166" s="4">
        <v>45370.615277777782</v>
      </c>
      <c r="C166" t="s">
        <v>22</v>
      </c>
      <c r="D166" t="s">
        <v>1182</v>
      </c>
      <c r="E166" t="s">
        <v>1183</v>
      </c>
      <c r="F166" t="str" cm="1">
        <f t="array" ref="F166">_xlfn.IFS(
E166="Ahmedabad","Gujarat",
E166="Bengaluru","Karnataka",
E166="Bhopal","Madhya Pradesh",
E166="Bhubaneswar","Odisha",
E166="Chandigarh","Chandigarh",
E166="Chennai","Tamil Nadu",
E166="Delhi","Delhi",
E166="Guwahati","Assam",
E166="Hyderabad","Telangana",
E166="Indore","Madhya Pradesh",
E166="Jaipur","Rajasthan",
E166="Kochi","Kerala",
E166="Kolkata","West Bengal",
E166="Lucknow","Uttar Pradesh",
E166="Mumbai","Maharashtra",
E166="Nagpur","Maharashtra",
E166="Patna","Bihar",
E166="Pune","Maharashtra",
E166="Raipur","Chhattisgarh",
E166="Surat","Gujarat",
TRUE,"Not Found"
)</f>
        <v>Telangana</v>
      </c>
      <c r="G166" t="s">
        <v>1143</v>
      </c>
      <c r="H166" t="s">
        <v>1163</v>
      </c>
      <c r="I166" t="s">
        <v>1164</v>
      </c>
      <c r="J166" t="s">
        <v>1324</v>
      </c>
      <c r="K166" t="s">
        <v>1325</v>
      </c>
      <c r="L166">
        <v>1</v>
      </c>
      <c r="M166">
        <v>681</v>
      </c>
      <c r="N166">
        <v>0</v>
      </c>
      <c r="O166">
        <v>681</v>
      </c>
      <c r="P166">
        <v>0.12</v>
      </c>
      <c r="Q166">
        <v>681</v>
      </c>
      <c r="R166">
        <v>81.72</v>
      </c>
      <c r="S166">
        <v>762.72</v>
      </c>
      <c r="T166">
        <f>ROUND(Table2[[#This Row],[TotalAmount]],0)</f>
        <v>763</v>
      </c>
      <c r="U166" t="s">
        <v>1365</v>
      </c>
      <c r="V166" t="s">
        <v>1361</v>
      </c>
      <c r="W166" s="4">
        <v>45370</v>
      </c>
      <c r="X166" s="4">
        <v>45373</v>
      </c>
      <c r="Y166" t="b">
        <v>0</v>
      </c>
      <c r="Z166" t="s">
        <v>1412</v>
      </c>
      <c r="AA166" t="s">
        <v>1412</v>
      </c>
      <c r="AB166" t="s">
        <v>1412</v>
      </c>
      <c r="AC166" t="s">
        <v>1388</v>
      </c>
      <c r="AD166" t="s">
        <v>1387</v>
      </c>
      <c r="AE166" t="s">
        <v>1380</v>
      </c>
    </row>
    <row r="167" spans="1:31" x14ac:dyDescent="0.3">
      <c r="A167" t="s">
        <v>281</v>
      </c>
      <c r="B167" s="4">
        <v>45743.654166666667</v>
      </c>
      <c r="C167" t="s">
        <v>91</v>
      </c>
      <c r="D167" t="s">
        <v>1182</v>
      </c>
      <c r="E167" t="s">
        <v>1207</v>
      </c>
      <c r="F167" t="str" cm="1">
        <f t="array" ref="F167">_xlfn.IFS(
E167="Ahmedabad","Gujarat",
E167="Bengaluru","Karnataka",
E167="Bhopal","Madhya Pradesh",
E167="Bhubaneswar","Odisha",
E167="Chandigarh","Chandigarh",
E167="Chennai","Tamil Nadu",
E167="Delhi","Delhi",
E167="Guwahati","Assam",
E167="Hyderabad","Telangana",
E167="Indore","Madhya Pradesh",
E167="Jaipur","Rajasthan",
E167="Kochi","Kerala",
E167="Kolkata","West Bengal",
E167="Lucknow","Uttar Pradesh",
E167="Mumbai","Maharashtra",
E167="Nagpur","Maharashtra",
E167="Patna","Bihar",
E167="Pune","Maharashtra",
E167="Raipur","Chhattisgarh",
E167="Surat","Gujarat",
TRUE,"Not Found"
)</f>
        <v>Tamil Nadu</v>
      </c>
      <c r="G167" t="s">
        <v>1187</v>
      </c>
      <c r="H167" t="s">
        <v>1144</v>
      </c>
      <c r="I167" t="s">
        <v>1269</v>
      </c>
      <c r="J167" t="s">
        <v>1326</v>
      </c>
      <c r="K167" t="s">
        <v>1327</v>
      </c>
      <c r="L167">
        <v>3</v>
      </c>
      <c r="M167">
        <v>8385</v>
      </c>
      <c r="N167">
        <v>0.05</v>
      </c>
      <c r="O167">
        <v>7965.75</v>
      </c>
      <c r="P167">
        <v>0.18</v>
      </c>
      <c r="Q167">
        <v>23897.25</v>
      </c>
      <c r="R167">
        <v>4301.5050000000001</v>
      </c>
      <c r="S167">
        <v>28198.755000000001</v>
      </c>
      <c r="T167">
        <f>ROUND(Table2[[#This Row],[TotalAmount]],0)</f>
        <v>28199</v>
      </c>
      <c r="U167" t="s">
        <v>1365</v>
      </c>
      <c r="V167" t="s">
        <v>1361</v>
      </c>
      <c r="W167" s="4">
        <v>45744</v>
      </c>
      <c r="X167" s="4">
        <v>45745</v>
      </c>
      <c r="Y167" t="b">
        <v>0</v>
      </c>
      <c r="Z167" t="s">
        <v>1412</v>
      </c>
      <c r="AA167" t="s">
        <v>1412</v>
      </c>
      <c r="AB167" t="s">
        <v>1412</v>
      </c>
      <c r="AC167" t="s">
        <v>1388</v>
      </c>
      <c r="AD167" t="s">
        <v>1394</v>
      </c>
      <c r="AE167" t="s">
        <v>1393</v>
      </c>
    </row>
    <row r="168" spans="1:31" x14ac:dyDescent="0.3">
      <c r="A168" t="s">
        <v>282</v>
      </c>
      <c r="B168" s="4">
        <v>45444.652083333327</v>
      </c>
      <c r="C168" t="s">
        <v>283</v>
      </c>
      <c r="D168" t="s">
        <v>1148</v>
      </c>
      <c r="E168" t="s">
        <v>1262</v>
      </c>
      <c r="F168" t="str" cm="1">
        <f t="array" ref="F168">_xlfn.IFS(
E168="Ahmedabad","Gujarat",
E168="Bengaluru","Karnataka",
E168="Bhopal","Madhya Pradesh",
E168="Bhubaneswar","Odisha",
E168="Chandigarh","Chandigarh",
E168="Chennai","Tamil Nadu",
E168="Delhi","Delhi",
E168="Guwahati","Assam",
E168="Hyderabad","Telangana",
E168="Indore","Madhya Pradesh",
E168="Jaipur","Rajasthan",
E168="Kochi","Kerala",
E168="Kolkata","West Bengal",
E168="Lucknow","Uttar Pradesh",
E168="Mumbai","Maharashtra",
E168="Nagpur","Maharashtra",
E168="Patna","Bihar",
E168="Pune","Maharashtra",
E168="Raipur","Chhattisgarh",
E168="Surat","Gujarat",
TRUE,"Not Found"
)</f>
        <v>Rajasthan</v>
      </c>
      <c r="G168" t="s">
        <v>1143</v>
      </c>
      <c r="H168" t="s">
        <v>1144</v>
      </c>
      <c r="I168" t="s">
        <v>1159</v>
      </c>
      <c r="J168" t="s">
        <v>1272</v>
      </c>
      <c r="K168" t="s">
        <v>1273</v>
      </c>
      <c r="L168">
        <v>1</v>
      </c>
      <c r="M168">
        <v>10048</v>
      </c>
      <c r="N168">
        <v>0.05</v>
      </c>
      <c r="O168">
        <v>9545.6</v>
      </c>
      <c r="P168">
        <v>0.12</v>
      </c>
      <c r="Q168">
        <v>9545.6</v>
      </c>
      <c r="R168">
        <v>1145.472</v>
      </c>
      <c r="S168">
        <v>10691.072</v>
      </c>
      <c r="T168">
        <f>ROUND(Table2[[#This Row],[TotalAmount]],0)</f>
        <v>10691</v>
      </c>
      <c r="U168" t="s">
        <v>1360</v>
      </c>
      <c r="V168" t="s">
        <v>1364</v>
      </c>
      <c r="W168" s="4">
        <v>45444</v>
      </c>
      <c r="X168" s="4" t="s">
        <v>1412</v>
      </c>
      <c r="Y168" t="b">
        <v>1</v>
      </c>
      <c r="Z168" s="1">
        <v>45459</v>
      </c>
      <c r="AA168" s="1">
        <v>45459</v>
      </c>
      <c r="AB168" t="s">
        <v>1401</v>
      </c>
      <c r="AC168" t="s">
        <v>1398</v>
      </c>
      <c r="AD168" t="s">
        <v>1399</v>
      </c>
      <c r="AE168" t="s">
        <v>1389</v>
      </c>
    </row>
    <row r="169" spans="1:31" x14ac:dyDescent="0.3">
      <c r="A169" t="s">
        <v>284</v>
      </c>
      <c r="B169" s="4">
        <v>45694.448611111111</v>
      </c>
      <c r="C169" t="s">
        <v>42</v>
      </c>
      <c r="D169" t="s">
        <v>1148</v>
      </c>
      <c r="E169" t="s">
        <v>1217</v>
      </c>
      <c r="F169" t="str" cm="1">
        <f t="array" ref="F169">_xlfn.IFS(
E169="Ahmedabad","Gujarat",
E169="Bengaluru","Karnataka",
E169="Bhopal","Madhya Pradesh",
E169="Bhubaneswar","Odisha",
E169="Chandigarh","Chandigarh",
E169="Chennai","Tamil Nadu",
E169="Delhi","Delhi",
E169="Guwahati","Assam",
E169="Hyderabad","Telangana",
E169="Indore","Madhya Pradesh",
E169="Jaipur","Rajasthan",
E169="Kochi","Kerala",
E169="Kolkata","West Bengal",
E169="Lucknow","Uttar Pradesh",
E169="Mumbai","Maharashtra",
E169="Nagpur","Maharashtra",
E169="Patna","Bihar",
E169="Pune","Maharashtra",
E169="Raipur","Chhattisgarh",
E169="Surat","Gujarat",
TRUE,"Not Found"
)</f>
        <v>Delhi</v>
      </c>
      <c r="G169" t="s">
        <v>1150</v>
      </c>
      <c r="H169" t="s">
        <v>1172</v>
      </c>
      <c r="I169" t="s">
        <v>1173</v>
      </c>
      <c r="J169" t="s">
        <v>1222</v>
      </c>
      <c r="K169" t="s">
        <v>1223</v>
      </c>
      <c r="L169">
        <v>3</v>
      </c>
      <c r="M169">
        <v>2914</v>
      </c>
      <c r="N169">
        <v>0.1</v>
      </c>
      <c r="O169">
        <v>2622.6</v>
      </c>
      <c r="P169">
        <v>0.18</v>
      </c>
      <c r="Q169">
        <v>7867.7999999999993</v>
      </c>
      <c r="R169">
        <v>1416.204</v>
      </c>
      <c r="S169">
        <v>9284.003999999999</v>
      </c>
      <c r="T169">
        <f>ROUND(Table2[[#This Row],[TotalAmount]],0)</f>
        <v>9284</v>
      </c>
      <c r="U169" t="s">
        <v>1363</v>
      </c>
      <c r="V169" t="s">
        <v>1361</v>
      </c>
      <c r="W169" s="4">
        <v>45696</v>
      </c>
      <c r="X169" s="4">
        <v>45701</v>
      </c>
      <c r="Y169" t="b">
        <v>0</v>
      </c>
      <c r="Z169" t="s">
        <v>1412</v>
      </c>
      <c r="AA169" t="s">
        <v>1412</v>
      </c>
      <c r="AB169" t="s">
        <v>1412</v>
      </c>
      <c r="AC169" t="s">
        <v>1398</v>
      </c>
      <c r="AD169" t="s">
        <v>1394</v>
      </c>
      <c r="AE169" t="s">
        <v>1378</v>
      </c>
    </row>
    <row r="170" spans="1:31" x14ac:dyDescent="0.3">
      <c r="A170" t="s">
        <v>285</v>
      </c>
      <c r="B170" s="4">
        <v>45441.427777777782</v>
      </c>
      <c r="C170" t="s">
        <v>28</v>
      </c>
      <c r="D170" t="s">
        <v>1153</v>
      </c>
      <c r="E170" t="s">
        <v>1162</v>
      </c>
      <c r="F170" t="str" cm="1">
        <f t="array" ref="F170">_xlfn.IFS(
E170="Ahmedabad","Gujarat",
E170="Bengaluru","Karnataka",
E170="Bhopal","Madhya Pradesh",
E170="Bhubaneswar","Odisha",
E170="Chandigarh","Chandigarh",
E170="Chennai","Tamil Nadu",
E170="Delhi","Delhi",
E170="Guwahati","Assam",
E170="Hyderabad","Telangana",
E170="Indore","Madhya Pradesh",
E170="Jaipur","Rajasthan",
E170="Kochi","Kerala",
E170="Kolkata","West Bengal",
E170="Lucknow","Uttar Pradesh",
E170="Mumbai","Maharashtra",
E170="Nagpur","Maharashtra",
E170="Patna","Bihar",
E170="Pune","Maharashtra",
E170="Raipur","Chhattisgarh",
E170="Surat","Gujarat",
TRUE,"Not Found"
)</f>
        <v>Madhya Pradesh</v>
      </c>
      <c r="G170" t="s">
        <v>1187</v>
      </c>
      <c r="H170" t="s">
        <v>1144</v>
      </c>
      <c r="I170" t="s">
        <v>1214</v>
      </c>
      <c r="J170" t="s">
        <v>1320</v>
      </c>
      <c r="K170" t="s">
        <v>1321</v>
      </c>
      <c r="L170">
        <v>1</v>
      </c>
      <c r="M170">
        <v>13347</v>
      </c>
      <c r="N170">
        <v>0.1</v>
      </c>
      <c r="O170">
        <v>12012.3</v>
      </c>
      <c r="P170">
        <v>0.12</v>
      </c>
      <c r="Q170">
        <v>12012.3</v>
      </c>
      <c r="R170">
        <v>1441.4760000000001</v>
      </c>
      <c r="S170">
        <v>13453.776</v>
      </c>
      <c r="T170">
        <f>ROUND(Table2[[#This Row],[TotalAmount]],0)</f>
        <v>13454</v>
      </c>
      <c r="U170" t="s">
        <v>1363</v>
      </c>
      <c r="V170" t="s">
        <v>1361</v>
      </c>
      <c r="W170" s="4">
        <v>45442</v>
      </c>
      <c r="X170" s="4">
        <v>45444</v>
      </c>
      <c r="Y170" t="b">
        <v>0</v>
      </c>
      <c r="Z170" t="s">
        <v>1412</v>
      </c>
      <c r="AA170" t="s">
        <v>1412</v>
      </c>
      <c r="AB170" t="s">
        <v>1412</v>
      </c>
      <c r="AC170" t="s">
        <v>1376</v>
      </c>
      <c r="AD170" t="s">
        <v>1385</v>
      </c>
      <c r="AE170" t="s">
        <v>1378</v>
      </c>
    </row>
    <row r="171" spans="1:31" x14ac:dyDescent="0.3">
      <c r="A171" t="s">
        <v>286</v>
      </c>
      <c r="B171" s="4">
        <v>45638.678472222222</v>
      </c>
      <c r="C171" t="s">
        <v>88</v>
      </c>
      <c r="D171" t="s">
        <v>1148</v>
      </c>
      <c r="E171" t="s">
        <v>1262</v>
      </c>
      <c r="F171" t="str" cm="1">
        <f t="array" ref="F171">_xlfn.IFS(
E171="Ahmedabad","Gujarat",
E171="Bengaluru","Karnataka",
E171="Bhopal","Madhya Pradesh",
E171="Bhubaneswar","Odisha",
E171="Chandigarh","Chandigarh",
E171="Chennai","Tamil Nadu",
E171="Delhi","Delhi",
E171="Guwahati","Assam",
E171="Hyderabad","Telangana",
E171="Indore","Madhya Pradesh",
E171="Jaipur","Rajasthan",
E171="Kochi","Kerala",
E171="Kolkata","West Bengal",
E171="Lucknow","Uttar Pradesh",
E171="Mumbai","Maharashtra",
E171="Nagpur","Maharashtra",
E171="Patna","Bihar",
E171="Pune","Maharashtra",
E171="Raipur","Chhattisgarh",
E171="Surat","Gujarat",
TRUE,"Not Found"
)</f>
        <v>Rajasthan</v>
      </c>
      <c r="G171" t="s">
        <v>1143</v>
      </c>
      <c r="H171" t="s">
        <v>1144</v>
      </c>
      <c r="I171" t="s">
        <v>1214</v>
      </c>
      <c r="J171" t="s">
        <v>1252</v>
      </c>
      <c r="K171" t="s">
        <v>1253</v>
      </c>
      <c r="L171">
        <v>1</v>
      </c>
      <c r="M171">
        <v>4808</v>
      </c>
      <c r="N171">
        <v>0.15</v>
      </c>
      <c r="O171">
        <v>4086.8</v>
      </c>
      <c r="P171">
        <v>0.18</v>
      </c>
      <c r="Q171">
        <v>4086.8</v>
      </c>
      <c r="R171">
        <v>735.62399999999991</v>
      </c>
      <c r="S171">
        <v>4822.424</v>
      </c>
      <c r="T171">
        <f>ROUND(Table2[[#This Row],[TotalAmount]],0)</f>
        <v>4822</v>
      </c>
      <c r="U171" t="s">
        <v>1360</v>
      </c>
      <c r="V171" t="s">
        <v>1361</v>
      </c>
      <c r="W171" s="4">
        <v>45639</v>
      </c>
      <c r="X171" s="4">
        <v>45640</v>
      </c>
      <c r="Y171" t="b">
        <v>0</v>
      </c>
      <c r="Z171" t="s">
        <v>1412</v>
      </c>
      <c r="AA171" t="s">
        <v>1412</v>
      </c>
      <c r="AB171" t="s">
        <v>1412</v>
      </c>
      <c r="AC171" t="s">
        <v>1384</v>
      </c>
      <c r="AD171" t="s">
        <v>1394</v>
      </c>
      <c r="AE171" t="s">
        <v>1393</v>
      </c>
    </row>
    <row r="172" spans="1:31" x14ac:dyDescent="0.3">
      <c r="A172" t="s">
        <v>287</v>
      </c>
      <c r="B172" s="4">
        <v>45564.658333333333</v>
      </c>
      <c r="C172" t="s">
        <v>288</v>
      </c>
      <c r="D172" t="s">
        <v>1148</v>
      </c>
      <c r="E172" t="s">
        <v>1262</v>
      </c>
      <c r="F172" t="str" cm="1">
        <f t="array" ref="F172">_xlfn.IFS(
E172="Ahmedabad","Gujarat",
E172="Bengaluru","Karnataka",
E172="Bhopal","Madhya Pradesh",
E172="Bhubaneswar","Odisha",
E172="Chandigarh","Chandigarh",
E172="Chennai","Tamil Nadu",
E172="Delhi","Delhi",
E172="Guwahati","Assam",
E172="Hyderabad","Telangana",
E172="Indore","Madhya Pradesh",
E172="Jaipur","Rajasthan",
E172="Kochi","Kerala",
E172="Kolkata","West Bengal",
E172="Lucknow","Uttar Pradesh",
E172="Mumbai","Maharashtra",
E172="Nagpur","Maharashtra",
E172="Patna","Bihar",
E172="Pune","Maharashtra",
E172="Raipur","Chhattisgarh",
E172="Surat","Gujarat",
TRUE,"Not Found"
)</f>
        <v>Rajasthan</v>
      </c>
      <c r="G172" t="s">
        <v>1187</v>
      </c>
      <c r="H172" t="s">
        <v>1163</v>
      </c>
      <c r="I172" t="s">
        <v>1240</v>
      </c>
      <c r="J172" t="s">
        <v>1281</v>
      </c>
      <c r="K172" t="s">
        <v>1282</v>
      </c>
      <c r="L172">
        <v>1</v>
      </c>
      <c r="M172">
        <v>235</v>
      </c>
      <c r="N172">
        <v>0</v>
      </c>
      <c r="O172">
        <v>235</v>
      </c>
      <c r="P172">
        <v>0.05</v>
      </c>
      <c r="Q172">
        <v>235</v>
      </c>
      <c r="R172">
        <v>11.75</v>
      </c>
      <c r="S172">
        <v>246.75</v>
      </c>
      <c r="T172">
        <f>ROUND(Table2[[#This Row],[TotalAmount]],0)</f>
        <v>247</v>
      </c>
      <c r="U172" t="s">
        <v>1362</v>
      </c>
      <c r="V172" t="s">
        <v>1361</v>
      </c>
      <c r="W172" s="4">
        <v>45565</v>
      </c>
      <c r="X172" s="4">
        <v>45568</v>
      </c>
      <c r="Y172" t="b">
        <v>0</v>
      </c>
      <c r="Z172" t="s">
        <v>1412</v>
      </c>
      <c r="AA172" t="s">
        <v>1412</v>
      </c>
      <c r="AB172" t="s">
        <v>1412</v>
      </c>
      <c r="AC172" t="s">
        <v>1386</v>
      </c>
      <c r="AD172" t="s">
        <v>1385</v>
      </c>
      <c r="AE172" t="s">
        <v>1378</v>
      </c>
    </row>
    <row r="173" spans="1:31" x14ac:dyDescent="0.3">
      <c r="A173" t="s">
        <v>289</v>
      </c>
      <c r="B173" s="4">
        <v>45547.571527777778</v>
      </c>
      <c r="C173" t="s">
        <v>290</v>
      </c>
      <c r="D173" t="s">
        <v>1141</v>
      </c>
      <c r="E173" t="s">
        <v>1227</v>
      </c>
      <c r="F173" t="str" cm="1">
        <f t="array" ref="F173">_xlfn.IFS(
E173="Ahmedabad","Gujarat",
E173="Bengaluru","Karnataka",
E173="Bhopal","Madhya Pradesh",
E173="Bhubaneswar","Odisha",
E173="Chandigarh","Chandigarh",
E173="Chennai","Tamil Nadu",
E173="Delhi","Delhi",
E173="Guwahati","Assam",
E173="Hyderabad","Telangana",
E173="Indore","Madhya Pradesh",
E173="Jaipur","Rajasthan",
E173="Kochi","Kerala",
E173="Kolkata","West Bengal",
E173="Lucknow","Uttar Pradesh",
E173="Mumbai","Maharashtra",
E173="Nagpur","Maharashtra",
E173="Patna","Bihar",
E173="Pune","Maharashtra",
E173="Raipur","Chhattisgarh",
E173="Surat","Gujarat",
TRUE,"Not Found"
)</f>
        <v>Bihar</v>
      </c>
      <c r="G173" t="s">
        <v>1150</v>
      </c>
      <c r="H173" t="s">
        <v>1177</v>
      </c>
      <c r="I173" t="s">
        <v>1309</v>
      </c>
      <c r="J173" t="s">
        <v>1328</v>
      </c>
      <c r="K173" t="s">
        <v>1329</v>
      </c>
      <c r="L173">
        <v>1</v>
      </c>
      <c r="M173">
        <v>2284</v>
      </c>
      <c r="N173">
        <v>0.1</v>
      </c>
      <c r="O173">
        <v>2055.6</v>
      </c>
      <c r="P173">
        <v>0.12</v>
      </c>
      <c r="Q173">
        <v>2055.6</v>
      </c>
      <c r="R173">
        <v>246.672</v>
      </c>
      <c r="S173">
        <v>2302.2719999999999</v>
      </c>
      <c r="T173">
        <f>ROUND(Table2[[#This Row],[TotalAmount]],0)</f>
        <v>2302</v>
      </c>
      <c r="U173" t="s">
        <v>1363</v>
      </c>
      <c r="V173" t="s">
        <v>1361</v>
      </c>
      <c r="W173" s="4">
        <v>45549</v>
      </c>
      <c r="X173" s="4">
        <v>45551</v>
      </c>
      <c r="Y173" t="b">
        <v>0</v>
      </c>
      <c r="Z173" t="s">
        <v>1412</v>
      </c>
      <c r="AA173" t="s">
        <v>1412</v>
      </c>
      <c r="AB173" t="s">
        <v>1412</v>
      </c>
      <c r="AC173" t="s">
        <v>1392</v>
      </c>
      <c r="AD173" t="s">
        <v>1397</v>
      </c>
      <c r="AE173" t="s">
        <v>1391</v>
      </c>
    </row>
    <row r="174" spans="1:31" x14ac:dyDescent="0.3">
      <c r="A174" t="s">
        <v>291</v>
      </c>
      <c r="B174" s="4">
        <v>45500.566666666673</v>
      </c>
      <c r="C174" t="s">
        <v>53</v>
      </c>
      <c r="D174" t="s">
        <v>1141</v>
      </c>
      <c r="E174" t="s">
        <v>1227</v>
      </c>
      <c r="F174" t="str" cm="1">
        <f t="array" ref="F174">_xlfn.IFS(
E174="Ahmedabad","Gujarat",
E174="Bengaluru","Karnataka",
E174="Bhopal","Madhya Pradesh",
E174="Bhubaneswar","Odisha",
E174="Chandigarh","Chandigarh",
E174="Chennai","Tamil Nadu",
E174="Delhi","Delhi",
E174="Guwahati","Assam",
E174="Hyderabad","Telangana",
E174="Indore","Madhya Pradesh",
E174="Jaipur","Rajasthan",
E174="Kochi","Kerala",
E174="Kolkata","West Bengal",
E174="Lucknow","Uttar Pradesh",
E174="Mumbai","Maharashtra",
E174="Nagpur","Maharashtra",
E174="Patna","Bihar",
E174="Pune","Maharashtra",
E174="Raipur","Chhattisgarh",
E174="Surat","Gujarat",
TRUE,"Not Found"
)</f>
        <v>Bihar</v>
      </c>
      <c r="G174" t="s">
        <v>1143</v>
      </c>
      <c r="H174" t="s">
        <v>1163</v>
      </c>
      <c r="I174" t="s">
        <v>1164</v>
      </c>
      <c r="J174" t="s">
        <v>1324</v>
      </c>
      <c r="K174" t="s">
        <v>1325</v>
      </c>
      <c r="L174">
        <v>1</v>
      </c>
      <c r="M174">
        <v>206</v>
      </c>
      <c r="N174">
        <v>0.05</v>
      </c>
      <c r="O174">
        <v>195.7</v>
      </c>
      <c r="P174">
        <v>0.12</v>
      </c>
      <c r="Q174">
        <v>195.7</v>
      </c>
      <c r="R174">
        <v>23.484000000000002</v>
      </c>
      <c r="S174">
        <v>219.184</v>
      </c>
      <c r="T174">
        <f>ROUND(Table2[[#This Row],[TotalAmount]],0)</f>
        <v>219</v>
      </c>
      <c r="U174" t="s">
        <v>1360</v>
      </c>
      <c r="V174" t="s">
        <v>1361</v>
      </c>
      <c r="W174" s="4">
        <v>45500</v>
      </c>
      <c r="X174" s="4">
        <v>45501</v>
      </c>
      <c r="Y174" t="b">
        <v>0</v>
      </c>
      <c r="Z174" t="s">
        <v>1412</v>
      </c>
      <c r="AA174" t="s">
        <v>1412</v>
      </c>
      <c r="AB174" t="s">
        <v>1412</v>
      </c>
      <c r="AC174" t="s">
        <v>1382</v>
      </c>
      <c r="AD174" t="s">
        <v>1400</v>
      </c>
      <c r="AE174" t="s">
        <v>1391</v>
      </c>
    </row>
    <row r="175" spans="1:31" x14ac:dyDescent="0.3">
      <c r="A175" t="s">
        <v>292</v>
      </c>
      <c r="B175" s="4">
        <v>45504.561111111107</v>
      </c>
      <c r="C175" t="s">
        <v>229</v>
      </c>
      <c r="D175" t="s">
        <v>1148</v>
      </c>
      <c r="E175" t="s">
        <v>1149</v>
      </c>
      <c r="F175" t="str" cm="1">
        <f t="array" ref="F175">_xlfn.IFS(
E175="Ahmedabad","Gujarat",
E175="Bengaluru","Karnataka",
E175="Bhopal","Madhya Pradesh",
E175="Bhubaneswar","Odisha",
E175="Chandigarh","Chandigarh",
E175="Chennai","Tamil Nadu",
E175="Delhi","Delhi",
E175="Guwahati","Assam",
E175="Hyderabad","Telangana",
E175="Indore","Madhya Pradesh",
E175="Jaipur","Rajasthan",
E175="Kochi","Kerala",
E175="Kolkata","West Bengal",
E175="Lucknow","Uttar Pradesh",
E175="Mumbai","Maharashtra",
E175="Nagpur","Maharashtra",
E175="Patna","Bihar",
E175="Pune","Maharashtra",
E175="Raipur","Chhattisgarh",
E175="Surat","Gujarat",
TRUE,"Not Found"
)</f>
        <v>Uttar Pradesh</v>
      </c>
      <c r="G175" t="s">
        <v>1143</v>
      </c>
      <c r="H175" t="s">
        <v>1144</v>
      </c>
      <c r="I175" t="s">
        <v>1214</v>
      </c>
      <c r="J175" t="s">
        <v>1320</v>
      </c>
      <c r="K175" t="s">
        <v>1321</v>
      </c>
      <c r="L175">
        <v>3</v>
      </c>
      <c r="M175">
        <v>9575</v>
      </c>
      <c r="N175">
        <v>0</v>
      </c>
      <c r="O175">
        <v>9575</v>
      </c>
      <c r="P175">
        <v>0.05</v>
      </c>
      <c r="Q175">
        <v>28725</v>
      </c>
      <c r="R175">
        <v>1436.25</v>
      </c>
      <c r="S175">
        <v>30161.25</v>
      </c>
      <c r="T175">
        <f>ROUND(Table2[[#This Row],[TotalAmount]],0)</f>
        <v>30161</v>
      </c>
      <c r="U175" t="s">
        <v>1363</v>
      </c>
      <c r="V175" t="s">
        <v>1361</v>
      </c>
      <c r="W175" s="4">
        <v>45506</v>
      </c>
      <c r="X175" s="4">
        <v>45510</v>
      </c>
      <c r="Y175" t="b">
        <v>0</v>
      </c>
      <c r="Z175" t="s">
        <v>1412</v>
      </c>
      <c r="AA175" t="s">
        <v>1412</v>
      </c>
      <c r="AB175" t="s">
        <v>1412</v>
      </c>
      <c r="AC175" t="s">
        <v>1398</v>
      </c>
      <c r="AD175" t="s">
        <v>1397</v>
      </c>
      <c r="AE175" t="s">
        <v>1383</v>
      </c>
    </row>
    <row r="176" spans="1:31" x14ac:dyDescent="0.3">
      <c r="A176" t="s">
        <v>293</v>
      </c>
      <c r="B176" s="4">
        <v>45725.5</v>
      </c>
      <c r="C176" t="s">
        <v>91</v>
      </c>
      <c r="D176" t="s">
        <v>1182</v>
      </c>
      <c r="E176" t="s">
        <v>1207</v>
      </c>
      <c r="F176" t="str" cm="1">
        <f t="array" ref="F176">_xlfn.IFS(
E176="Ahmedabad","Gujarat",
E176="Bengaluru","Karnataka",
E176="Bhopal","Madhya Pradesh",
E176="Bhubaneswar","Odisha",
E176="Chandigarh","Chandigarh",
E176="Chennai","Tamil Nadu",
E176="Delhi","Delhi",
E176="Guwahati","Assam",
E176="Hyderabad","Telangana",
E176="Indore","Madhya Pradesh",
E176="Jaipur","Rajasthan",
E176="Kochi","Kerala",
E176="Kolkata","West Bengal",
E176="Lucknow","Uttar Pradesh",
E176="Mumbai","Maharashtra",
E176="Nagpur","Maharashtra",
E176="Patna","Bihar",
E176="Pune","Maharashtra",
E176="Raipur","Chhattisgarh",
E176="Surat","Gujarat",
TRUE,"Not Found"
)</f>
        <v>Tamil Nadu</v>
      </c>
      <c r="G176" t="s">
        <v>1150</v>
      </c>
      <c r="H176" t="s">
        <v>1177</v>
      </c>
      <c r="I176" t="s">
        <v>1309</v>
      </c>
      <c r="J176" t="s">
        <v>1328</v>
      </c>
      <c r="K176" t="s">
        <v>1329</v>
      </c>
      <c r="L176">
        <v>1</v>
      </c>
      <c r="M176">
        <v>719</v>
      </c>
      <c r="N176">
        <v>0.05</v>
      </c>
      <c r="O176">
        <v>683.05</v>
      </c>
      <c r="P176">
        <v>0.05</v>
      </c>
      <c r="Q176">
        <v>683.05</v>
      </c>
      <c r="R176">
        <v>34.152500000000003</v>
      </c>
      <c r="S176">
        <v>717.20249999999999</v>
      </c>
      <c r="T176">
        <f>ROUND(Table2[[#This Row],[TotalAmount]],0)</f>
        <v>717</v>
      </c>
      <c r="U176" t="s">
        <v>1362</v>
      </c>
      <c r="V176" t="s">
        <v>1361</v>
      </c>
      <c r="W176" s="4">
        <v>45727</v>
      </c>
      <c r="X176" s="4">
        <v>45731</v>
      </c>
      <c r="Y176" t="b">
        <v>0</v>
      </c>
      <c r="Z176" t="s">
        <v>1412</v>
      </c>
      <c r="AA176" t="s">
        <v>1412</v>
      </c>
      <c r="AB176" t="s">
        <v>1412</v>
      </c>
      <c r="AC176" t="s">
        <v>1382</v>
      </c>
      <c r="AD176" t="s">
        <v>1397</v>
      </c>
      <c r="AE176" t="s">
        <v>1395</v>
      </c>
    </row>
    <row r="177" spans="1:31" x14ac:dyDescent="0.3">
      <c r="A177" t="s">
        <v>294</v>
      </c>
      <c r="B177" s="4">
        <v>45467.526388888888</v>
      </c>
      <c r="C177" t="s">
        <v>169</v>
      </c>
      <c r="D177" t="s">
        <v>1148</v>
      </c>
      <c r="E177" t="s">
        <v>1149</v>
      </c>
      <c r="F177" t="str" cm="1">
        <f t="array" ref="F177">_xlfn.IFS(
E177="Ahmedabad","Gujarat",
E177="Bengaluru","Karnataka",
E177="Bhopal","Madhya Pradesh",
E177="Bhubaneswar","Odisha",
E177="Chandigarh","Chandigarh",
E177="Chennai","Tamil Nadu",
E177="Delhi","Delhi",
E177="Guwahati","Assam",
E177="Hyderabad","Telangana",
E177="Indore","Madhya Pradesh",
E177="Jaipur","Rajasthan",
E177="Kochi","Kerala",
E177="Kolkata","West Bengal",
E177="Lucknow","Uttar Pradesh",
E177="Mumbai","Maharashtra",
E177="Nagpur","Maharashtra",
E177="Patna","Bihar",
E177="Pune","Maharashtra",
E177="Raipur","Chhattisgarh",
E177="Surat","Gujarat",
TRUE,"Not Found"
)</f>
        <v>Uttar Pradesh</v>
      </c>
      <c r="G177" t="s">
        <v>1187</v>
      </c>
      <c r="H177" t="s">
        <v>1144</v>
      </c>
      <c r="I177" t="s">
        <v>1276</v>
      </c>
      <c r="J177" t="s">
        <v>1286</v>
      </c>
      <c r="K177" t="s">
        <v>1287</v>
      </c>
      <c r="L177">
        <v>1</v>
      </c>
      <c r="M177">
        <v>9529</v>
      </c>
      <c r="N177">
        <v>0</v>
      </c>
      <c r="O177">
        <v>9529</v>
      </c>
      <c r="P177">
        <v>0.12</v>
      </c>
      <c r="Q177">
        <v>9529</v>
      </c>
      <c r="R177">
        <v>1143.48</v>
      </c>
      <c r="S177">
        <v>10672.48</v>
      </c>
      <c r="T177">
        <f>ROUND(Table2[[#This Row],[TotalAmount]],0)</f>
        <v>10672</v>
      </c>
      <c r="U177" t="s">
        <v>1360</v>
      </c>
      <c r="V177" t="s">
        <v>1361</v>
      </c>
      <c r="W177" s="4">
        <v>45468</v>
      </c>
      <c r="X177" s="4">
        <v>45473</v>
      </c>
      <c r="Y177" t="b">
        <v>0</v>
      </c>
      <c r="Z177" t="s">
        <v>1412</v>
      </c>
      <c r="AA177" t="s">
        <v>1412</v>
      </c>
      <c r="AB177" t="s">
        <v>1412</v>
      </c>
      <c r="AC177" t="s">
        <v>1384</v>
      </c>
      <c r="AD177" t="s">
        <v>1394</v>
      </c>
      <c r="AE177" t="s">
        <v>1383</v>
      </c>
    </row>
    <row r="178" spans="1:31" x14ac:dyDescent="0.3">
      <c r="A178" t="s">
        <v>295</v>
      </c>
      <c r="B178" s="4">
        <v>45405.507638888892</v>
      </c>
      <c r="C178" t="s">
        <v>296</v>
      </c>
      <c r="D178" t="s">
        <v>1157</v>
      </c>
      <c r="E178" t="s">
        <v>1181</v>
      </c>
      <c r="F178" t="str" cm="1">
        <f t="array" ref="F178">_xlfn.IFS(
E178="Ahmedabad","Gujarat",
E178="Bengaluru","Karnataka",
E178="Bhopal","Madhya Pradesh",
E178="Bhubaneswar","Odisha",
E178="Chandigarh","Chandigarh",
E178="Chennai","Tamil Nadu",
E178="Delhi","Delhi",
E178="Guwahati","Assam",
E178="Hyderabad","Telangana",
E178="Indore","Madhya Pradesh",
E178="Jaipur","Rajasthan",
E178="Kochi","Kerala",
E178="Kolkata","West Bengal",
E178="Lucknow","Uttar Pradesh",
E178="Mumbai","Maharashtra",
E178="Nagpur","Maharashtra",
E178="Patna","Bihar",
E178="Pune","Maharashtra",
E178="Raipur","Chhattisgarh",
E178="Surat","Gujarat",
TRUE,"Not Found"
)</f>
        <v>Gujarat</v>
      </c>
      <c r="G178" t="s">
        <v>1143</v>
      </c>
      <c r="H178" t="s">
        <v>1144</v>
      </c>
      <c r="I178" t="s">
        <v>1276</v>
      </c>
      <c r="J178" t="s">
        <v>1307</v>
      </c>
      <c r="K178" t="s">
        <v>1308</v>
      </c>
      <c r="L178">
        <v>2</v>
      </c>
      <c r="M178">
        <v>11960</v>
      </c>
      <c r="N178">
        <v>0</v>
      </c>
      <c r="O178">
        <v>11960</v>
      </c>
      <c r="P178">
        <v>0.12</v>
      </c>
      <c r="Q178">
        <v>23920</v>
      </c>
      <c r="R178">
        <v>2870.4</v>
      </c>
      <c r="S178">
        <v>26790.400000000001</v>
      </c>
      <c r="T178">
        <f>ROUND(Table2[[#This Row],[TotalAmount]],0)</f>
        <v>26790</v>
      </c>
      <c r="U178" t="s">
        <v>1363</v>
      </c>
      <c r="V178" t="s">
        <v>1361</v>
      </c>
      <c r="W178" s="4">
        <v>45407</v>
      </c>
      <c r="X178" s="4">
        <v>45410</v>
      </c>
      <c r="Y178" t="b">
        <v>0</v>
      </c>
      <c r="Z178" t="s">
        <v>1412</v>
      </c>
      <c r="AA178" t="s">
        <v>1412</v>
      </c>
      <c r="AB178" t="s">
        <v>1412</v>
      </c>
      <c r="AC178" t="s">
        <v>1398</v>
      </c>
      <c r="AD178" t="s">
        <v>1399</v>
      </c>
      <c r="AE178" t="s">
        <v>1393</v>
      </c>
    </row>
    <row r="179" spans="1:31" x14ac:dyDescent="0.3">
      <c r="A179" t="s">
        <v>297</v>
      </c>
      <c r="B179" s="4">
        <v>45473.523611111108</v>
      </c>
      <c r="C179" t="s">
        <v>130</v>
      </c>
      <c r="D179" t="s">
        <v>1153</v>
      </c>
      <c r="E179" t="s">
        <v>1176</v>
      </c>
      <c r="F179" t="str" cm="1">
        <f t="array" ref="F179">_xlfn.IFS(
E179="Ahmedabad","Gujarat",
E179="Bengaluru","Karnataka",
E179="Bhopal","Madhya Pradesh",
E179="Bhubaneswar","Odisha",
E179="Chandigarh","Chandigarh",
E179="Chennai","Tamil Nadu",
E179="Delhi","Delhi",
E179="Guwahati","Assam",
E179="Hyderabad","Telangana",
E179="Indore","Madhya Pradesh",
E179="Jaipur","Rajasthan",
E179="Kochi","Kerala",
E179="Kolkata","West Bengal",
E179="Lucknow","Uttar Pradesh",
E179="Mumbai","Maharashtra",
E179="Nagpur","Maharashtra",
E179="Patna","Bihar",
E179="Pune","Maharashtra",
E179="Raipur","Chhattisgarh",
E179="Surat","Gujarat",
TRUE,"Not Found"
)</f>
        <v>Chhattisgarh</v>
      </c>
      <c r="G179" t="s">
        <v>1150</v>
      </c>
      <c r="H179" t="s">
        <v>1163</v>
      </c>
      <c r="I179" t="s">
        <v>1266</v>
      </c>
      <c r="J179" t="s">
        <v>1330</v>
      </c>
      <c r="K179" t="s">
        <v>1331</v>
      </c>
      <c r="L179">
        <v>3</v>
      </c>
      <c r="M179">
        <v>548</v>
      </c>
      <c r="N179">
        <v>0.1</v>
      </c>
      <c r="O179">
        <v>493.2</v>
      </c>
      <c r="P179">
        <v>0.18</v>
      </c>
      <c r="Q179">
        <v>1479.6</v>
      </c>
      <c r="R179">
        <v>266.32799999999997</v>
      </c>
      <c r="S179">
        <v>1745.9280000000001</v>
      </c>
      <c r="T179">
        <f>ROUND(Table2[[#This Row],[TotalAmount]],0)</f>
        <v>1746</v>
      </c>
      <c r="U179" t="s">
        <v>1363</v>
      </c>
      <c r="V179" t="s">
        <v>1364</v>
      </c>
      <c r="W179" s="4">
        <v>45475</v>
      </c>
      <c r="X179" s="4" t="s">
        <v>1412</v>
      </c>
      <c r="Y179" t="b">
        <v>1</v>
      </c>
      <c r="Z179" s="1">
        <v>45480</v>
      </c>
      <c r="AA179" s="1">
        <v>45480</v>
      </c>
      <c r="AB179" t="s">
        <v>1403</v>
      </c>
      <c r="AC179" t="s">
        <v>1376</v>
      </c>
      <c r="AD179" t="s">
        <v>1377</v>
      </c>
      <c r="AE179" t="s">
        <v>1393</v>
      </c>
    </row>
    <row r="180" spans="1:31" x14ac:dyDescent="0.3">
      <c r="A180" t="s">
        <v>298</v>
      </c>
      <c r="B180" s="4">
        <v>45459.491666666669</v>
      </c>
      <c r="C180" t="s">
        <v>102</v>
      </c>
      <c r="D180" t="s">
        <v>1141</v>
      </c>
      <c r="E180" t="s">
        <v>1239</v>
      </c>
      <c r="F180" t="str" cm="1">
        <f t="array" ref="F180">_xlfn.IFS(
E180="Ahmedabad","Gujarat",
E180="Bengaluru","Karnataka",
E180="Bhopal","Madhya Pradesh",
E180="Bhubaneswar","Odisha",
E180="Chandigarh","Chandigarh",
E180="Chennai","Tamil Nadu",
E180="Delhi","Delhi",
E180="Guwahati","Assam",
E180="Hyderabad","Telangana",
E180="Indore","Madhya Pradesh",
E180="Jaipur","Rajasthan",
E180="Kochi","Kerala",
E180="Kolkata","West Bengal",
E180="Lucknow","Uttar Pradesh",
E180="Mumbai","Maharashtra",
E180="Nagpur","Maharashtra",
E180="Patna","Bihar",
E180="Pune","Maharashtra",
E180="Raipur","Chhattisgarh",
E180="Surat","Gujarat",
TRUE,"Not Found"
)</f>
        <v>Odisha</v>
      </c>
      <c r="G180" t="s">
        <v>1150</v>
      </c>
      <c r="H180" t="s">
        <v>1172</v>
      </c>
      <c r="I180" t="s">
        <v>1188</v>
      </c>
      <c r="J180" t="s">
        <v>1189</v>
      </c>
      <c r="K180" t="s">
        <v>1190</v>
      </c>
      <c r="L180">
        <v>3</v>
      </c>
      <c r="M180">
        <v>4555</v>
      </c>
      <c r="N180">
        <v>0</v>
      </c>
      <c r="O180">
        <v>4555</v>
      </c>
      <c r="P180">
        <v>0.12</v>
      </c>
      <c r="Q180">
        <v>13665</v>
      </c>
      <c r="R180">
        <v>1639.8</v>
      </c>
      <c r="S180">
        <v>15304.8</v>
      </c>
      <c r="T180">
        <f>ROUND(Table2[[#This Row],[TotalAmount]],0)</f>
        <v>15305</v>
      </c>
      <c r="U180" t="s">
        <v>1360</v>
      </c>
      <c r="V180" t="s">
        <v>1364</v>
      </c>
      <c r="W180" s="4">
        <v>45461</v>
      </c>
      <c r="X180" s="4" t="s">
        <v>1412</v>
      </c>
      <c r="Y180" t="b">
        <v>1</v>
      </c>
      <c r="Z180" s="1">
        <v>45473</v>
      </c>
      <c r="AA180" s="1">
        <v>45473</v>
      </c>
      <c r="AB180" t="s">
        <v>1401</v>
      </c>
      <c r="AC180" t="s">
        <v>1390</v>
      </c>
      <c r="AD180" t="s">
        <v>1397</v>
      </c>
      <c r="AE180" t="s">
        <v>1395</v>
      </c>
    </row>
    <row r="181" spans="1:31" x14ac:dyDescent="0.3">
      <c r="A181" t="s">
        <v>299</v>
      </c>
      <c r="B181" s="4">
        <v>45559.563888888893</v>
      </c>
      <c r="C181" t="s">
        <v>300</v>
      </c>
      <c r="D181" t="s">
        <v>1157</v>
      </c>
      <c r="E181" t="s">
        <v>1201</v>
      </c>
      <c r="F181" t="str" cm="1">
        <f t="array" ref="F181">_xlfn.IFS(
E181="Ahmedabad","Gujarat",
E181="Bengaluru","Karnataka",
E181="Bhopal","Madhya Pradesh",
E181="Bhubaneswar","Odisha",
E181="Chandigarh","Chandigarh",
E181="Chennai","Tamil Nadu",
E181="Delhi","Delhi",
E181="Guwahati","Assam",
E181="Hyderabad","Telangana",
E181="Indore","Madhya Pradesh",
E181="Jaipur","Rajasthan",
E181="Kochi","Kerala",
E181="Kolkata","West Bengal",
E181="Lucknow","Uttar Pradesh",
E181="Mumbai","Maharashtra",
E181="Nagpur","Maharashtra",
E181="Patna","Bihar",
E181="Pune","Maharashtra",
E181="Raipur","Chhattisgarh",
E181="Surat","Gujarat",
TRUE,"Not Found"
)</f>
        <v>Maharashtra</v>
      </c>
      <c r="G181" t="s">
        <v>1150</v>
      </c>
      <c r="H181" t="s">
        <v>1172</v>
      </c>
      <c r="I181" t="s">
        <v>1204</v>
      </c>
      <c r="J181" t="s">
        <v>1297</v>
      </c>
      <c r="K181" t="s">
        <v>1298</v>
      </c>
      <c r="L181">
        <v>3</v>
      </c>
      <c r="M181">
        <v>6110</v>
      </c>
      <c r="N181">
        <v>0.1</v>
      </c>
      <c r="O181">
        <v>5499</v>
      </c>
      <c r="P181">
        <v>0.18</v>
      </c>
      <c r="Q181">
        <v>16497</v>
      </c>
      <c r="R181">
        <v>2969.46</v>
      </c>
      <c r="S181">
        <v>19466.46</v>
      </c>
      <c r="T181">
        <f>ROUND(Table2[[#This Row],[TotalAmount]],0)</f>
        <v>19466</v>
      </c>
      <c r="U181" t="s">
        <v>1366</v>
      </c>
      <c r="V181" t="s">
        <v>1361</v>
      </c>
      <c r="W181" s="4">
        <v>45559</v>
      </c>
      <c r="X181" s="4">
        <v>45561</v>
      </c>
      <c r="Y181" t="b">
        <v>0</v>
      </c>
      <c r="Z181" t="s">
        <v>1412</v>
      </c>
      <c r="AA181" t="s">
        <v>1412</v>
      </c>
      <c r="AB181" t="s">
        <v>1412</v>
      </c>
      <c r="AC181" t="s">
        <v>1398</v>
      </c>
      <c r="AD181" t="s">
        <v>1394</v>
      </c>
      <c r="AE181" t="s">
        <v>1378</v>
      </c>
    </row>
    <row r="182" spans="1:31" x14ac:dyDescent="0.3">
      <c r="A182" t="s">
        <v>301</v>
      </c>
      <c r="B182" s="4">
        <v>45740.671527777777</v>
      </c>
      <c r="C182" t="s">
        <v>63</v>
      </c>
      <c r="D182" t="s">
        <v>1141</v>
      </c>
      <c r="E182" t="s">
        <v>1239</v>
      </c>
      <c r="F182" t="str" cm="1">
        <f t="array" ref="F182">_xlfn.IFS(
E182="Ahmedabad","Gujarat",
E182="Bengaluru","Karnataka",
E182="Bhopal","Madhya Pradesh",
E182="Bhubaneswar","Odisha",
E182="Chandigarh","Chandigarh",
E182="Chennai","Tamil Nadu",
E182="Delhi","Delhi",
E182="Guwahati","Assam",
E182="Hyderabad","Telangana",
E182="Indore","Madhya Pradesh",
E182="Jaipur","Rajasthan",
E182="Kochi","Kerala",
E182="Kolkata","West Bengal",
E182="Lucknow","Uttar Pradesh",
E182="Mumbai","Maharashtra",
E182="Nagpur","Maharashtra",
E182="Patna","Bihar",
E182="Pune","Maharashtra",
E182="Raipur","Chhattisgarh",
E182="Surat","Gujarat",
TRUE,"Not Found"
)</f>
        <v>Odisha</v>
      </c>
      <c r="G182" t="s">
        <v>1150</v>
      </c>
      <c r="H182" t="s">
        <v>1144</v>
      </c>
      <c r="I182" t="s">
        <v>1214</v>
      </c>
      <c r="J182" t="s">
        <v>1320</v>
      </c>
      <c r="K182" t="s">
        <v>1321</v>
      </c>
      <c r="L182">
        <v>1</v>
      </c>
      <c r="M182">
        <v>7181</v>
      </c>
      <c r="N182">
        <v>0.05</v>
      </c>
      <c r="O182">
        <v>6821.95</v>
      </c>
      <c r="P182">
        <v>0.05</v>
      </c>
      <c r="Q182">
        <v>6821.95</v>
      </c>
      <c r="R182">
        <v>341.09750000000003</v>
      </c>
      <c r="S182">
        <v>7163.0474999999997</v>
      </c>
      <c r="T182">
        <f>ROUND(Table2[[#This Row],[TotalAmount]],0)</f>
        <v>7163</v>
      </c>
      <c r="U182" t="s">
        <v>1363</v>
      </c>
      <c r="V182" t="s">
        <v>1361</v>
      </c>
      <c r="W182" s="4">
        <v>45740</v>
      </c>
      <c r="X182" s="4">
        <v>45743</v>
      </c>
      <c r="Y182" t="b">
        <v>0</v>
      </c>
      <c r="Z182" t="s">
        <v>1412</v>
      </c>
      <c r="AA182" t="s">
        <v>1412</v>
      </c>
      <c r="AB182" t="s">
        <v>1412</v>
      </c>
      <c r="AC182" t="s">
        <v>1382</v>
      </c>
      <c r="AD182" t="s">
        <v>1394</v>
      </c>
      <c r="AE182" t="s">
        <v>1393</v>
      </c>
    </row>
    <row r="183" spans="1:31" x14ac:dyDescent="0.3">
      <c r="A183" t="s">
        <v>302</v>
      </c>
      <c r="B183" s="4">
        <v>45766.595138888893</v>
      </c>
      <c r="C183" t="s">
        <v>47</v>
      </c>
      <c r="D183" t="s">
        <v>1182</v>
      </c>
      <c r="E183" t="s">
        <v>1183</v>
      </c>
      <c r="F183" t="str" cm="1">
        <f t="array" ref="F183">_xlfn.IFS(
E183="Ahmedabad","Gujarat",
E183="Bengaluru","Karnataka",
E183="Bhopal","Madhya Pradesh",
E183="Bhubaneswar","Odisha",
E183="Chandigarh","Chandigarh",
E183="Chennai","Tamil Nadu",
E183="Delhi","Delhi",
E183="Guwahati","Assam",
E183="Hyderabad","Telangana",
E183="Indore","Madhya Pradesh",
E183="Jaipur","Rajasthan",
E183="Kochi","Kerala",
E183="Kolkata","West Bengal",
E183="Lucknow","Uttar Pradesh",
E183="Mumbai","Maharashtra",
E183="Nagpur","Maharashtra",
E183="Patna","Bihar",
E183="Pune","Maharashtra",
E183="Raipur","Chhattisgarh",
E183="Surat","Gujarat",
TRUE,"Not Found"
)</f>
        <v>Telangana</v>
      </c>
      <c r="G183" t="s">
        <v>1150</v>
      </c>
      <c r="H183" t="s">
        <v>1167</v>
      </c>
      <c r="I183" t="s">
        <v>1211</v>
      </c>
      <c r="J183" t="s">
        <v>1212</v>
      </c>
      <c r="K183" t="s">
        <v>1213</v>
      </c>
      <c r="L183">
        <v>2</v>
      </c>
      <c r="M183">
        <v>17353</v>
      </c>
      <c r="N183">
        <v>0</v>
      </c>
      <c r="O183">
        <v>17353</v>
      </c>
      <c r="P183">
        <v>0.12</v>
      </c>
      <c r="Q183">
        <v>34706</v>
      </c>
      <c r="R183">
        <v>4164.72</v>
      </c>
      <c r="S183">
        <v>38870.720000000001</v>
      </c>
      <c r="T183">
        <f>ROUND(Table2[[#This Row],[TotalAmount]],0)</f>
        <v>38871</v>
      </c>
      <c r="U183" t="s">
        <v>1363</v>
      </c>
      <c r="V183" t="s">
        <v>1361</v>
      </c>
      <c r="W183" s="4">
        <v>45766</v>
      </c>
      <c r="X183" s="4">
        <v>45769</v>
      </c>
      <c r="Y183" t="b">
        <v>0</v>
      </c>
      <c r="Z183" t="s">
        <v>1412</v>
      </c>
      <c r="AA183" t="s">
        <v>1412</v>
      </c>
      <c r="AB183" t="s">
        <v>1412</v>
      </c>
      <c r="AC183" t="s">
        <v>1379</v>
      </c>
      <c r="AD183" t="s">
        <v>1385</v>
      </c>
      <c r="AE183" t="s">
        <v>1393</v>
      </c>
    </row>
    <row r="184" spans="1:31" x14ac:dyDescent="0.3">
      <c r="A184" t="s">
        <v>303</v>
      </c>
      <c r="B184" s="4">
        <v>45389.559027777781</v>
      </c>
      <c r="C184" t="s">
        <v>304</v>
      </c>
      <c r="D184" t="s">
        <v>1157</v>
      </c>
      <c r="E184" t="s">
        <v>1181</v>
      </c>
      <c r="F184" t="str" cm="1">
        <f t="array" ref="F184">_xlfn.IFS(
E184="Ahmedabad","Gujarat",
E184="Bengaluru","Karnataka",
E184="Bhopal","Madhya Pradesh",
E184="Bhubaneswar","Odisha",
E184="Chandigarh","Chandigarh",
E184="Chennai","Tamil Nadu",
E184="Delhi","Delhi",
E184="Guwahati","Assam",
E184="Hyderabad","Telangana",
E184="Indore","Madhya Pradesh",
E184="Jaipur","Rajasthan",
E184="Kochi","Kerala",
E184="Kolkata","West Bengal",
E184="Lucknow","Uttar Pradesh",
E184="Mumbai","Maharashtra",
E184="Nagpur","Maharashtra",
E184="Patna","Bihar",
E184="Pune","Maharashtra",
E184="Raipur","Chhattisgarh",
E184="Surat","Gujarat",
TRUE,"Not Found"
)</f>
        <v>Gujarat</v>
      </c>
      <c r="G184" t="s">
        <v>1143</v>
      </c>
      <c r="H184" t="s">
        <v>1167</v>
      </c>
      <c r="I184" t="s">
        <v>1288</v>
      </c>
      <c r="J184" t="s">
        <v>1293</v>
      </c>
      <c r="K184" t="s">
        <v>1294</v>
      </c>
      <c r="L184">
        <v>3</v>
      </c>
      <c r="M184">
        <v>46250</v>
      </c>
      <c r="N184">
        <v>0</v>
      </c>
      <c r="O184">
        <v>46250</v>
      </c>
      <c r="P184">
        <v>0.12</v>
      </c>
      <c r="Q184">
        <v>138750</v>
      </c>
      <c r="R184">
        <v>16650</v>
      </c>
      <c r="S184">
        <v>155400</v>
      </c>
      <c r="T184">
        <f>ROUND(Table2[[#This Row],[TotalAmount]],0)</f>
        <v>155400</v>
      </c>
      <c r="U184" t="s">
        <v>1362</v>
      </c>
      <c r="V184" t="s">
        <v>1361</v>
      </c>
      <c r="W184" s="4">
        <v>45389</v>
      </c>
      <c r="X184" s="4">
        <v>45393</v>
      </c>
      <c r="Y184" t="b">
        <v>0</v>
      </c>
      <c r="Z184" t="s">
        <v>1412</v>
      </c>
      <c r="AA184" t="s">
        <v>1412</v>
      </c>
      <c r="AB184" t="s">
        <v>1412</v>
      </c>
      <c r="AC184" t="s">
        <v>1386</v>
      </c>
      <c r="AD184" t="s">
        <v>1400</v>
      </c>
      <c r="AE184" t="s">
        <v>1389</v>
      </c>
    </row>
    <row r="185" spans="1:31" x14ac:dyDescent="0.3">
      <c r="A185" t="s">
        <v>305</v>
      </c>
      <c r="B185" s="4">
        <v>45325.69027777778</v>
      </c>
      <c r="C185" t="s">
        <v>304</v>
      </c>
      <c r="D185" t="s">
        <v>1157</v>
      </c>
      <c r="E185" t="s">
        <v>1181</v>
      </c>
      <c r="F185" t="str" cm="1">
        <f t="array" ref="F185">_xlfn.IFS(
E185="Ahmedabad","Gujarat",
E185="Bengaluru","Karnataka",
E185="Bhopal","Madhya Pradesh",
E185="Bhubaneswar","Odisha",
E185="Chandigarh","Chandigarh",
E185="Chennai","Tamil Nadu",
E185="Delhi","Delhi",
E185="Guwahati","Assam",
E185="Hyderabad","Telangana",
E185="Indore","Madhya Pradesh",
E185="Jaipur","Rajasthan",
E185="Kochi","Kerala",
E185="Kolkata","West Bengal",
E185="Lucknow","Uttar Pradesh",
E185="Mumbai","Maharashtra",
E185="Nagpur","Maharashtra",
E185="Patna","Bihar",
E185="Pune","Maharashtra",
E185="Raipur","Chhattisgarh",
E185="Surat","Gujarat",
TRUE,"Not Found"
)</f>
        <v>Gujarat</v>
      </c>
      <c r="G185" t="s">
        <v>1143</v>
      </c>
      <c r="H185" t="s">
        <v>1177</v>
      </c>
      <c r="I185" t="s">
        <v>1309</v>
      </c>
      <c r="J185" t="s">
        <v>1332</v>
      </c>
      <c r="K185" t="s">
        <v>1333</v>
      </c>
      <c r="L185">
        <v>2</v>
      </c>
      <c r="M185">
        <v>1087</v>
      </c>
      <c r="N185">
        <v>0</v>
      </c>
      <c r="O185">
        <v>1087</v>
      </c>
      <c r="P185">
        <v>0.12</v>
      </c>
      <c r="Q185">
        <v>2174</v>
      </c>
      <c r="R185">
        <v>260.88</v>
      </c>
      <c r="S185">
        <v>2434.88</v>
      </c>
      <c r="T185">
        <f>ROUND(Table2[[#This Row],[TotalAmount]],0)</f>
        <v>2435</v>
      </c>
      <c r="U185" t="s">
        <v>1363</v>
      </c>
      <c r="V185" t="s">
        <v>1361</v>
      </c>
      <c r="W185" s="4">
        <v>45326</v>
      </c>
      <c r="X185" s="4">
        <v>45328</v>
      </c>
      <c r="Y185" t="b">
        <v>0</v>
      </c>
      <c r="Z185" t="s">
        <v>1412</v>
      </c>
      <c r="AA185" t="s">
        <v>1412</v>
      </c>
      <c r="AB185" t="s">
        <v>1412</v>
      </c>
      <c r="AC185" t="s">
        <v>1386</v>
      </c>
      <c r="AD185" t="s">
        <v>1377</v>
      </c>
      <c r="AE185" t="s">
        <v>1380</v>
      </c>
    </row>
    <row r="186" spans="1:31" x14ac:dyDescent="0.3">
      <c r="A186" t="s">
        <v>306</v>
      </c>
      <c r="B186" s="4">
        <v>45759.676388888889</v>
      </c>
      <c r="C186" t="s">
        <v>18</v>
      </c>
      <c r="D186" t="s">
        <v>1153</v>
      </c>
      <c r="E186" t="s">
        <v>1176</v>
      </c>
      <c r="F186" t="str" cm="1">
        <f t="array" ref="F186">_xlfn.IFS(
E186="Ahmedabad","Gujarat",
E186="Bengaluru","Karnataka",
E186="Bhopal","Madhya Pradesh",
E186="Bhubaneswar","Odisha",
E186="Chandigarh","Chandigarh",
E186="Chennai","Tamil Nadu",
E186="Delhi","Delhi",
E186="Guwahati","Assam",
E186="Hyderabad","Telangana",
E186="Indore","Madhya Pradesh",
E186="Jaipur","Rajasthan",
E186="Kochi","Kerala",
E186="Kolkata","West Bengal",
E186="Lucknow","Uttar Pradesh",
E186="Mumbai","Maharashtra",
E186="Nagpur","Maharashtra",
E186="Patna","Bihar",
E186="Pune","Maharashtra",
E186="Raipur","Chhattisgarh",
E186="Surat","Gujarat",
TRUE,"Not Found"
)</f>
        <v>Chhattisgarh</v>
      </c>
      <c r="G186" t="s">
        <v>1143</v>
      </c>
      <c r="H186" t="s">
        <v>1177</v>
      </c>
      <c r="I186" t="s">
        <v>1192</v>
      </c>
      <c r="J186" t="s">
        <v>1283</v>
      </c>
      <c r="K186" t="s">
        <v>1284</v>
      </c>
      <c r="L186">
        <v>2</v>
      </c>
      <c r="M186">
        <v>1793</v>
      </c>
      <c r="N186">
        <v>0.05</v>
      </c>
      <c r="O186">
        <v>1703.35</v>
      </c>
      <c r="P186">
        <v>0.12</v>
      </c>
      <c r="Q186">
        <v>3406.7</v>
      </c>
      <c r="R186">
        <v>408.80399999999997</v>
      </c>
      <c r="S186">
        <v>3815.5039999999999</v>
      </c>
      <c r="T186">
        <f>ROUND(Table2[[#This Row],[TotalAmount]],0)</f>
        <v>3816</v>
      </c>
      <c r="U186" t="s">
        <v>1366</v>
      </c>
      <c r="V186" t="s">
        <v>1361</v>
      </c>
      <c r="W186" s="4">
        <v>45759</v>
      </c>
      <c r="X186" s="4">
        <v>45760</v>
      </c>
      <c r="Y186" t="b">
        <v>0</v>
      </c>
      <c r="Z186" t="s">
        <v>1412</v>
      </c>
      <c r="AA186" t="s">
        <v>1412</v>
      </c>
      <c r="AB186" t="s">
        <v>1412</v>
      </c>
      <c r="AC186" t="s">
        <v>1388</v>
      </c>
      <c r="AD186" t="s">
        <v>1385</v>
      </c>
      <c r="AE186" t="s">
        <v>1393</v>
      </c>
    </row>
    <row r="187" spans="1:31" x14ac:dyDescent="0.3">
      <c r="A187" t="s">
        <v>307</v>
      </c>
      <c r="B187" s="4">
        <v>45618.418055555558</v>
      </c>
      <c r="C187" t="s">
        <v>208</v>
      </c>
      <c r="D187" t="s">
        <v>1157</v>
      </c>
      <c r="E187" t="s">
        <v>1201</v>
      </c>
      <c r="F187" t="str" cm="1">
        <f t="array" ref="F187">_xlfn.IFS(
E187="Ahmedabad","Gujarat",
E187="Bengaluru","Karnataka",
E187="Bhopal","Madhya Pradesh",
E187="Bhubaneswar","Odisha",
E187="Chandigarh","Chandigarh",
E187="Chennai","Tamil Nadu",
E187="Delhi","Delhi",
E187="Guwahati","Assam",
E187="Hyderabad","Telangana",
E187="Indore","Madhya Pradesh",
E187="Jaipur","Rajasthan",
E187="Kochi","Kerala",
E187="Kolkata","West Bengal",
E187="Lucknow","Uttar Pradesh",
E187="Mumbai","Maharashtra",
E187="Nagpur","Maharashtra",
E187="Patna","Bihar",
E187="Pune","Maharashtra",
E187="Raipur","Chhattisgarh",
E187="Surat","Gujarat",
TRUE,"Not Found"
)</f>
        <v>Maharashtra</v>
      </c>
      <c r="G187" t="s">
        <v>1187</v>
      </c>
      <c r="H187" t="s">
        <v>1144</v>
      </c>
      <c r="I187" t="s">
        <v>1145</v>
      </c>
      <c r="J187" t="s">
        <v>1146</v>
      </c>
      <c r="K187" t="s">
        <v>1147</v>
      </c>
      <c r="L187">
        <v>1</v>
      </c>
      <c r="M187">
        <v>7941</v>
      </c>
      <c r="N187">
        <v>0</v>
      </c>
      <c r="O187">
        <v>7941</v>
      </c>
      <c r="P187">
        <v>0.05</v>
      </c>
      <c r="Q187">
        <v>7941</v>
      </c>
      <c r="R187">
        <v>397.05</v>
      </c>
      <c r="S187">
        <v>8338.0499999999993</v>
      </c>
      <c r="T187">
        <f>ROUND(Table2[[#This Row],[TotalAmount]],0)</f>
        <v>8338</v>
      </c>
      <c r="U187" t="s">
        <v>1363</v>
      </c>
      <c r="V187" t="s">
        <v>1361</v>
      </c>
      <c r="W187" s="4">
        <v>45618</v>
      </c>
      <c r="X187" s="4">
        <v>45619</v>
      </c>
      <c r="Y187" t="b">
        <v>0</v>
      </c>
      <c r="Z187" t="s">
        <v>1412</v>
      </c>
      <c r="AA187" t="s">
        <v>1412</v>
      </c>
      <c r="AB187" t="s">
        <v>1412</v>
      </c>
      <c r="AC187" t="s">
        <v>1392</v>
      </c>
      <c r="AD187" t="s">
        <v>1385</v>
      </c>
      <c r="AE187" t="s">
        <v>1380</v>
      </c>
    </row>
    <row r="188" spans="1:31" x14ac:dyDescent="0.3">
      <c r="A188" t="s">
        <v>308</v>
      </c>
      <c r="B188" s="4">
        <v>45544.666666666657</v>
      </c>
      <c r="C188" t="s">
        <v>18</v>
      </c>
      <c r="D188" t="s">
        <v>1153</v>
      </c>
      <c r="E188" t="s">
        <v>1176</v>
      </c>
      <c r="F188" t="str" cm="1">
        <f t="array" ref="F188">_xlfn.IFS(
E188="Ahmedabad","Gujarat",
E188="Bengaluru","Karnataka",
E188="Bhopal","Madhya Pradesh",
E188="Bhubaneswar","Odisha",
E188="Chandigarh","Chandigarh",
E188="Chennai","Tamil Nadu",
E188="Delhi","Delhi",
E188="Guwahati","Assam",
E188="Hyderabad","Telangana",
E188="Indore","Madhya Pradesh",
E188="Jaipur","Rajasthan",
E188="Kochi","Kerala",
E188="Kolkata","West Bengal",
E188="Lucknow","Uttar Pradesh",
E188="Mumbai","Maharashtra",
E188="Nagpur","Maharashtra",
E188="Patna","Bihar",
E188="Pune","Maharashtra",
E188="Raipur","Chhattisgarh",
E188="Surat","Gujarat",
TRUE,"Not Found"
)</f>
        <v>Chhattisgarh</v>
      </c>
      <c r="G188" t="s">
        <v>1187</v>
      </c>
      <c r="H188" t="s">
        <v>1172</v>
      </c>
      <c r="I188" t="s">
        <v>1204</v>
      </c>
      <c r="J188" t="s">
        <v>1297</v>
      </c>
      <c r="K188" t="s">
        <v>1298</v>
      </c>
      <c r="L188">
        <v>3</v>
      </c>
      <c r="M188">
        <v>4904</v>
      </c>
      <c r="N188">
        <v>0.05</v>
      </c>
      <c r="O188">
        <v>4658.8</v>
      </c>
      <c r="P188">
        <v>0.12</v>
      </c>
      <c r="Q188">
        <v>13976.4</v>
      </c>
      <c r="R188">
        <v>1677.1679999999999</v>
      </c>
      <c r="S188">
        <v>15653.567999999999</v>
      </c>
      <c r="T188">
        <f>ROUND(Table2[[#This Row],[TotalAmount]],0)</f>
        <v>15654</v>
      </c>
      <c r="U188" t="s">
        <v>1365</v>
      </c>
      <c r="V188" t="s">
        <v>1364</v>
      </c>
      <c r="W188" s="4">
        <v>45546</v>
      </c>
      <c r="X188" s="4" t="s">
        <v>1412</v>
      </c>
      <c r="Y188" t="b">
        <v>1</v>
      </c>
      <c r="Z188" s="1">
        <v>45562</v>
      </c>
      <c r="AA188" s="1">
        <v>45562</v>
      </c>
      <c r="AB188" t="s">
        <v>1402</v>
      </c>
      <c r="AC188" t="s">
        <v>1392</v>
      </c>
      <c r="AD188" t="s">
        <v>1400</v>
      </c>
      <c r="AE188" t="s">
        <v>1389</v>
      </c>
    </row>
    <row r="189" spans="1:31" x14ac:dyDescent="0.3">
      <c r="A189" t="s">
        <v>309</v>
      </c>
      <c r="B189" s="4">
        <v>45739.611805555563</v>
      </c>
      <c r="C189" t="s">
        <v>275</v>
      </c>
      <c r="D189" t="s">
        <v>1141</v>
      </c>
      <c r="E189" t="s">
        <v>1227</v>
      </c>
      <c r="F189" t="str" cm="1">
        <f t="array" ref="F189">_xlfn.IFS(
E189="Ahmedabad","Gujarat",
E189="Bengaluru","Karnataka",
E189="Bhopal","Madhya Pradesh",
E189="Bhubaneswar","Odisha",
E189="Chandigarh","Chandigarh",
E189="Chennai","Tamil Nadu",
E189="Delhi","Delhi",
E189="Guwahati","Assam",
E189="Hyderabad","Telangana",
E189="Indore","Madhya Pradesh",
E189="Jaipur","Rajasthan",
E189="Kochi","Kerala",
E189="Kolkata","West Bengal",
E189="Lucknow","Uttar Pradesh",
E189="Mumbai","Maharashtra",
E189="Nagpur","Maharashtra",
E189="Patna","Bihar",
E189="Pune","Maharashtra",
E189="Raipur","Chhattisgarh",
E189="Surat","Gujarat",
TRUE,"Not Found"
)</f>
        <v>Bihar</v>
      </c>
      <c r="G189" t="s">
        <v>1143</v>
      </c>
      <c r="H189" t="s">
        <v>1172</v>
      </c>
      <c r="I189" t="s">
        <v>1188</v>
      </c>
      <c r="J189" t="s">
        <v>1258</v>
      </c>
      <c r="K189" t="s">
        <v>1259</v>
      </c>
      <c r="L189">
        <v>3</v>
      </c>
      <c r="M189">
        <v>2835</v>
      </c>
      <c r="N189">
        <v>0.05</v>
      </c>
      <c r="O189">
        <v>2693.25</v>
      </c>
      <c r="P189">
        <v>0.05</v>
      </c>
      <c r="Q189">
        <v>8079.75</v>
      </c>
      <c r="R189">
        <v>403.98750000000001</v>
      </c>
      <c r="S189">
        <v>8483.7374999999993</v>
      </c>
      <c r="T189">
        <f>ROUND(Table2[[#This Row],[TotalAmount]],0)</f>
        <v>8484</v>
      </c>
      <c r="U189" t="s">
        <v>1363</v>
      </c>
      <c r="V189" t="s">
        <v>1361</v>
      </c>
      <c r="W189" s="4">
        <v>45739</v>
      </c>
      <c r="X189" s="4">
        <v>45740</v>
      </c>
      <c r="Y189" t="b">
        <v>0</v>
      </c>
      <c r="Z189" t="s">
        <v>1412</v>
      </c>
      <c r="AA189" t="s">
        <v>1412</v>
      </c>
      <c r="AB189" t="s">
        <v>1412</v>
      </c>
      <c r="AC189" t="s">
        <v>1388</v>
      </c>
      <c r="AD189" t="s">
        <v>1385</v>
      </c>
      <c r="AE189" t="s">
        <v>1380</v>
      </c>
    </row>
    <row r="190" spans="1:31" x14ac:dyDescent="0.3">
      <c r="A190" t="s">
        <v>310</v>
      </c>
      <c r="B190" s="4">
        <v>45341.521527777782</v>
      </c>
      <c r="C190" t="s">
        <v>77</v>
      </c>
      <c r="D190" t="s">
        <v>1182</v>
      </c>
      <c r="E190" t="s">
        <v>1256</v>
      </c>
      <c r="F190" t="str" cm="1">
        <f t="array" ref="F190">_xlfn.IFS(
E190="Ahmedabad","Gujarat",
E190="Bengaluru","Karnataka",
E190="Bhopal","Madhya Pradesh",
E190="Bhubaneswar","Odisha",
E190="Chandigarh","Chandigarh",
E190="Chennai","Tamil Nadu",
E190="Delhi","Delhi",
E190="Guwahati","Assam",
E190="Hyderabad","Telangana",
E190="Indore","Madhya Pradesh",
E190="Jaipur","Rajasthan",
E190="Kochi","Kerala",
E190="Kolkata","West Bengal",
E190="Lucknow","Uttar Pradesh",
E190="Mumbai","Maharashtra",
E190="Nagpur","Maharashtra",
E190="Patna","Bihar",
E190="Pune","Maharashtra",
E190="Raipur","Chhattisgarh",
E190="Surat","Gujarat",
TRUE,"Not Found"
)</f>
        <v>Karnataka</v>
      </c>
      <c r="G190" t="s">
        <v>1150</v>
      </c>
      <c r="H190" t="s">
        <v>1167</v>
      </c>
      <c r="I190" t="s">
        <v>1168</v>
      </c>
      <c r="J190" t="s">
        <v>1314</v>
      </c>
      <c r="K190" t="s">
        <v>1315</v>
      </c>
      <c r="L190">
        <v>2</v>
      </c>
      <c r="M190">
        <v>43933</v>
      </c>
      <c r="N190">
        <v>0</v>
      </c>
      <c r="O190">
        <v>43933</v>
      </c>
      <c r="P190">
        <v>0.12</v>
      </c>
      <c r="Q190">
        <v>87866</v>
      </c>
      <c r="R190">
        <v>10543.92</v>
      </c>
      <c r="S190">
        <v>98409.919999999998</v>
      </c>
      <c r="T190">
        <f>ROUND(Table2[[#This Row],[TotalAmount]],0)</f>
        <v>98410</v>
      </c>
      <c r="U190" t="s">
        <v>1360</v>
      </c>
      <c r="V190" t="s">
        <v>1369</v>
      </c>
      <c r="W190" s="4" t="s">
        <v>1412</v>
      </c>
      <c r="X190" s="4" t="s">
        <v>1412</v>
      </c>
      <c r="Y190" t="b">
        <v>0</v>
      </c>
      <c r="Z190" t="s">
        <v>1412</v>
      </c>
      <c r="AA190" t="s">
        <v>1412</v>
      </c>
      <c r="AB190" t="s">
        <v>1412</v>
      </c>
      <c r="AC190" t="s">
        <v>1386</v>
      </c>
      <c r="AD190" t="s">
        <v>1399</v>
      </c>
      <c r="AE190" t="s">
        <v>1378</v>
      </c>
    </row>
    <row r="191" spans="1:31" x14ac:dyDescent="0.3">
      <c r="A191" t="s">
        <v>311</v>
      </c>
      <c r="B191" s="4">
        <v>45661.645833333343</v>
      </c>
      <c r="C191" t="s">
        <v>117</v>
      </c>
      <c r="D191" t="s">
        <v>1141</v>
      </c>
      <c r="E191" t="s">
        <v>1285</v>
      </c>
      <c r="F191" t="str" cm="1">
        <f t="array" ref="F191">_xlfn.IFS(
E191="Ahmedabad","Gujarat",
E191="Bengaluru","Karnataka",
E191="Bhopal","Madhya Pradesh",
E191="Bhubaneswar","Odisha",
E191="Chandigarh","Chandigarh",
E191="Chennai","Tamil Nadu",
E191="Delhi","Delhi",
E191="Guwahati","Assam",
E191="Hyderabad","Telangana",
E191="Indore","Madhya Pradesh",
E191="Jaipur","Rajasthan",
E191="Kochi","Kerala",
E191="Kolkata","West Bengal",
E191="Lucknow","Uttar Pradesh",
E191="Mumbai","Maharashtra",
E191="Nagpur","Maharashtra",
E191="Patna","Bihar",
E191="Pune","Maharashtra",
E191="Raipur","Chhattisgarh",
E191="Surat","Gujarat",
TRUE,"Not Found"
)</f>
        <v>Assam</v>
      </c>
      <c r="G191" t="s">
        <v>1150</v>
      </c>
      <c r="H191" t="s">
        <v>1163</v>
      </c>
      <c r="I191" t="s">
        <v>1164</v>
      </c>
      <c r="J191" t="s">
        <v>1165</v>
      </c>
      <c r="K191" t="s">
        <v>1166</v>
      </c>
      <c r="L191">
        <v>1</v>
      </c>
      <c r="M191">
        <v>327</v>
      </c>
      <c r="N191">
        <v>0.1</v>
      </c>
      <c r="O191">
        <v>294.3</v>
      </c>
      <c r="P191">
        <v>0.05</v>
      </c>
      <c r="Q191">
        <v>294.3</v>
      </c>
      <c r="R191">
        <v>14.715</v>
      </c>
      <c r="S191">
        <v>309.01499999999999</v>
      </c>
      <c r="T191">
        <f>ROUND(Table2[[#This Row],[TotalAmount]],0)</f>
        <v>309</v>
      </c>
      <c r="U191" t="s">
        <v>1366</v>
      </c>
      <c r="V191" t="s">
        <v>1361</v>
      </c>
      <c r="W191" s="4">
        <v>45661</v>
      </c>
      <c r="X191" s="4">
        <v>45664</v>
      </c>
      <c r="Y191" t="b">
        <v>0</v>
      </c>
      <c r="Z191" t="s">
        <v>1412</v>
      </c>
      <c r="AA191" t="s">
        <v>1412</v>
      </c>
      <c r="AB191" t="s">
        <v>1412</v>
      </c>
      <c r="AC191" t="s">
        <v>1384</v>
      </c>
      <c r="AD191" t="s">
        <v>1385</v>
      </c>
      <c r="AE191" t="s">
        <v>1389</v>
      </c>
    </row>
    <row r="192" spans="1:31" x14ac:dyDescent="0.3">
      <c r="A192" t="s">
        <v>312</v>
      </c>
      <c r="B192" s="4">
        <v>45517.60833333333</v>
      </c>
      <c r="C192" t="s">
        <v>313</v>
      </c>
      <c r="D192" t="s">
        <v>1148</v>
      </c>
      <c r="E192" t="s">
        <v>1149</v>
      </c>
      <c r="F192" t="str" cm="1">
        <f t="array" ref="F192">_xlfn.IFS(
E192="Ahmedabad","Gujarat",
E192="Bengaluru","Karnataka",
E192="Bhopal","Madhya Pradesh",
E192="Bhubaneswar","Odisha",
E192="Chandigarh","Chandigarh",
E192="Chennai","Tamil Nadu",
E192="Delhi","Delhi",
E192="Guwahati","Assam",
E192="Hyderabad","Telangana",
E192="Indore","Madhya Pradesh",
E192="Jaipur","Rajasthan",
E192="Kochi","Kerala",
E192="Kolkata","West Bengal",
E192="Lucknow","Uttar Pradesh",
E192="Mumbai","Maharashtra",
E192="Nagpur","Maharashtra",
E192="Patna","Bihar",
E192="Pune","Maharashtra",
E192="Raipur","Chhattisgarh",
E192="Surat","Gujarat",
TRUE,"Not Found"
)</f>
        <v>Uttar Pradesh</v>
      </c>
      <c r="G192" t="s">
        <v>1150</v>
      </c>
      <c r="H192" t="s">
        <v>1144</v>
      </c>
      <c r="I192" t="s">
        <v>1145</v>
      </c>
      <c r="J192" t="s">
        <v>1151</v>
      </c>
      <c r="K192" t="s">
        <v>1152</v>
      </c>
      <c r="L192">
        <v>3</v>
      </c>
      <c r="M192">
        <v>10983</v>
      </c>
      <c r="N192">
        <v>0.15</v>
      </c>
      <c r="O192">
        <v>9335.5499999999993</v>
      </c>
      <c r="P192">
        <v>0.12</v>
      </c>
      <c r="Q192">
        <v>28006.65</v>
      </c>
      <c r="R192">
        <v>3360.7979999999998</v>
      </c>
      <c r="S192">
        <v>31367.448</v>
      </c>
      <c r="T192">
        <f>ROUND(Table2[[#This Row],[TotalAmount]],0)</f>
        <v>31367</v>
      </c>
      <c r="U192" t="s">
        <v>1360</v>
      </c>
      <c r="V192" t="s">
        <v>1369</v>
      </c>
      <c r="W192" s="4" t="s">
        <v>1412</v>
      </c>
      <c r="X192" s="4" t="s">
        <v>1412</v>
      </c>
      <c r="Y192" t="b">
        <v>0</v>
      </c>
      <c r="Z192" t="s">
        <v>1412</v>
      </c>
      <c r="AA192" t="s">
        <v>1412</v>
      </c>
      <c r="AB192" t="s">
        <v>1412</v>
      </c>
      <c r="AC192" t="s">
        <v>1390</v>
      </c>
      <c r="AD192" t="s">
        <v>1387</v>
      </c>
      <c r="AE192" t="s">
        <v>1383</v>
      </c>
    </row>
    <row r="193" spans="1:31" x14ac:dyDescent="0.3">
      <c r="A193" t="s">
        <v>314</v>
      </c>
      <c r="B193" s="4">
        <v>45578.481944444437</v>
      </c>
      <c r="C193" t="s">
        <v>65</v>
      </c>
      <c r="D193" t="s">
        <v>1141</v>
      </c>
      <c r="E193" t="s">
        <v>1142</v>
      </c>
      <c r="F193" t="str" cm="1">
        <f t="array" ref="F193">_xlfn.IFS(
E193="Ahmedabad","Gujarat",
E193="Bengaluru","Karnataka",
E193="Bhopal","Madhya Pradesh",
E193="Bhubaneswar","Odisha",
E193="Chandigarh","Chandigarh",
E193="Chennai","Tamil Nadu",
E193="Delhi","Delhi",
E193="Guwahati","Assam",
E193="Hyderabad","Telangana",
E193="Indore","Madhya Pradesh",
E193="Jaipur","Rajasthan",
E193="Kochi","Kerala",
E193="Kolkata","West Bengal",
E193="Lucknow","Uttar Pradesh",
E193="Mumbai","Maharashtra",
E193="Nagpur","Maharashtra",
E193="Patna","Bihar",
E193="Pune","Maharashtra",
E193="Raipur","Chhattisgarh",
E193="Surat","Gujarat",
TRUE,"Not Found"
)</f>
        <v>West Bengal</v>
      </c>
      <c r="G193" t="s">
        <v>1143</v>
      </c>
      <c r="H193" t="s">
        <v>1163</v>
      </c>
      <c r="I193" t="s">
        <v>1184</v>
      </c>
      <c r="J193" t="s">
        <v>1260</v>
      </c>
      <c r="K193" t="s">
        <v>1261</v>
      </c>
      <c r="L193">
        <v>1</v>
      </c>
      <c r="M193">
        <v>604</v>
      </c>
      <c r="N193">
        <v>0</v>
      </c>
      <c r="O193">
        <v>604</v>
      </c>
      <c r="P193">
        <v>0.12</v>
      </c>
      <c r="Q193">
        <v>604</v>
      </c>
      <c r="R193">
        <v>72.48</v>
      </c>
      <c r="S193">
        <v>676.48</v>
      </c>
      <c r="T193">
        <f>ROUND(Table2[[#This Row],[TotalAmount]],0)</f>
        <v>676</v>
      </c>
      <c r="U193" t="s">
        <v>1363</v>
      </c>
      <c r="V193" t="s">
        <v>1361</v>
      </c>
      <c r="W193" s="4">
        <v>45580</v>
      </c>
      <c r="X193" s="4">
        <v>45581</v>
      </c>
      <c r="Y193" t="b">
        <v>0</v>
      </c>
      <c r="Z193" t="s">
        <v>1412</v>
      </c>
      <c r="AA193" t="s">
        <v>1412</v>
      </c>
      <c r="AB193" t="s">
        <v>1412</v>
      </c>
      <c r="AC193" t="s">
        <v>1392</v>
      </c>
      <c r="AD193" t="s">
        <v>1400</v>
      </c>
      <c r="AE193" t="s">
        <v>1391</v>
      </c>
    </row>
    <row r="194" spans="1:31" x14ac:dyDescent="0.3">
      <c r="A194" t="s">
        <v>315</v>
      </c>
      <c r="B194" s="4">
        <v>45418.454861111109</v>
      </c>
      <c r="C194" t="s">
        <v>316</v>
      </c>
      <c r="D194" t="s">
        <v>1148</v>
      </c>
      <c r="E194" t="s">
        <v>1262</v>
      </c>
      <c r="F194" t="str" cm="1">
        <f t="array" ref="F194">_xlfn.IFS(
E194="Ahmedabad","Gujarat",
E194="Bengaluru","Karnataka",
E194="Bhopal","Madhya Pradesh",
E194="Bhubaneswar","Odisha",
E194="Chandigarh","Chandigarh",
E194="Chennai","Tamil Nadu",
E194="Delhi","Delhi",
E194="Guwahati","Assam",
E194="Hyderabad","Telangana",
E194="Indore","Madhya Pradesh",
E194="Jaipur","Rajasthan",
E194="Kochi","Kerala",
E194="Kolkata","West Bengal",
E194="Lucknow","Uttar Pradesh",
E194="Mumbai","Maharashtra",
E194="Nagpur","Maharashtra",
E194="Patna","Bihar",
E194="Pune","Maharashtra",
E194="Raipur","Chhattisgarh",
E194="Surat","Gujarat",
TRUE,"Not Found"
)</f>
        <v>Rajasthan</v>
      </c>
      <c r="G194" t="s">
        <v>1143</v>
      </c>
      <c r="H194" t="s">
        <v>1144</v>
      </c>
      <c r="I194" t="s">
        <v>1214</v>
      </c>
      <c r="J194" t="s">
        <v>1320</v>
      </c>
      <c r="K194" t="s">
        <v>1321</v>
      </c>
      <c r="L194">
        <v>3</v>
      </c>
      <c r="M194">
        <v>4347</v>
      </c>
      <c r="N194">
        <v>0.15</v>
      </c>
      <c r="O194">
        <v>3694.95</v>
      </c>
      <c r="P194">
        <v>0.12</v>
      </c>
      <c r="Q194">
        <v>11084.85</v>
      </c>
      <c r="R194">
        <v>1330.182</v>
      </c>
      <c r="S194">
        <v>12415.031999999999</v>
      </c>
      <c r="T194">
        <f>ROUND(Table2[[#This Row],[TotalAmount]],0)</f>
        <v>12415</v>
      </c>
      <c r="U194" t="s">
        <v>1363</v>
      </c>
      <c r="V194" t="s">
        <v>1361</v>
      </c>
      <c r="W194" s="4">
        <v>45420</v>
      </c>
      <c r="X194" s="4">
        <v>45425</v>
      </c>
      <c r="Y194" t="b">
        <v>0</v>
      </c>
      <c r="Z194" t="s">
        <v>1412</v>
      </c>
      <c r="AA194" t="s">
        <v>1412</v>
      </c>
      <c r="AB194" t="s">
        <v>1412</v>
      </c>
      <c r="AC194" t="s">
        <v>1384</v>
      </c>
      <c r="AD194" t="s">
        <v>1377</v>
      </c>
      <c r="AE194" t="s">
        <v>1395</v>
      </c>
    </row>
    <row r="195" spans="1:31" x14ac:dyDescent="0.3">
      <c r="A195" t="s">
        <v>317</v>
      </c>
      <c r="B195" s="4">
        <v>45359.427083333343</v>
      </c>
      <c r="C195" t="s">
        <v>318</v>
      </c>
      <c r="D195" t="s">
        <v>1153</v>
      </c>
      <c r="E195" t="s">
        <v>1176</v>
      </c>
      <c r="F195" t="str" cm="1">
        <f t="array" ref="F195">_xlfn.IFS(
E195="Ahmedabad","Gujarat",
E195="Bengaluru","Karnataka",
E195="Bhopal","Madhya Pradesh",
E195="Bhubaneswar","Odisha",
E195="Chandigarh","Chandigarh",
E195="Chennai","Tamil Nadu",
E195="Delhi","Delhi",
E195="Guwahati","Assam",
E195="Hyderabad","Telangana",
E195="Indore","Madhya Pradesh",
E195="Jaipur","Rajasthan",
E195="Kochi","Kerala",
E195="Kolkata","West Bengal",
E195="Lucknow","Uttar Pradesh",
E195="Mumbai","Maharashtra",
E195="Nagpur","Maharashtra",
E195="Patna","Bihar",
E195="Pune","Maharashtra",
E195="Raipur","Chhattisgarh",
E195="Surat","Gujarat",
TRUE,"Not Found"
)</f>
        <v>Chhattisgarh</v>
      </c>
      <c r="G195" t="s">
        <v>1143</v>
      </c>
      <c r="H195" t="s">
        <v>1172</v>
      </c>
      <c r="I195" t="s">
        <v>1204</v>
      </c>
      <c r="J195" t="s">
        <v>1205</v>
      </c>
      <c r="K195" t="s">
        <v>1206</v>
      </c>
      <c r="L195">
        <v>1</v>
      </c>
      <c r="M195">
        <v>7294</v>
      </c>
      <c r="N195">
        <v>0.15</v>
      </c>
      <c r="O195">
        <v>6199.9</v>
      </c>
      <c r="P195">
        <v>0.12</v>
      </c>
      <c r="Q195">
        <v>6199.9</v>
      </c>
      <c r="R195">
        <v>743.98799999999994</v>
      </c>
      <c r="S195">
        <v>6943.8879999999999</v>
      </c>
      <c r="T195">
        <f>ROUND(Table2[[#This Row],[TotalAmount]],0)</f>
        <v>6944</v>
      </c>
      <c r="U195" t="s">
        <v>1366</v>
      </c>
      <c r="V195" t="s">
        <v>1368</v>
      </c>
      <c r="W195" s="4">
        <v>45359</v>
      </c>
      <c r="X195" s="4" t="s">
        <v>1412</v>
      </c>
      <c r="Y195" t="b">
        <v>0</v>
      </c>
      <c r="Z195" t="s">
        <v>1412</v>
      </c>
      <c r="AA195" t="s">
        <v>1412</v>
      </c>
      <c r="AB195" t="s">
        <v>1412</v>
      </c>
      <c r="AC195" t="s">
        <v>1384</v>
      </c>
      <c r="AD195" t="s">
        <v>1397</v>
      </c>
      <c r="AE195" t="s">
        <v>1378</v>
      </c>
    </row>
    <row r="196" spans="1:31" x14ac:dyDescent="0.3">
      <c r="A196" t="s">
        <v>319</v>
      </c>
      <c r="B196" s="4">
        <v>45499.459722222222</v>
      </c>
      <c r="C196" t="s">
        <v>320</v>
      </c>
      <c r="D196" t="s">
        <v>1153</v>
      </c>
      <c r="E196" t="s">
        <v>1162</v>
      </c>
      <c r="F196" t="str" cm="1">
        <f t="array" ref="F196">_xlfn.IFS(
E196="Ahmedabad","Gujarat",
E196="Bengaluru","Karnataka",
E196="Bhopal","Madhya Pradesh",
E196="Bhubaneswar","Odisha",
E196="Chandigarh","Chandigarh",
E196="Chennai","Tamil Nadu",
E196="Delhi","Delhi",
E196="Guwahati","Assam",
E196="Hyderabad","Telangana",
E196="Indore","Madhya Pradesh",
E196="Jaipur","Rajasthan",
E196="Kochi","Kerala",
E196="Kolkata","West Bengal",
E196="Lucknow","Uttar Pradesh",
E196="Mumbai","Maharashtra",
E196="Nagpur","Maharashtra",
E196="Patna","Bihar",
E196="Pune","Maharashtra",
E196="Raipur","Chhattisgarh",
E196="Surat","Gujarat",
TRUE,"Not Found"
)</f>
        <v>Madhya Pradesh</v>
      </c>
      <c r="G196" t="s">
        <v>1150</v>
      </c>
      <c r="H196" t="s">
        <v>1144</v>
      </c>
      <c r="I196" t="s">
        <v>1159</v>
      </c>
      <c r="J196" t="s">
        <v>1334</v>
      </c>
      <c r="K196" t="s">
        <v>1335</v>
      </c>
      <c r="L196">
        <v>3</v>
      </c>
      <c r="M196">
        <v>14364</v>
      </c>
      <c r="N196">
        <v>0</v>
      </c>
      <c r="O196">
        <v>14364</v>
      </c>
      <c r="P196">
        <v>0.12</v>
      </c>
      <c r="Q196">
        <v>43092</v>
      </c>
      <c r="R196">
        <v>5171.04</v>
      </c>
      <c r="S196">
        <v>48263.040000000001</v>
      </c>
      <c r="T196">
        <f>ROUND(Table2[[#This Row],[TotalAmount]],0)</f>
        <v>48263</v>
      </c>
      <c r="U196" t="s">
        <v>1362</v>
      </c>
      <c r="V196" t="s">
        <v>1361</v>
      </c>
      <c r="W196" s="4">
        <v>45500</v>
      </c>
      <c r="X196" s="4">
        <v>45503</v>
      </c>
      <c r="Y196" t="b">
        <v>0</v>
      </c>
      <c r="Z196" t="s">
        <v>1412</v>
      </c>
      <c r="AA196" t="s">
        <v>1412</v>
      </c>
      <c r="AB196" t="s">
        <v>1412</v>
      </c>
      <c r="AC196" t="s">
        <v>1376</v>
      </c>
      <c r="AD196" t="s">
        <v>1397</v>
      </c>
      <c r="AE196" t="s">
        <v>1395</v>
      </c>
    </row>
    <row r="197" spans="1:31" x14ac:dyDescent="0.3">
      <c r="A197" t="s">
        <v>321</v>
      </c>
      <c r="B197" s="4">
        <v>45598.428472222222</v>
      </c>
      <c r="C197" t="s">
        <v>173</v>
      </c>
      <c r="D197" t="s">
        <v>1153</v>
      </c>
      <c r="E197" t="s">
        <v>1176</v>
      </c>
      <c r="F197" t="str" cm="1">
        <f t="array" ref="F197">_xlfn.IFS(
E197="Ahmedabad","Gujarat",
E197="Bengaluru","Karnataka",
E197="Bhopal","Madhya Pradesh",
E197="Bhubaneswar","Odisha",
E197="Chandigarh","Chandigarh",
E197="Chennai","Tamil Nadu",
E197="Delhi","Delhi",
E197="Guwahati","Assam",
E197="Hyderabad","Telangana",
E197="Indore","Madhya Pradesh",
E197="Jaipur","Rajasthan",
E197="Kochi","Kerala",
E197="Kolkata","West Bengal",
E197="Lucknow","Uttar Pradesh",
E197="Mumbai","Maharashtra",
E197="Nagpur","Maharashtra",
E197="Patna","Bihar",
E197="Pune","Maharashtra",
E197="Raipur","Chhattisgarh",
E197="Surat","Gujarat",
TRUE,"Not Found"
)</f>
        <v>Chhattisgarh</v>
      </c>
      <c r="G197" t="s">
        <v>1150</v>
      </c>
      <c r="H197" t="s">
        <v>1167</v>
      </c>
      <c r="I197" t="s">
        <v>1263</v>
      </c>
      <c r="J197" t="s">
        <v>1264</v>
      </c>
      <c r="K197" t="s">
        <v>1265</v>
      </c>
      <c r="L197">
        <v>4</v>
      </c>
      <c r="M197">
        <v>17661</v>
      </c>
      <c r="N197">
        <v>0</v>
      </c>
      <c r="O197">
        <v>17661</v>
      </c>
      <c r="P197">
        <v>0.12</v>
      </c>
      <c r="Q197">
        <v>70644</v>
      </c>
      <c r="R197">
        <v>8477.2799999999988</v>
      </c>
      <c r="S197">
        <v>79121.279999999999</v>
      </c>
      <c r="T197">
        <f>ROUND(Table2[[#This Row],[TotalAmount]],0)</f>
        <v>79121</v>
      </c>
      <c r="U197" t="s">
        <v>1363</v>
      </c>
      <c r="V197" t="s">
        <v>1361</v>
      </c>
      <c r="W197" s="4">
        <v>45598</v>
      </c>
      <c r="X197" s="4">
        <v>45601</v>
      </c>
      <c r="Y197" t="b">
        <v>0</v>
      </c>
      <c r="Z197" t="s">
        <v>1412</v>
      </c>
      <c r="AA197" t="s">
        <v>1412</v>
      </c>
      <c r="AB197" t="s">
        <v>1412</v>
      </c>
      <c r="AC197" t="s">
        <v>1386</v>
      </c>
      <c r="AD197" t="s">
        <v>1377</v>
      </c>
      <c r="AE197" t="s">
        <v>1389</v>
      </c>
    </row>
    <row r="198" spans="1:31" x14ac:dyDescent="0.3">
      <c r="A198" t="s">
        <v>322</v>
      </c>
      <c r="B198" s="4">
        <v>45330.628472222219</v>
      </c>
      <c r="C198" t="s">
        <v>239</v>
      </c>
      <c r="D198" t="s">
        <v>1153</v>
      </c>
      <c r="E198" t="s">
        <v>1162</v>
      </c>
      <c r="F198" t="str" cm="1">
        <f t="array" ref="F198">_xlfn.IFS(
E198="Ahmedabad","Gujarat",
E198="Bengaluru","Karnataka",
E198="Bhopal","Madhya Pradesh",
E198="Bhubaneswar","Odisha",
E198="Chandigarh","Chandigarh",
E198="Chennai","Tamil Nadu",
E198="Delhi","Delhi",
E198="Guwahati","Assam",
E198="Hyderabad","Telangana",
E198="Indore","Madhya Pradesh",
E198="Jaipur","Rajasthan",
E198="Kochi","Kerala",
E198="Kolkata","West Bengal",
E198="Lucknow","Uttar Pradesh",
E198="Mumbai","Maharashtra",
E198="Nagpur","Maharashtra",
E198="Patna","Bihar",
E198="Pune","Maharashtra",
E198="Raipur","Chhattisgarh",
E198="Surat","Gujarat",
TRUE,"Not Found"
)</f>
        <v>Madhya Pradesh</v>
      </c>
      <c r="G198" t="s">
        <v>1143</v>
      </c>
      <c r="H198" t="s">
        <v>1144</v>
      </c>
      <c r="I198" t="s">
        <v>1159</v>
      </c>
      <c r="J198" t="s">
        <v>1334</v>
      </c>
      <c r="K198" t="s">
        <v>1335</v>
      </c>
      <c r="L198">
        <v>2</v>
      </c>
      <c r="M198">
        <v>2886</v>
      </c>
      <c r="N198">
        <v>0.05</v>
      </c>
      <c r="O198">
        <v>2741.7</v>
      </c>
      <c r="P198">
        <v>0.18</v>
      </c>
      <c r="Q198">
        <v>5483.4</v>
      </c>
      <c r="R198">
        <v>987.01199999999994</v>
      </c>
      <c r="S198">
        <v>6470.4119999999994</v>
      </c>
      <c r="T198">
        <f>ROUND(Table2[[#This Row],[TotalAmount]],0)</f>
        <v>6470</v>
      </c>
      <c r="U198" t="s">
        <v>1365</v>
      </c>
      <c r="V198" t="s">
        <v>1369</v>
      </c>
      <c r="W198" s="4" t="s">
        <v>1412</v>
      </c>
      <c r="X198" s="4" t="s">
        <v>1412</v>
      </c>
      <c r="Y198" t="b">
        <v>0</v>
      </c>
      <c r="Z198" t="s">
        <v>1412</v>
      </c>
      <c r="AA198" t="s">
        <v>1412</v>
      </c>
      <c r="AB198" t="s">
        <v>1412</v>
      </c>
      <c r="AC198" t="s">
        <v>1376</v>
      </c>
      <c r="AD198" t="s">
        <v>1377</v>
      </c>
      <c r="AE198" t="s">
        <v>1389</v>
      </c>
    </row>
    <row r="199" spans="1:31" x14ac:dyDescent="0.3">
      <c r="A199" t="s">
        <v>323</v>
      </c>
      <c r="B199" s="4">
        <v>45437.461805555547</v>
      </c>
      <c r="C199" t="s">
        <v>148</v>
      </c>
      <c r="D199" t="s">
        <v>1153</v>
      </c>
      <c r="E199" t="s">
        <v>1162</v>
      </c>
      <c r="F199" t="str" cm="1">
        <f t="array" ref="F199">_xlfn.IFS(
E199="Ahmedabad","Gujarat",
E199="Bengaluru","Karnataka",
E199="Bhopal","Madhya Pradesh",
E199="Bhubaneswar","Odisha",
E199="Chandigarh","Chandigarh",
E199="Chennai","Tamil Nadu",
E199="Delhi","Delhi",
E199="Guwahati","Assam",
E199="Hyderabad","Telangana",
E199="Indore","Madhya Pradesh",
E199="Jaipur","Rajasthan",
E199="Kochi","Kerala",
E199="Kolkata","West Bengal",
E199="Lucknow","Uttar Pradesh",
E199="Mumbai","Maharashtra",
E199="Nagpur","Maharashtra",
E199="Patna","Bihar",
E199="Pune","Maharashtra",
E199="Raipur","Chhattisgarh",
E199="Surat","Gujarat",
TRUE,"Not Found"
)</f>
        <v>Madhya Pradesh</v>
      </c>
      <c r="G199" t="s">
        <v>1150</v>
      </c>
      <c r="H199" t="s">
        <v>1163</v>
      </c>
      <c r="I199" t="s">
        <v>1266</v>
      </c>
      <c r="J199" t="s">
        <v>1267</v>
      </c>
      <c r="K199" t="s">
        <v>1268</v>
      </c>
      <c r="L199">
        <v>2</v>
      </c>
      <c r="M199">
        <v>493</v>
      </c>
      <c r="N199">
        <v>0</v>
      </c>
      <c r="O199">
        <v>493</v>
      </c>
      <c r="P199">
        <v>0.12</v>
      </c>
      <c r="Q199">
        <v>986</v>
      </c>
      <c r="R199">
        <v>118.32</v>
      </c>
      <c r="S199">
        <v>1104.32</v>
      </c>
      <c r="T199">
        <f>ROUND(Table2[[#This Row],[TotalAmount]],0)</f>
        <v>1104</v>
      </c>
      <c r="U199" t="s">
        <v>1360</v>
      </c>
      <c r="V199" t="s">
        <v>1361</v>
      </c>
      <c r="W199" s="4">
        <v>45437</v>
      </c>
      <c r="X199" s="4">
        <v>45439</v>
      </c>
      <c r="Y199" t="b">
        <v>0</v>
      </c>
      <c r="Z199" t="s">
        <v>1412</v>
      </c>
      <c r="AA199" t="s">
        <v>1412</v>
      </c>
      <c r="AB199" t="s">
        <v>1412</v>
      </c>
      <c r="AC199" t="s">
        <v>1390</v>
      </c>
      <c r="AD199" t="s">
        <v>1397</v>
      </c>
      <c r="AE199" t="s">
        <v>1383</v>
      </c>
    </row>
    <row r="200" spans="1:31" x14ac:dyDescent="0.3">
      <c r="A200" t="s">
        <v>324</v>
      </c>
      <c r="B200" s="4">
        <v>45660.522222222222</v>
      </c>
      <c r="C200" t="s">
        <v>325</v>
      </c>
      <c r="D200" t="s">
        <v>1153</v>
      </c>
      <c r="E200" t="s">
        <v>1154</v>
      </c>
      <c r="F200" t="str" cm="1">
        <f t="array" ref="F200">_xlfn.IFS(
E200="Ahmedabad","Gujarat",
E200="Bengaluru","Karnataka",
E200="Bhopal","Madhya Pradesh",
E200="Bhubaneswar","Odisha",
E200="Chandigarh","Chandigarh",
E200="Chennai","Tamil Nadu",
E200="Delhi","Delhi",
E200="Guwahati","Assam",
E200="Hyderabad","Telangana",
E200="Indore","Madhya Pradesh",
E200="Jaipur","Rajasthan",
E200="Kochi","Kerala",
E200="Kolkata","West Bengal",
E200="Lucknow","Uttar Pradesh",
E200="Mumbai","Maharashtra",
E200="Nagpur","Maharashtra",
E200="Patna","Bihar",
E200="Pune","Maharashtra",
E200="Raipur","Chhattisgarh",
E200="Surat","Gujarat",
TRUE,"Not Found"
)</f>
        <v>Maharashtra</v>
      </c>
      <c r="G200" t="s">
        <v>1150</v>
      </c>
      <c r="H200" t="s">
        <v>1144</v>
      </c>
      <c r="I200" t="s">
        <v>1145</v>
      </c>
      <c r="J200" t="s">
        <v>1146</v>
      </c>
      <c r="K200" t="s">
        <v>1147</v>
      </c>
      <c r="L200">
        <v>3</v>
      </c>
      <c r="M200">
        <v>3413</v>
      </c>
      <c r="N200">
        <v>0</v>
      </c>
      <c r="O200">
        <v>3413</v>
      </c>
      <c r="P200">
        <v>0.12</v>
      </c>
      <c r="Q200">
        <v>10239</v>
      </c>
      <c r="R200">
        <v>1228.68</v>
      </c>
      <c r="S200">
        <v>11467.68</v>
      </c>
      <c r="T200">
        <f>ROUND(Table2[[#This Row],[TotalAmount]],0)</f>
        <v>11468</v>
      </c>
      <c r="U200" t="s">
        <v>1360</v>
      </c>
      <c r="V200" t="s">
        <v>1361</v>
      </c>
      <c r="W200" s="4">
        <v>45660</v>
      </c>
      <c r="X200" s="4">
        <v>45662</v>
      </c>
      <c r="Y200" t="b">
        <v>0</v>
      </c>
      <c r="Z200" t="s">
        <v>1412</v>
      </c>
      <c r="AA200" t="s">
        <v>1412</v>
      </c>
      <c r="AB200" t="s">
        <v>1412</v>
      </c>
      <c r="AC200" t="s">
        <v>1396</v>
      </c>
      <c r="AD200" t="s">
        <v>1387</v>
      </c>
      <c r="AE200" t="s">
        <v>1391</v>
      </c>
    </row>
    <row r="201" spans="1:31" x14ac:dyDescent="0.3">
      <c r="A201" t="s">
        <v>326</v>
      </c>
      <c r="B201" s="4">
        <v>45679.654861111107</v>
      </c>
      <c r="C201" t="s">
        <v>173</v>
      </c>
      <c r="D201" t="s">
        <v>1153</v>
      </c>
      <c r="E201" t="s">
        <v>1176</v>
      </c>
      <c r="F201" t="str" cm="1">
        <f t="array" ref="F201">_xlfn.IFS(
E201="Ahmedabad","Gujarat",
E201="Bengaluru","Karnataka",
E201="Bhopal","Madhya Pradesh",
E201="Bhubaneswar","Odisha",
E201="Chandigarh","Chandigarh",
E201="Chennai","Tamil Nadu",
E201="Delhi","Delhi",
E201="Guwahati","Assam",
E201="Hyderabad","Telangana",
E201="Indore","Madhya Pradesh",
E201="Jaipur","Rajasthan",
E201="Kochi","Kerala",
E201="Kolkata","West Bengal",
E201="Lucknow","Uttar Pradesh",
E201="Mumbai","Maharashtra",
E201="Nagpur","Maharashtra",
E201="Patna","Bihar",
E201="Pune","Maharashtra",
E201="Raipur","Chhattisgarh",
E201="Surat","Gujarat",
TRUE,"Not Found"
)</f>
        <v>Chhattisgarh</v>
      </c>
      <c r="G201" t="s">
        <v>1143</v>
      </c>
      <c r="H201" t="s">
        <v>1172</v>
      </c>
      <c r="I201" t="s">
        <v>1229</v>
      </c>
      <c r="J201" t="s">
        <v>1295</v>
      </c>
      <c r="K201" t="s">
        <v>1296</v>
      </c>
      <c r="L201">
        <v>2</v>
      </c>
      <c r="M201">
        <v>3638</v>
      </c>
      <c r="N201">
        <v>0</v>
      </c>
      <c r="O201">
        <v>3638</v>
      </c>
      <c r="P201">
        <v>0.18</v>
      </c>
      <c r="Q201">
        <v>7276</v>
      </c>
      <c r="R201">
        <v>1309.68</v>
      </c>
      <c r="S201">
        <v>8585.68</v>
      </c>
      <c r="T201">
        <f>ROUND(Table2[[#This Row],[TotalAmount]],0)</f>
        <v>8586</v>
      </c>
      <c r="U201" t="s">
        <v>1362</v>
      </c>
      <c r="V201" t="s">
        <v>1367</v>
      </c>
      <c r="W201" s="4">
        <v>45681</v>
      </c>
      <c r="X201" s="4" t="s">
        <v>1412</v>
      </c>
      <c r="Y201" t="b">
        <v>0</v>
      </c>
      <c r="Z201" t="s">
        <v>1412</v>
      </c>
      <c r="AA201" t="s">
        <v>1412</v>
      </c>
      <c r="AB201" t="s">
        <v>1412</v>
      </c>
      <c r="AC201" t="s">
        <v>1390</v>
      </c>
      <c r="AD201" t="s">
        <v>1377</v>
      </c>
      <c r="AE201" t="s">
        <v>1395</v>
      </c>
    </row>
    <row r="202" spans="1:31" x14ac:dyDescent="0.3">
      <c r="A202" t="s">
        <v>327</v>
      </c>
      <c r="B202" s="4">
        <v>45716.50277777778</v>
      </c>
      <c r="C202" t="s">
        <v>328</v>
      </c>
      <c r="D202" t="s">
        <v>1148</v>
      </c>
      <c r="E202" t="s">
        <v>1149</v>
      </c>
      <c r="F202" t="str" cm="1">
        <f t="array" ref="F202">_xlfn.IFS(
E202="Ahmedabad","Gujarat",
E202="Bengaluru","Karnataka",
E202="Bhopal","Madhya Pradesh",
E202="Bhubaneswar","Odisha",
E202="Chandigarh","Chandigarh",
E202="Chennai","Tamil Nadu",
E202="Delhi","Delhi",
E202="Guwahati","Assam",
E202="Hyderabad","Telangana",
E202="Indore","Madhya Pradesh",
E202="Jaipur","Rajasthan",
E202="Kochi","Kerala",
E202="Kolkata","West Bengal",
E202="Lucknow","Uttar Pradesh",
E202="Mumbai","Maharashtra",
E202="Nagpur","Maharashtra",
E202="Patna","Bihar",
E202="Pune","Maharashtra",
E202="Raipur","Chhattisgarh",
E202="Surat","Gujarat",
TRUE,"Not Found"
)</f>
        <v>Uttar Pradesh</v>
      </c>
      <c r="G202" t="s">
        <v>1143</v>
      </c>
      <c r="H202" t="s">
        <v>1167</v>
      </c>
      <c r="I202" t="s">
        <v>1263</v>
      </c>
      <c r="J202" t="s">
        <v>1274</v>
      </c>
      <c r="K202" t="s">
        <v>1275</v>
      </c>
      <c r="L202">
        <v>2</v>
      </c>
      <c r="M202">
        <v>5850</v>
      </c>
      <c r="N202">
        <v>0.05</v>
      </c>
      <c r="O202">
        <v>5557.5</v>
      </c>
      <c r="P202">
        <v>0.18</v>
      </c>
      <c r="Q202">
        <v>11115</v>
      </c>
      <c r="R202">
        <v>2000.7</v>
      </c>
      <c r="S202">
        <v>13115.7</v>
      </c>
      <c r="T202">
        <f>ROUND(Table2[[#This Row],[TotalAmount]],0)</f>
        <v>13116</v>
      </c>
      <c r="U202" t="s">
        <v>1360</v>
      </c>
      <c r="V202" t="s">
        <v>1369</v>
      </c>
      <c r="W202" s="4" t="s">
        <v>1412</v>
      </c>
      <c r="X202" s="4" t="s">
        <v>1412</v>
      </c>
      <c r="Y202" t="b">
        <v>0</v>
      </c>
      <c r="Z202" t="s">
        <v>1412</v>
      </c>
      <c r="AA202" t="s">
        <v>1412</v>
      </c>
      <c r="AB202" t="s">
        <v>1412</v>
      </c>
      <c r="AC202" t="s">
        <v>1382</v>
      </c>
      <c r="AD202" t="s">
        <v>1394</v>
      </c>
      <c r="AE202" t="s">
        <v>1389</v>
      </c>
    </row>
    <row r="203" spans="1:31" x14ac:dyDescent="0.3">
      <c r="A203" t="s">
        <v>329</v>
      </c>
      <c r="B203" s="4">
        <v>45492.585416666669</v>
      </c>
      <c r="C203" t="s">
        <v>330</v>
      </c>
      <c r="D203" t="s">
        <v>1153</v>
      </c>
      <c r="E203" t="s">
        <v>1162</v>
      </c>
      <c r="F203" t="str" cm="1">
        <f t="array" ref="F203">_xlfn.IFS(
E203="Ahmedabad","Gujarat",
E203="Bengaluru","Karnataka",
E203="Bhopal","Madhya Pradesh",
E203="Bhubaneswar","Odisha",
E203="Chandigarh","Chandigarh",
E203="Chennai","Tamil Nadu",
E203="Delhi","Delhi",
E203="Guwahati","Assam",
E203="Hyderabad","Telangana",
E203="Indore","Madhya Pradesh",
E203="Jaipur","Rajasthan",
E203="Kochi","Kerala",
E203="Kolkata","West Bengal",
E203="Lucknow","Uttar Pradesh",
E203="Mumbai","Maharashtra",
E203="Nagpur","Maharashtra",
E203="Patna","Bihar",
E203="Pune","Maharashtra",
E203="Raipur","Chhattisgarh",
E203="Surat","Gujarat",
TRUE,"Not Found"
)</f>
        <v>Madhya Pradesh</v>
      </c>
      <c r="G203" t="s">
        <v>1150</v>
      </c>
      <c r="H203" t="s">
        <v>1167</v>
      </c>
      <c r="I203" t="s">
        <v>1168</v>
      </c>
      <c r="J203" t="s">
        <v>1169</v>
      </c>
      <c r="K203" t="s">
        <v>1170</v>
      </c>
      <c r="L203">
        <v>2</v>
      </c>
      <c r="M203">
        <v>48916</v>
      </c>
      <c r="N203">
        <v>0.05</v>
      </c>
      <c r="O203">
        <v>46470.2</v>
      </c>
      <c r="P203">
        <v>0.18</v>
      </c>
      <c r="Q203">
        <v>92940.4</v>
      </c>
      <c r="R203">
        <v>16729.272000000001</v>
      </c>
      <c r="S203">
        <v>109669.67200000001</v>
      </c>
      <c r="T203">
        <f>ROUND(Table2[[#This Row],[TotalAmount]],0)</f>
        <v>109670</v>
      </c>
      <c r="U203" t="s">
        <v>1363</v>
      </c>
      <c r="V203" t="s">
        <v>1361</v>
      </c>
      <c r="W203" s="4">
        <v>45494</v>
      </c>
      <c r="X203" s="4">
        <v>45496</v>
      </c>
      <c r="Y203" t="b">
        <v>0</v>
      </c>
      <c r="Z203" t="s">
        <v>1412</v>
      </c>
      <c r="AA203" t="s">
        <v>1412</v>
      </c>
      <c r="AB203" t="s">
        <v>1412</v>
      </c>
      <c r="AC203" t="s">
        <v>1388</v>
      </c>
      <c r="AD203" t="s">
        <v>1397</v>
      </c>
      <c r="AE203" t="s">
        <v>1395</v>
      </c>
    </row>
    <row r="204" spans="1:31" x14ac:dyDescent="0.3">
      <c r="A204" t="s">
        <v>331</v>
      </c>
      <c r="B204" s="4">
        <v>45694.472916666673</v>
      </c>
      <c r="C204" t="s">
        <v>259</v>
      </c>
      <c r="D204" t="s">
        <v>1141</v>
      </c>
      <c r="E204" t="s">
        <v>1227</v>
      </c>
      <c r="F204" t="str" cm="1">
        <f t="array" ref="F204">_xlfn.IFS(
E204="Ahmedabad","Gujarat",
E204="Bengaluru","Karnataka",
E204="Bhopal","Madhya Pradesh",
E204="Bhubaneswar","Odisha",
E204="Chandigarh","Chandigarh",
E204="Chennai","Tamil Nadu",
E204="Delhi","Delhi",
E204="Guwahati","Assam",
E204="Hyderabad","Telangana",
E204="Indore","Madhya Pradesh",
E204="Jaipur","Rajasthan",
E204="Kochi","Kerala",
E204="Kolkata","West Bengal",
E204="Lucknow","Uttar Pradesh",
E204="Mumbai","Maharashtra",
E204="Nagpur","Maharashtra",
E204="Patna","Bihar",
E204="Pune","Maharashtra",
E204="Raipur","Chhattisgarh",
E204="Surat","Gujarat",
TRUE,"Not Found"
)</f>
        <v>Bihar</v>
      </c>
      <c r="G204" t="s">
        <v>1150</v>
      </c>
      <c r="H204" t="s">
        <v>1172</v>
      </c>
      <c r="I204" t="s">
        <v>1204</v>
      </c>
      <c r="J204" t="s">
        <v>1234</v>
      </c>
      <c r="K204" t="s">
        <v>1235</v>
      </c>
      <c r="L204">
        <v>3</v>
      </c>
      <c r="M204">
        <v>3380</v>
      </c>
      <c r="N204">
        <v>0</v>
      </c>
      <c r="O204">
        <v>3380</v>
      </c>
      <c r="P204">
        <v>0.18</v>
      </c>
      <c r="Q204">
        <v>10140</v>
      </c>
      <c r="R204">
        <v>1825.2</v>
      </c>
      <c r="S204">
        <v>11965.2</v>
      </c>
      <c r="T204">
        <f>ROUND(Table2[[#This Row],[TotalAmount]],0)</f>
        <v>11965</v>
      </c>
      <c r="U204" t="s">
        <v>1366</v>
      </c>
      <c r="V204" t="s">
        <v>1361</v>
      </c>
      <c r="W204" s="4">
        <v>45695</v>
      </c>
      <c r="X204" s="4">
        <v>45696</v>
      </c>
      <c r="Y204" t="b">
        <v>0</v>
      </c>
      <c r="Z204" t="s">
        <v>1412</v>
      </c>
      <c r="AA204" t="s">
        <v>1412</v>
      </c>
      <c r="AB204" t="s">
        <v>1412</v>
      </c>
      <c r="AC204" t="s">
        <v>1386</v>
      </c>
      <c r="AD204" t="s">
        <v>1387</v>
      </c>
      <c r="AE204" t="s">
        <v>1378</v>
      </c>
    </row>
    <row r="205" spans="1:31" x14ac:dyDescent="0.3">
      <c r="A205" t="s">
        <v>332</v>
      </c>
      <c r="B205" s="4">
        <v>45636.518055555563</v>
      </c>
      <c r="C205" t="s">
        <v>40</v>
      </c>
      <c r="D205" t="s">
        <v>1141</v>
      </c>
      <c r="E205" t="s">
        <v>1142</v>
      </c>
      <c r="F205" t="str" cm="1">
        <f t="array" ref="F205">_xlfn.IFS(
E205="Ahmedabad","Gujarat",
E205="Bengaluru","Karnataka",
E205="Bhopal","Madhya Pradesh",
E205="Bhubaneswar","Odisha",
E205="Chandigarh","Chandigarh",
E205="Chennai","Tamil Nadu",
E205="Delhi","Delhi",
E205="Guwahati","Assam",
E205="Hyderabad","Telangana",
E205="Indore","Madhya Pradesh",
E205="Jaipur","Rajasthan",
E205="Kochi","Kerala",
E205="Kolkata","West Bengal",
E205="Lucknow","Uttar Pradesh",
E205="Mumbai","Maharashtra",
E205="Nagpur","Maharashtra",
E205="Patna","Bihar",
E205="Pune","Maharashtra",
E205="Raipur","Chhattisgarh",
E205="Surat","Gujarat",
TRUE,"Not Found"
)</f>
        <v>West Bengal</v>
      </c>
      <c r="G205" t="s">
        <v>1143</v>
      </c>
      <c r="H205" t="s">
        <v>1177</v>
      </c>
      <c r="I205" t="s">
        <v>1309</v>
      </c>
      <c r="J205" t="s">
        <v>1328</v>
      </c>
      <c r="K205" t="s">
        <v>1329</v>
      </c>
      <c r="L205">
        <v>2</v>
      </c>
      <c r="M205">
        <v>2688</v>
      </c>
      <c r="N205">
        <v>0.05</v>
      </c>
      <c r="O205">
        <v>2553.6</v>
      </c>
      <c r="P205">
        <v>0.18</v>
      </c>
      <c r="Q205">
        <v>5107.2</v>
      </c>
      <c r="R205">
        <v>919.29599999999994</v>
      </c>
      <c r="S205">
        <v>6026.4960000000001</v>
      </c>
      <c r="T205">
        <f>ROUND(Table2[[#This Row],[TotalAmount]],0)</f>
        <v>6026</v>
      </c>
      <c r="U205" t="s">
        <v>1363</v>
      </c>
      <c r="V205" t="s">
        <v>1367</v>
      </c>
      <c r="W205" s="4">
        <v>45637</v>
      </c>
      <c r="X205" s="4" t="s">
        <v>1412</v>
      </c>
      <c r="Y205" t="b">
        <v>0</v>
      </c>
      <c r="Z205" t="s">
        <v>1412</v>
      </c>
      <c r="AA205" t="s">
        <v>1412</v>
      </c>
      <c r="AB205" t="s">
        <v>1412</v>
      </c>
      <c r="AC205" t="s">
        <v>1396</v>
      </c>
      <c r="AD205" t="s">
        <v>1394</v>
      </c>
      <c r="AE205" t="s">
        <v>1393</v>
      </c>
    </row>
    <row r="206" spans="1:31" x14ac:dyDescent="0.3">
      <c r="A206" t="s">
        <v>333</v>
      </c>
      <c r="B206" s="4">
        <v>45393.356249999997</v>
      </c>
      <c r="C206" t="s">
        <v>233</v>
      </c>
      <c r="D206" t="s">
        <v>1153</v>
      </c>
      <c r="E206" t="s">
        <v>1154</v>
      </c>
      <c r="F206" t="str" cm="1">
        <f t="array" ref="F206">_xlfn.IFS(
E206="Ahmedabad","Gujarat",
E206="Bengaluru","Karnataka",
E206="Bhopal","Madhya Pradesh",
E206="Bhubaneswar","Odisha",
E206="Chandigarh","Chandigarh",
E206="Chennai","Tamil Nadu",
E206="Delhi","Delhi",
E206="Guwahati","Assam",
E206="Hyderabad","Telangana",
E206="Indore","Madhya Pradesh",
E206="Jaipur","Rajasthan",
E206="Kochi","Kerala",
E206="Kolkata","West Bengal",
E206="Lucknow","Uttar Pradesh",
E206="Mumbai","Maharashtra",
E206="Nagpur","Maharashtra",
E206="Patna","Bihar",
E206="Pune","Maharashtra",
E206="Raipur","Chhattisgarh",
E206="Surat","Gujarat",
TRUE,"Not Found"
)</f>
        <v>Maharashtra</v>
      </c>
      <c r="G206" t="s">
        <v>1150</v>
      </c>
      <c r="H206" t="s">
        <v>1167</v>
      </c>
      <c r="I206" t="s">
        <v>1168</v>
      </c>
      <c r="J206" t="s">
        <v>1314</v>
      </c>
      <c r="K206" t="s">
        <v>1315</v>
      </c>
      <c r="L206">
        <v>3</v>
      </c>
      <c r="M206">
        <v>6367</v>
      </c>
      <c r="N206">
        <v>0.1</v>
      </c>
      <c r="O206">
        <v>5730.3</v>
      </c>
      <c r="P206">
        <v>0.05</v>
      </c>
      <c r="Q206">
        <v>17190.900000000001</v>
      </c>
      <c r="R206">
        <v>859.54500000000007</v>
      </c>
      <c r="S206">
        <v>18050.445</v>
      </c>
      <c r="T206">
        <f>ROUND(Table2[[#This Row],[TotalAmount]],0)</f>
        <v>18050</v>
      </c>
      <c r="U206" t="s">
        <v>1360</v>
      </c>
      <c r="V206" t="s">
        <v>1361</v>
      </c>
      <c r="W206" s="4">
        <v>45395</v>
      </c>
      <c r="X206" s="4">
        <v>45397</v>
      </c>
      <c r="Y206" t="b">
        <v>0</v>
      </c>
      <c r="Z206" t="s">
        <v>1412</v>
      </c>
      <c r="AA206" t="s">
        <v>1412</v>
      </c>
      <c r="AB206" t="s">
        <v>1412</v>
      </c>
      <c r="AC206" t="s">
        <v>1388</v>
      </c>
      <c r="AD206" t="s">
        <v>1377</v>
      </c>
      <c r="AE206" t="s">
        <v>1393</v>
      </c>
    </row>
    <row r="207" spans="1:31" x14ac:dyDescent="0.3">
      <c r="A207" t="s">
        <v>334</v>
      </c>
      <c r="B207" s="4">
        <v>45739.552777777782</v>
      </c>
      <c r="C207" t="s">
        <v>153</v>
      </c>
      <c r="D207" t="s">
        <v>1141</v>
      </c>
      <c r="E207" t="s">
        <v>1239</v>
      </c>
      <c r="F207" t="str" cm="1">
        <f t="array" ref="F207">_xlfn.IFS(
E207="Ahmedabad","Gujarat",
E207="Bengaluru","Karnataka",
E207="Bhopal","Madhya Pradesh",
E207="Bhubaneswar","Odisha",
E207="Chandigarh","Chandigarh",
E207="Chennai","Tamil Nadu",
E207="Delhi","Delhi",
E207="Guwahati","Assam",
E207="Hyderabad","Telangana",
E207="Indore","Madhya Pradesh",
E207="Jaipur","Rajasthan",
E207="Kochi","Kerala",
E207="Kolkata","West Bengal",
E207="Lucknow","Uttar Pradesh",
E207="Mumbai","Maharashtra",
E207="Nagpur","Maharashtra",
E207="Patna","Bihar",
E207="Pune","Maharashtra",
E207="Raipur","Chhattisgarh",
E207="Surat","Gujarat",
TRUE,"Not Found"
)</f>
        <v>Odisha</v>
      </c>
      <c r="G207" t="s">
        <v>1187</v>
      </c>
      <c r="H207" t="s">
        <v>1177</v>
      </c>
      <c r="I207" t="s">
        <v>1309</v>
      </c>
      <c r="J207" t="s">
        <v>1332</v>
      </c>
      <c r="K207" t="s">
        <v>1333</v>
      </c>
      <c r="L207">
        <v>1</v>
      </c>
      <c r="M207">
        <v>518</v>
      </c>
      <c r="N207">
        <v>0</v>
      </c>
      <c r="O207">
        <v>518</v>
      </c>
      <c r="P207">
        <v>0.18</v>
      </c>
      <c r="Q207">
        <v>518</v>
      </c>
      <c r="R207">
        <v>93.24</v>
      </c>
      <c r="S207">
        <v>611.24</v>
      </c>
      <c r="T207">
        <f>ROUND(Table2[[#This Row],[TotalAmount]],0)</f>
        <v>611</v>
      </c>
      <c r="U207" t="s">
        <v>1365</v>
      </c>
      <c r="V207" t="s">
        <v>1361</v>
      </c>
      <c r="W207" s="4">
        <v>45741</v>
      </c>
      <c r="X207" s="4">
        <v>45746</v>
      </c>
      <c r="Y207" t="b">
        <v>0</v>
      </c>
      <c r="Z207" t="s">
        <v>1412</v>
      </c>
      <c r="AA207" t="s">
        <v>1412</v>
      </c>
      <c r="AB207" t="s">
        <v>1412</v>
      </c>
      <c r="AC207" t="s">
        <v>1398</v>
      </c>
      <c r="AD207" t="s">
        <v>1397</v>
      </c>
      <c r="AE207" t="s">
        <v>1391</v>
      </c>
    </row>
    <row r="208" spans="1:31" x14ac:dyDescent="0.3">
      <c r="A208" t="s">
        <v>335</v>
      </c>
      <c r="B208" s="4">
        <v>45699.456250000003</v>
      </c>
      <c r="C208" t="s">
        <v>10</v>
      </c>
      <c r="D208" t="s">
        <v>1157</v>
      </c>
      <c r="E208" t="s">
        <v>1158</v>
      </c>
      <c r="F208" t="str" cm="1">
        <f t="array" ref="F208">_xlfn.IFS(
E208="Ahmedabad","Gujarat",
E208="Bengaluru","Karnataka",
E208="Bhopal","Madhya Pradesh",
E208="Bhubaneswar","Odisha",
E208="Chandigarh","Chandigarh",
E208="Chennai","Tamil Nadu",
E208="Delhi","Delhi",
E208="Guwahati","Assam",
E208="Hyderabad","Telangana",
E208="Indore","Madhya Pradesh",
E208="Jaipur","Rajasthan",
E208="Kochi","Kerala",
E208="Kolkata","West Bengal",
E208="Lucknow","Uttar Pradesh",
E208="Mumbai","Maharashtra",
E208="Nagpur","Maharashtra",
E208="Patna","Bihar",
E208="Pune","Maharashtra",
E208="Raipur","Chhattisgarh",
E208="Surat","Gujarat",
TRUE,"Not Found"
)</f>
        <v>Gujarat</v>
      </c>
      <c r="G208" t="s">
        <v>1150</v>
      </c>
      <c r="H208" t="s">
        <v>1167</v>
      </c>
      <c r="I208" t="s">
        <v>1288</v>
      </c>
      <c r="J208" t="s">
        <v>1336</v>
      </c>
      <c r="K208" t="s">
        <v>1337</v>
      </c>
      <c r="L208">
        <v>1</v>
      </c>
      <c r="M208">
        <v>50726</v>
      </c>
      <c r="N208">
        <v>0.1</v>
      </c>
      <c r="O208">
        <v>45653.4</v>
      </c>
      <c r="P208">
        <v>0.05</v>
      </c>
      <c r="Q208">
        <v>45653.4</v>
      </c>
      <c r="R208">
        <v>2282.67</v>
      </c>
      <c r="S208">
        <v>47936.07</v>
      </c>
      <c r="T208">
        <f>ROUND(Table2[[#This Row],[TotalAmount]],0)</f>
        <v>47936</v>
      </c>
      <c r="U208" t="s">
        <v>1365</v>
      </c>
      <c r="V208" t="s">
        <v>1361</v>
      </c>
      <c r="W208" s="4">
        <v>45701</v>
      </c>
      <c r="X208" s="4">
        <v>45704</v>
      </c>
      <c r="Y208" t="b">
        <v>0</v>
      </c>
      <c r="Z208" t="s">
        <v>1412</v>
      </c>
      <c r="AA208" t="s">
        <v>1412</v>
      </c>
      <c r="AB208" t="s">
        <v>1412</v>
      </c>
      <c r="AC208" t="s">
        <v>1390</v>
      </c>
      <c r="AD208" t="s">
        <v>1394</v>
      </c>
      <c r="AE208" t="s">
        <v>1395</v>
      </c>
    </row>
    <row r="209" spans="1:31" x14ac:dyDescent="0.3">
      <c r="A209" t="s">
        <v>336</v>
      </c>
      <c r="B209" s="4">
        <v>45516.543055555558</v>
      </c>
      <c r="C209" t="s">
        <v>55</v>
      </c>
      <c r="D209" t="s">
        <v>1157</v>
      </c>
      <c r="E209" t="s">
        <v>1158</v>
      </c>
      <c r="F209" t="str" cm="1">
        <f t="array" ref="F209">_xlfn.IFS(
E209="Ahmedabad","Gujarat",
E209="Bengaluru","Karnataka",
E209="Bhopal","Madhya Pradesh",
E209="Bhubaneswar","Odisha",
E209="Chandigarh","Chandigarh",
E209="Chennai","Tamil Nadu",
E209="Delhi","Delhi",
E209="Guwahati","Assam",
E209="Hyderabad","Telangana",
E209="Indore","Madhya Pradesh",
E209="Jaipur","Rajasthan",
E209="Kochi","Kerala",
E209="Kolkata","West Bengal",
E209="Lucknow","Uttar Pradesh",
E209="Mumbai","Maharashtra",
E209="Nagpur","Maharashtra",
E209="Patna","Bihar",
E209="Pune","Maharashtra",
E209="Raipur","Chhattisgarh",
E209="Surat","Gujarat",
TRUE,"Not Found"
)</f>
        <v>Gujarat</v>
      </c>
      <c r="G209" t="s">
        <v>1143</v>
      </c>
      <c r="H209" t="s">
        <v>1172</v>
      </c>
      <c r="I209" t="s">
        <v>1173</v>
      </c>
      <c r="J209" t="s">
        <v>1174</v>
      </c>
      <c r="K209" t="s">
        <v>1175</v>
      </c>
      <c r="L209">
        <v>1</v>
      </c>
      <c r="M209">
        <v>5985</v>
      </c>
      <c r="N209">
        <v>0.1</v>
      </c>
      <c r="O209">
        <v>5386.5</v>
      </c>
      <c r="P209">
        <v>0.12</v>
      </c>
      <c r="Q209">
        <v>5386.5</v>
      </c>
      <c r="R209">
        <v>646.38</v>
      </c>
      <c r="S209">
        <v>6032.88</v>
      </c>
      <c r="T209">
        <f>ROUND(Table2[[#This Row],[TotalAmount]],0)</f>
        <v>6033</v>
      </c>
      <c r="U209" t="s">
        <v>1366</v>
      </c>
      <c r="V209" t="s">
        <v>1367</v>
      </c>
      <c r="W209" s="4">
        <v>45517</v>
      </c>
      <c r="X209" s="4" t="s">
        <v>1412</v>
      </c>
      <c r="Y209" t="b">
        <v>0</v>
      </c>
      <c r="Z209" t="s">
        <v>1412</v>
      </c>
      <c r="AA209" t="s">
        <v>1412</v>
      </c>
      <c r="AB209" t="s">
        <v>1412</v>
      </c>
      <c r="AC209" t="s">
        <v>1398</v>
      </c>
      <c r="AD209" t="s">
        <v>1400</v>
      </c>
      <c r="AE209" t="s">
        <v>1380</v>
      </c>
    </row>
    <row r="210" spans="1:31" x14ac:dyDescent="0.3">
      <c r="A210" t="s">
        <v>337</v>
      </c>
      <c r="B210" s="4">
        <v>45476.54791666667</v>
      </c>
      <c r="C210" t="s">
        <v>111</v>
      </c>
      <c r="D210" t="s">
        <v>1153</v>
      </c>
      <c r="E210" t="s">
        <v>1162</v>
      </c>
      <c r="F210" t="str" cm="1">
        <f t="array" ref="F210">_xlfn.IFS(
E210="Ahmedabad","Gujarat",
E210="Bengaluru","Karnataka",
E210="Bhopal","Madhya Pradesh",
E210="Bhubaneswar","Odisha",
E210="Chandigarh","Chandigarh",
E210="Chennai","Tamil Nadu",
E210="Delhi","Delhi",
E210="Guwahati","Assam",
E210="Hyderabad","Telangana",
E210="Indore","Madhya Pradesh",
E210="Jaipur","Rajasthan",
E210="Kochi","Kerala",
E210="Kolkata","West Bengal",
E210="Lucknow","Uttar Pradesh",
E210="Mumbai","Maharashtra",
E210="Nagpur","Maharashtra",
E210="Patna","Bihar",
E210="Pune","Maharashtra",
E210="Raipur","Chhattisgarh",
E210="Surat","Gujarat",
TRUE,"Not Found"
)</f>
        <v>Madhya Pradesh</v>
      </c>
      <c r="G210" t="s">
        <v>1143</v>
      </c>
      <c r="H210" t="s">
        <v>1177</v>
      </c>
      <c r="I210" t="s">
        <v>1236</v>
      </c>
      <c r="J210" t="s">
        <v>1237</v>
      </c>
      <c r="K210" t="s">
        <v>1238</v>
      </c>
      <c r="L210">
        <v>1</v>
      </c>
      <c r="M210">
        <v>2151</v>
      </c>
      <c r="N210">
        <v>0</v>
      </c>
      <c r="O210">
        <v>2151</v>
      </c>
      <c r="P210">
        <v>0.18</v>
      </c>
      <c r="Q210">
        <v>2151</v>
      </c>
      <c r="R210">
        <v>387.18</v>
      </c>
      <c r="S210">
        <v>2538.1799999999998</v>
      </c>
      <c r="T210">
        <f>ROUND(Table2[[#This Row],[TotalAmount]],0)</f>
        <v>2538</v>
      </c>
      <c r="U210" t="s">
        <v>1363</v>
      </c>
      <c r="V210" t="s">
        <v>1364</v>
      </c>
      <c r="W210" s="4">
        <v>45476</v>
      </c>
      <c r="X210" s="4" t="s">
        <v>1412</v>
      </c>
      <c r="Y210" t="b">
        <v>1</v>
      </c>
      <c r="Z210" s="1">
        <v>45486</v>
      </c>
      <c r="AA210" s="1">
        <v>45486</v>
      </c>
      <c r="AB210" t="s">
        <v>1403</v>
      </c>
      <c r="AC210" t="s">
        <v>1398</v>
      </c>
      <c r="AD210" t="s">
        <v>1394</v>
      </c>
      <c r="AE210" t="s">
        <v>1395</v>
      </c>
    </row>
    <row r="211" spans="1:31" x14ac:dyDescent="0.3">
      <c r="A211" t="s">
        <v>338</v>
      </c>
      <c r="B211" s="4">
        <v>45528.60833333333</v>
      </c>
      <c r="C211" t="s">
        <v>339</v>
      </c>
      <c r="D211" t="s">
        <v>1157</v>
      </c>
      <c r="E211" t="s">
        <v>1249</v>
      </c>
      <c r="F211" t="str" cm="1">
        <f t="array" ref="F211">_xlfn.IFS(
E211="Ahmedabad","Gujarat",
E211="Bengaluru","Karnataka",
E211="Bhopal","Madhya Pradesh",
E211="Bhubaneswar","Odisha",
E211="Chandigarh","Chandigarh",
E211="Chennai","Tamil Nadu",
E211="Delhi","Delhi",
E211="Guwahati","Assam",
E211="Hyderabad","Telangana",
E211="Indore","Madhya Pradesh",
E211="Jaipur","Rajasthan",
E211="Kochi","Kerala",
E211="Kolkata","West Bengal",
E211="Lucknow","Uttar Pradesh",
E211="Mumbai","Maharashtra",
E211="Nagpur","Maharashtra",
E211="Patna","Bihar",
E211="Pune","Maharashtra",
E211="Raipur","Chhattisgarh",
E211="Surat","Gujarat",
TRUE,"Not Found"
)</f>
        <v>Maharashtra</v>
      </c>
      <c r="G211" t="s">
        <v>1228</v>
      </c>
      <c r="H211" t="s">
        <v>1172</v>
      </c>
      <c r="I211" t="s">
        <v>1204</v>
      </c>
      <c r="J211" t="s">
        <v>1234</v>
      </c>
      <c r="K211" t="s">
        <v>1235</v>
      </c>
      <c r="L211">
        <v>4</v>
      </c>
      <c r="M211">
        <v>9965</v>
      </c>
      <c r="N211">
        <v>0.1</v>
      </c>
      <c r="O211">
        <v>8968.5</v>
      </c>
      <c r="P211">
        <v>0.18</v>
      </c>
      <c r="Q211">
        <v>35874</v>
      </c>
      <c r="R211">
        <v>6457.32</v>
      </c>
      <c r="S211">
        <v>42331.32</v>
      </c>
      <c r="T211">
        <f>ROUND(Table2[[#This Row],[TotalAmount]],0)</f>
        <v>42331</v>
      </c>
      <c r="U211" t="s">
        <v>1366</v>
      </c>
      <c r="V211" t="s">
        <v>1367</v>
      </c>
      <c r="W211" s="4">
        <v>45529</v>
      </c>
      <c r="X211" s="4" t="s">
        <v>1412</v>
      </c>
      <c r="Y211" t="b">
        <v>0</v>
      </c>
      <c r="Z211" t="s">
        <v>1412</v>
      </c>
      <c r="AA211" t="s">
        <v>1412</v>
      </c>
      <c r="AB211" t="s">
        <v>1412</v>
      </c>
      <c r="AC211" t="s">
        <v>1382</v>
      </c>
      <c r="AD211" t="s">
        <v>1385</v>
      </c>
      <c r="AE211" t="s">
        <v>1378</v>
      </c>
    </row>
    <row r="212" spans="1:31" x14ac:dyDescent="0.3">
      <c r="A212" t="s">
        <v>340</v>
      </c>
      <c r="B212" s="4">
        <v>45530.552083333343</v>
      </c>
      <c r="C212" t="s">
        <v>341</v>
      </c>
      <c r="D212" t="s">
        <v>1141</v>
      </c>
      <c r="E212" t="s">
        <v>1142</v>
      </c>
      <c r="F212" t="str" cm="1">
        <f t="array" ref="F212">_xlfn.IFS(
E212="Ahmedabad","Gujarat",
E212="Bengaluru","Karnataka",
E212="Bhopal","Madhya Pradesh",
E212="Bhubaneswar","Odisha",
E212="Chandigarh","Chandigarh",
E212="Chennai","Tamil Nadu",
E212="Delhi","Delhi",
E212="Guwahati","Assam",
E212="Hyderabad","Telangana",
E212="Indore","Madhya Pradesh",
E212="Jaipur","Rajasthan",
E212="Kochi","Kerala",
E212="Kolkata","West Bengal",
E212="Lucknow","Uttar Pradesh",
E212="Mumbai","Maharashtra",
E212="Nagpur","Maharashtra",
E212="Patna","Bihar",
E212="Pune","Maharashtra",
E212="Raipur","Chhattisgarh",
E212="Surat","Gujarat",
TRUE,"Not Found"
)</f>
        <v>West Bengal</v>
      </c>
      <c r="G212" t="s">
        <v>1143</v>
      </c>
      <c r="H212" t="s">
        <v>1167</v>
      </c>
      <c r="I212" t="s">
        <v>1168</v>
      </c>
      <c r="J212" t="s">
        <v>1312</v>
      </c>
      <c r="K212" t="s">
        <v>1313</v>
      </c>
      <c r="L212">
        <v>1</v>
      </c>
      <c r="M212">
        <v>40804</v>
      </c>
      <c r="N212">
        <v>0.05</v>
      </c>
      <c r="O212">
        <v>38763.800000000003</v>
      </c>
      <c r="P212">
        <v>0.18</v>
      </c>
      <c r="Q212">
        <v>38763.800000000003</v>
      </c>
      <c r="R212">
        <v>6977.4839999999986</v>
      </c>
      <c r="S212">
        <v>45741.283999999992</v>
      </c>
      <c r="T212">
        <f>ROUND(Table2[[#This Row],[TotalAmount]],0)</f>
        <v>45741</v>
      </c>
      <c r="U212" t="s">
        <v>1362</v>
      </c>
      <c r="V212" t="s">
        <v>1361</v>
      </c>
      <c r="W212" s="4">
        <v>45530</v>
      </c>
      <c r="X212" s="4">
        <v>45534</v>
      </c>
      <c r="Y212" t="b">
        <v>0</v>
      </c>
      <c r="Z212" t="s">
        <v>1412</v>
      </c>
      <c r="AA212" t="s">
        <v>1412</v>
      </c>
      <c r="AB212" t="s">
        <v>1412</v>
      </c>
      <c r="AC212" t="s">
        <v>1382</v>
      </c>
      <c r="AD212" t="s">
        <v>1394</v>
      </c>
      <c r="AE212" t="s">
        <v>1383</v>
      </c>
    </row>
    <row r="213" spans="1:31" x14ac:dyDescent="0.3">
      <c r="A213" t="s">
        <v>342</v>
      </c>
      <c r="B213" s="4">
        <v>45391.572916666657</v>
      </c>
      <c r="C213" t="s">
        <v>343</v>
      </c>
      <c r="D213" t="s">
        <v>1182</v>
      </c>
      <c r="E213" t="s">
        <v>1207</v>
      </c>
      <c r="F213" t="str" cm="1">
        <f t="array" ref="F213">_xlfn.IFS(
E213="Ahmedabad","Gujarat",
E213="Bengaluru","Karnataka",
E213="Bhopal","Madhya Pradesh",
E213="Bhubaneswar","Odisha",
E213="Chandigarh","Chandigarh",
E213="Chennai","Tamil Nadu",
E213="Delhi","Delhi",
E213="Guwahati","Assam",
E213="Hyderabad","Telangana",
E213="Indore","Madhya Pradesh",
E213="Jaipur","Rajasthan",
E213="Kochi","Kerala",
E213="Kolkata","West Bengal",
E213="Lucknow","Uttar Pradesh",
E213="Mumbai","Maharashtra",
E213="Nagpur","Maharashtra",
E213="Patna","Bihar",
E213="Pune","Maharashtra",
E213="Raipur","Chhattisgarh",
E213="Surat","Gujarat",
TRUE,"Not Found"
)</f>
        <v>Tamil Nadu</v>
      </c>
      <c r="G213" t="s">
        <v>1150</v>
      </c>
      <c r="H213" t="s">
        <v>1167</v>
      </c>
      <c r="I213" t="s">
        <v>1168</v>
      </c>
      <c r="J213" t="s">
        <v>1169</v>
      </c>
      <c r="K213" t="s">
        <v>1170</v>
      </c>
      <c r="L213">
        <v>2</v>
      </c>
      <c r="M213">
        <v>11937</v>
      </c>
      <c r="N213">
        <v>0</v>
      </c>
      <c r="O213">
        <v>11937</v>
      </c>
      <c r="P213">
        <v>0.18</v>
      </c>
      <c r="Q213">
        <v>23874</v>
      </c>
      <c r="R213">
        <v>4297.32</v>
      </c>
      <c r="S213">
        <v>28171.32</v>
      </c>
      <c r="T213">
        <f>ROUND(Table2[[#This Row],[TotalAmount]],0)</f>
        <v>28171</v>
      </c>
      <c r="U213" t="s">
        <v>1360</v>
      </c>
      <c r="V213" t="s">
        <v>1361</v>
      </c>
      <c r="W213" s="4">
        <v>45391</v>
      </c>
      <c r="X213" s="4">
        <v>45392</v>
      </c>
      <c r="Y213" t="b">
        <v>0</v>
      </c>
      <c r="Z213" t="s">
        <v>1412</v>
      </c>
      <c r="AA213" t="s">
        <v>1412</v>
      </c>
      <c r="AB213" t="s">
        <v>1412</v>
      </c>
      <c r="AC213" t="s">
        <v>1390</v>
      </c>
      <c r="AD213" t="s">
        <v>1397</v>
      </c>
      <c r="AE213" t="s">
        <v>1383</v>
      </c>
    </row>
    <row r="214" spans="1:31" x14ac:dyDescent="0.3">
      <c r="A214" t="s">
        <v>344</v>
      </c>
      <c r="B214" s="4">
        <v>45671.612500000003</v>
      </c>
      <c r="C214" t="s">
        <v>183</v>
      </c>
      <c r="D214" t="s">
        <v>1182</v>
      </c>
      <c r="E214" t="s">
        <v>1256</v>
      </c>
      <c r="F214" t="str" cm="1">
        <f t="array" ref="F214">_xlfn.IFS(
E214="Ahmedabad","Gujarat",
E214="Bengaluru","Karnataka",
E214="Bhopal","Madhya Pradesh",
E214="Bhubaneswar","Odisha",
E214="Chandigarh","Chandigarh",
E214="Chennai","Tamil Nadu",
E214="Delhi","Delhi",
E214="Guwahati","Assam",
E214="Hyderabad","Telangana",
E214="Indore","Madhya Pradesh",
E214="Jaipur","Rajasthan",
E214="Kochi","Kerala",
E214="Kolkata","West Bengal",
E214="Lucknow","Uttar Pradesh",
E214="Mumbai","Maharashtra",
E214="Nagpur","Maharashtra",
E214="Patna","Bihar",
E214="Pune","Maharashtra",
E214="Raipur","Chhattisgarh",
E214="Surat","Gujarat",
TRUE,"Not Found"
)</f>
        <v>Karnataka</v>
      </c>
      <c r="G214" t="s">
        <v>1150</v>
      </c>
      <c r="H214" t="s">
        <v>1167</v>
      </c>
      <c r="I214" t="s">
        <v>1263</v>
      </c>
      <c r="J214" t="s">
        <v>1274</v>
      </c>
      <c r="K214" t="s">
        <v>1275</v>
      </c>
      <c r="L214">
        <v>2</v>
      </c>
      <c r="M214">
        <v>13754</v>
      </c>
      <c r="N214">
        <v>0.1</v>
      </c>
      <c r="O214">
        <v>12378.6</v>
      </c>
      <c r="P214">
        <v>0.18</v>
      </c>
      <c r="Q214">
        <v>24757.200000000001</v>
      </c>
      <c r="R214">
        <v>4456.2960000000003</v>
      </c>
      <c r="S214">
        <v>29213.495999999999</v>
      </c>
      <c r="T214">
        <f>ROUND(Table2[[#This Row],[TotalAmount]],0)</f>
        <v>29213</v>
      </c>
      <c r="U214" t="s">
        <v>1365</v>
      </c>
      <c r="V214" t="s">
        <v>1361</v>
      </c>
      <c r="W214" s="4">
        <v>45673</v>
      </c>
      <c r="X214" s="4">
        <v>45677</v>
      </c>
      <c r="Y214" t="b">
        <v>0</v>
      </c>
      <c r="Z214" t="s">
        <v>1412</v>
      </c>
      <c r="AA214" t="s">
        <v>1412</v>
      </c>
      <c r="AB214" t="s">
        <v>1412</v>
      </c>
      <c r="AC214" t="s">
        <v>1384</v>
      </c>
      <c r="AD214" t="s">
        <v>1385</v>
      </c>
      <c r="AE214" t="s">
        <v>1389</v>
      </c>
    </row>
    <row r="215" spans="1:31" x14ac:dyDescent="0.3">
      <c r="A215" t="s">
        <v>345</v>
      </c>
      <c r="B215" s="4">
        <v>45426.688888888893</v>
      </c>
      <c r="C215" t="s">
        <v>346</v>
      </c>
      <c r="D215" t="s">
        <v>1153</v>
      </c>
      <c r="E215" t="s">
        <v>1162</v>
      </c>
      <c r="F215" t="str" cm="1">
        <f t="array" ref="F215">_xlfn.IFS(
E215="Ahmedabad","Gujarat",
E215="Bengaluru","Karnataka",
E215="Bhopal","Madhya Pradesh",
E215="Bhubaneswar","Odisha",
E215="Chandigarh","Chandigarh",
E215="Chennai","Tamil Nadu",
E215="Delhi","Delhi",
E215="Guwahati","Assam",
E215="Hyderabad","Telangana",
E215="Indore","Madhya Pradesh",
E215="Jaipur","Rajasthan",
E215="Kochi","Kerala",
E215="Kolkata","West Bengal",
E215="Lucknow","Uttar Pradesh",
E215="Mumbai","Maharashtra",
E215="Nagpur","Maharashtra",
E215="Patna","Bihar",
E215="Pune","Maharashtra",
E215="Raipur","Chhattisgarh",
E215="Surat","Gujarat",
TRUE,"Not Found"
)</f>
        <v>Madhya Pradesh</v>
      </c>
      <c r="G215" t="s">
        <v>1143</v>
      </c>
      <c r="H215" t="s">
        <v>1172</v>
      </c>
      <c r="I215" t="s">
        <v>1188</v>
      </c>
      <c r="J215" t="s">
        <v>1232</v>
      </c>
      <c r="K215" t="s">
        <v>1233</v>
      </c>
      <c r="L215">
        <v>3</v>
      </c>
      <c r="M215">
        <v>6592</v>
      </c>
      <c r="N215">
        <v>0</v>
      </c>
      <c r="O215">
        <v>6592</v>
      </c>
      <c r="P215">
        <v>0.12</v>
      </c>
      <c r="Q215">
        <v>19776</v>
      </c>
      <c r="R215">
        <v>2373.12</v>
      </c>
      <c r="S215">
        <v>22149.119999999999</v>
      </c>
      <c r="T215">
        <f>ROUND(Table2[[#This Row],[TotalAmount]],0)</f>
        <v>22149</v>
      </c>
      <c r="U215" t="s">
        <v>1360</v>
      </c>
      <c r="V215" t="s">
        <v>1361</v>
      </c>
      <c r="W215" s="4">
        <v>45427</v>
      </c>
      <c r="X215" s="4">
        <v>45430</v>
      </c>
      <c r="Y215" t="b">
        <v>0</v>
      </c>
      <c r="Z215" t="s">
        <v>1412</v>
      </c>
      <c r="AA215" t="s">
        <v>1412</v>
      </c>
      <c r="AB215" t="s">
        <v>1412</v>
      </c>
      <c r="AC215" t="s">
        <v>1396</v>
      </c>
      <c r="AD215" t="s">
        <v>1385</v>
      </c>
      <c r="AE215" t="s">
        <v>1383</v>
      </c>
    </row>
    <row r="216" spans="1:31" x14ac:dyDescent="0.3">
      <c r="A216" t="s">
        <v>347</v>
      </c>
      <c r="B216" s="4">
        <v>45670.681250000001</v>
      </c>
      <c r="C216" t="s">
        <v>218</v>
      </c>
      <c r="D216" t="s">
        <v>1153</v>
      </c>
      <c r="E216" t="s">
        <v>1191</v>
      </c>
      <c r="F216" t="str" cm="1">
        <f t="array" ref="F216">_xlfn.IFS(
E216="Ahmedabad","Gujarat",
E216="Bengaluru","Karnataka",
E216="Bhopal","Madhya Pradesh",
E216="Bhubaneswar","Odisha",
E216="Chandigarh","Chandigarh",
E216="Chennai","Tamil Nadu",
E216="Delhi","Delhi",
E216="Guwahati","Assam",
E216="Hyderabad","Telangana",
E216="Indore","Madhya Pradesh",
E216="Jaipur","Rajasthan",
E216="Kochi","Kerala",
E216="Kolkata","West Bengal",
E216="Lucknow","Uttar Pradesh",
E216="Mumbai","Maharashtra",
E216="Nagpur","Maharashtra",
E216="Patna","Bihar",
E216="Pune","Maharashtra",
E216="Raipur","Chhattisgarh",
E216="Surat","Gujarat",
TRUE,"Not Found"
)</f>
        <v>Madhya Pradesh</v>
      </c>
      <c r="G216" t="s">
        <v>1143</v>
      </c>
      <c r="H216" t="s">
        <v>1172</v>
      </c>
      <c r="I216" t="s">
        <v>1173</v>
      </c>
      <c r="J216" t="s">
        <v>1174</v>
      </c>
      <c r="K216" t="s">
        <v>1175</v>
      </c>
      <c r="L216">
        <v>1</v>
      </c>
      <c r="M216">
        <v>1133</v>
      </c>
      <c r="N216">
        <v>0</v>
      </c>
      <c r="O216">
        <v>1133</v>
      </c>
      <c r="P216">
        <v>0.12</v>
      </c>
      <c r="Q216">
        <v>1133</v>
      </c>
      <c r="R216">
        <v>135.96</v>
      </c>
      <c r="S216">
        <v>1268.96</v>
      </c>
      <c r="T216">
        <f>ROUND(Table2[[#This Row],[TotalAmount]],0)</f>
        <v>1269</v>
      </c>
      <c r="U216" t="s">
        <v>1363</v>
      </c>
      <c r="V216" t="s">
        <v>1361</v>
      </c>
      <c r="W216" s="4">
        <v>45670</v>
      </c>
      <c r="X216" s="4">
        <v>45672</v>
      </c>
      <c r="Y216" t="b">
        <v>0</v>
      </c>
      <c r="Z216" t="s">
        <v>1412</v>
      </c>
      <c r="AA216" t="s">
        <v>1412</v>
      </c>
      <c r="AB216" t="s">
        <v>1412</v>
      </c>
      <c r="AC216" t="s">
        <v>1398</v>
      </c>
      <c r="AD216" t="s">
        <v>1397</v>
      </c>
      <c r="AE216" t="s">
        <v>1380</v>
      </c>
    </row>
    <row r="217" spans="1:31" x14ac:dyDescent="0.3">
      <c r="A217" t="s">
        <v>348</v>
      </c>
      <c r="B217" s="4">
        <v>45406.681944444441</v>
      </c>
      <c r="C217" t="s">
        <v>300</v>
      </c>
      <c r="D217" t="s">
        <v>1157</v>
      </c>
      <c r="E217" t="s">
        <v>1201</v>
      </c>
      <c r="F217" t="str" cm="1">
        <f t="array" ref="F217">_xlfn.IFS(
E217="Ahmedabad","Gujarat",
E217="Bengaluru","Karnataka",
E217="Bhopal","Madhya Pradesh",
E217="Bhubaneswar","Odisha",
E217="Chandigarh","Chandigarh",
E217="Chennai","Tamil Nadu",
E217="Delhi","Delhi",
E217="Guwahati","Assam",
E217="Hyderabad","Telangana",
E217="Indore","Madhya Pradesh",
E217="Jaipur","Rajasthan",
E217="Kochi","Kerala",
E217="Kolkata","West Bengal",
E217="Lucknow","Uttar Pradesh",
E217="Mumbai","Maharashtra",
E217="Nagpur","Maharashtra",
E217="Patna","Bihar",
E217="Pune","Maharashtra",
E217="Raipur","Chhattisgarh",
E217="Surat","Gujarat",
TRUE,"Not Found"
)</f>
        <v>Maharashtra</v>
      </c>
      <c r="G217" t="s">
        <v>1143</v>
      </c>
      <c r="H217" t="s">
        <v>1144</v>
      </c>
      <c r="I217" t="s">
        <v>1276</v>
      </c>
      <c r="J217" t="s">
        <v>1286</v>
      </c>
      <c r="K217" t="s">
        <v>1287</v>
      </c>
      <c r="L217">
        <v>1</v>
      </c>
      <c r="M217">
        <v>14458</v>
      </c>
      <c r="N217">
        <v>0</v>
      </c>
      <c r="O217">
        <v>14458</v>
      </c>
      <c r="P217">
        <v>0.18</v>
      </c>
      <c r="Q217">
        <v>14458</v>
      </c>
      <c r="R217">
        <v>2602.44</v>
      </c>
      <c r="S217">
        <v>17060.439999999999</v>
      </c>
      <c r="T217">
        <f>ROUND(Table2[[#This Row],[TotalAmount]],0)</f>
        <v>17060</v>
      </c>
      <c r="U217" t="s">
        <v>1365</v>
      </c>
      <c r="V217" t="s">
        <v>1361</v>
      </c>
      <c r="W217" s="4">
        <v>45407</v>
      </c>
      <c r="X217" s="4">
        <v>45409</v>
      </c>
      <c r="Y217" t="b">
        <v>0</v>
      </c>
      <c r="Z217" t="s">
        <v>1412</v>
      </c>
      <c r="AA217" t="s">
        <v>1412</v>
      </c>
      <c r="AB217" t="s">
        <v>1412</v>
      </c>
      <c r="AC217" t="s">
        <v>1392</v>
      </c>
      <c r="AD217" t="s">
        <v>1400</v>
      </c>
      <c r="AE217" t="s">
        <v>1395</v>
      </c>
    </row>
    <row r="218" spans="1:31" x14ac:dyDescent="0.3">
      <c r="A218" t="s">
        <v>349</v>
      </c>
      <c r="B218" s="4">
        <v>45329.415277777778</v>
      </c>
      <c r="C218" t="s">
        <v>262</v>
      </c>
      <c r="D218" t="s">
        <v>1141</v>
      </c>
      <c r="E218" t="s">
        <v>1142</v>
      </c>
      <c r="F218" t="str" cm="1">
        <f t="array" ref="F218">_xlfn.IFS(
E218="Ahmedabad","Gujarat",
E218="Bengaluru","Karnataka",
E218="Bhopal","Madhya Pradesh",
E218="Bhubaneswar","Odisha",
E218="Chandigarh","Chandigarh",
E218="Chennai","Tamil Nadu",
E218="Delhi","Delhi",
E218="Guwahati","Assam",
E218="Hyderabad","Telangana",
E218="Indore","Madhya Pradesh",
E218="Jaipur","Rajasthan",
E218="Kochi","Kerala",
E218="Kolkata","West Bengal",
E218="Lucknow","Uttar Pradesh",
E218="Mumbai","Maharashtra",
E218="Nagpur","Maharashtra",
E218="Patna","Bihar",
E218="Pune","Maharashtra",
E218="Raipur","Chhattisgarh",
E218="Surat","Gujarat",
TRUE,"Not Found"
)</f>
        <v>West Bengal</v>
      </c>
      <c r="G218" t="s">
        <v>1143</v>
      </c>
      <c r="H218" t="s">
        <v>1144</v>
      </c>
      <c r="I218" t="s">
        <v>1159</v>
      </c>
      <c r="J218" t="s">
        <v>1334</v>
      </c>
      <c r="K218" t="s">
        <v>1335</v>
      </c>
      <c r="L218">
        <v>3</v>
      </c>
      <c r="M218">
        <v>13916</v>
      </c>
      <c r="N218">
        <v>0.05</v>
      </c>
      <c r="O218">
        <v>13220.2</v>
      </c>
      <c r="P218">
        <v>0.18</v>
      </c>
      <c r="Q218">
        <v>39660.6</v>
      </c>
      <c r="R218">
        <v>7138.9079999999994</v>
      </c>
      <c r="S218">
        <v>46799.508000000002</v>
      </c>
      <c r="T218">
        <f>ROUND(Table2[[#This Row],[TotalAmount]],0)</f>
        <v>46800</v>
      </c>
      <c r="U218" t="s">
        <v>1366</v>
      </c>
      <c r="V218" t="s">
        <v>1361</v>
      </c>
      <c r="W218" s="4">
        <v>45331</v>
      </c>
      <c r="X218" s="4">
        <v>45336</v>
      </c>
      <c r="Y218" t="b">
        <v>0</v>
      </c>
      <c r="Z218" t="s">
        <v>1412</v>
      </c>
      <c r="AA218" t="s">
        <v>1412</v>
      </c>
      <c r="AB218" t="s">
        <v>1412</v>
      </c>
      <c r="AC218" t="s">
        <v>1384</v>
      </c>
      <c r="AD218" t="s">
        <v>1394</v>
      </c>
      <c r="AE218" t="s">
        <v>1378</v>
      </c>
    </row>
    <row r="219" spans="1:31" x14ac:dyDescent="0.3">
      <c r="A219" t="s">
        <v>350</v>
      </c>
      <c r="B219" s="4">
        <v>45751.465277777781</v>
      </c>
      <c r="C219" t="s">
        <v>28</v>
      </c>
      <c r="D219" t="s">
        <v>1153</v>
      </c>
      <c r="E219" t="s">
        <v>1162</v>
      </c>
      <c r="F219" t="str" cm="1">
        <f t="array" ref="F219">_xlfn.IFS(
E219="Ahmedabad","Gujarat",
E219="Bengaluru","Karnataka",
E219="Bhopal","Madhya Pradesh",
E219="Bhubaneswar","Odisha",
E219="Chandigarh","Chandigarh",
E219="Chennai","Tamil Nadu",
E219="Delhi","Delhi",
E219="Guwahati","Assam",
E219="Hyderabad","Telangana",
E219="Indore","Madhya Pradesh",
E219="Jaipur","Rajasthan",
E219="Kochi","Kerala",
E219="Kolkata","West Bengal",
E219="Lucknow","Uttar Pradesh",
E219="Mumbai","Maharashtra",
E219="Nagpur","Maharashtra",
E219="Patna","Bihar",
E219="Pune","Maharashtra",
E219="Raipur","Chhattisgarh",
E219="Surat","Gujarat",
TRUE,"Not Found"
)</f>
        <v>Madhya Pradesh</v>
      </c>
      <c r="G219" t="s">
        <v>1228</v>
      </c>
      <c r="H219" t="s">
        <v>1144</v>
      </c>
      <c r="I219" t="s">
        <v>1276</v>
      </c>
      <c r="J219" t="s">
        <v>1286</v>
      </c>
      <c r="K219" t="s">
        <v>1287</v>
      </c>
      <c r="L219">
        <v>1</v>
      </c>
      <c r="M219">
        <v>3203</v>
      </c>
      <c r="N219">
        <v>0</v>
      </c>
      <c r="O219">
        <v>3203</v>
      </c>
      <c r="P219">
        <v>0.18</v>
      </c>
      <c r="Q219">
        <v>3203</v>
      </c>
      <c r="R219">
        <v>576.54</v>
      </c>
      <c r="S219">
        <v>3779.54</v>
      </c>
      <c r="T219">
        <f>ROUND(Table2[[#This Row],[TotalAmount]],0)</f>
        <v>3780</v>
      </c>
      <c r="U219" t="s">
        <v>1365</v>
      </c>
      <c r="V219" t="s">
        <v>1368</v>
      </c>
      <c r="W219" s="4">
        <v>45752</v>
      </c>
      <c r="X219" s="4" t="s">
        <v>1412</v>
      </c>
      <c r="Y219" t="b">
        <v>0</v>
      </c>
      <c r="Z219" t="s">
        <v>1412</v>
      </c>
      <c r="AA219" t="s">
        <v>1412</v>
      </c>
      <c r="AB219" t="s">
        <v>1412</v>
      </c>
      <c r="AC219" t="s">
        <v>1398</v>
      </c>
      <c r="AD219" t="s">
        <v>1377</v>
      </c>
      <c r="AE219" t="s">
        <v>1393</v>
      </c>
    </row>
    <row r="220" spans="1:31" x14ac:dyDescent="0.3">
      <c r="A220" t="s">
        <v>351</v>
      </c>
      <c r="B220" s="4">
        <v>45384.45208333333</v>
      </c>
      <c r="C220" t="s">
        <v>124</v>
      </c>
      <c r="D220" t="s">
        <v>1153</v>
      </c>
      <c r="E220" t="s">
        <v>1191</v>
      </c>
      <c r="F220" t="str" cm="1">
        <f t="array" ref="F220">_xlfn.IFS(
E220="Ahmedabad","Gujarat",
E220="Bengaluru","Karnataka",
E220="Bhopal","Madhya Pradesh",
E220="Bhubaneswar","Odisha",
E220="Chandigarh","Chandigarh",
E220="Chennai","Tamil Nadu",
E220="Delhi","Delhi",
E220="Guwahati","Assam",
E220="Hyderabad","Telangana",
E220="Indore","Madhya Pradesh",
E220="Jaipur","Rajasthan",
E220="Kochi","Kerala",
E220="Kolkata","West Bengal",
E220="Lucknow","Uttar Pradesh",
E220="Mumbai","Maharashtra",
E220="Nagpur","Maharashtra",
E220="Patna","Bihar",
E220="Pune","Maharashtra",
E220="Raipur","Chhattisgarh",
E220="Surat","Gujarat",
TRUE,"Not Found"
)</f>
        <v>Madhya Pradesh</v>
      </c>
      <c r="G220" t="s">
        <v>1150</v>
      </c>
      <c r="H220" t="s">
        <v>1167</v>
      </c>
      <c r="I220" t="s">
        <v>1208</v>
      </c>
      <c r="J220" t="s">
        <v>1291</v>
      </c>
      <c r="K220" t="s">
        <v>1292</v>
      </c>
      <c r="L220">
        <v>2</v>
      </c>
      <c r="M220">
        <v>56597</v>
      </c>
      <c r="N220">
        <v>0</v>
      </c>
      <c r="O220">
        <v>56597</v>
      </c>
      <c r="P220">
        <v>0.18</v>
      </c>
      <c r="Q220">
        <v>113194</v>
      </c>
      <c r="R220">
        <v>20374.919999999998</v>
      </c>
      <c r="S220">
        <v>133568.92000000001</v>
      </c>
      <c r="T220">
        <f>ROUND(Table2[[#This Row],[TotalAmount]],0)</f>
        <v>133569</v>
      </c>
      <c r="U220" t="s">
        <v>1360</v>
      </c>
      <c r="V220" t="s">
        <v>1361</v>
      </c>
      <c r="W220" s="4">
        <v>45384</v>
      </c>
      <c r="X220" s="4">
        <v>45385</v>
      </c>
      <c r="Y220" t="b">
        <v>0</v>
      </c>
      <c r="Z220" t="s">
        <v>1412</v>
      </c>
      <c r="AA220" t="s">
        <v>1412</v>
      </c>
      <c r="AB220" t="s">
        <v>1412</v>
      </c>
      <c r="AC220" t="s">
        <v>1376</v>
      </c>
      <c r="AD220" t="s">
        <v>1387</v>
      </c>
      <c r="AE220" t="s">
        <v>1383</v>
      </c>
    </row>
    <row r="221" spans="1:31" x14ac:dyDescent="0.3">
      <c r="A221" t="s">
        <v>352</v>
      </c>
      <c r="B221" s="4">
        <v>45429.520833333343</v>
      </c>
      <c r="C221" t="s">
        <v>300</v>
      </c>
      <c r="D221" t="s">
        <v>1157</v>
      </c>
      <c r="E221" t="s">
        <v>1201</v>
      </c>
      <c r="F221" t="str" cm="1">
        <f t="array" ref="F221">_xlfn.IFS(
E221="Ahmedabad","Gujarat",
E221="Bengaluru","Karnataka",
E221="Bhopal","Madhya Pradesh",
E221="Bhubaneswar","Odisha",
E221="Chandigarh","Chandigarh",
E221="Chennai","Tamil Nadu",
E221="Delhi","Delhi",
E221="Guwahati","Assam",
E221="Hyderabad","Telangana",
E221="Indore","Madhya Pradesh",
E221="Jaipur","Rajasthan",
E221="Kochi","Kerala",
E221="Kolkata","West Bengal",
E221="Lucknow","Uttar Pradesh",
E221="Mumbai","Maharashtra",
E221="Nagpur","Maharashtra",
E221="Patna","Bihar",
E221="Pune","Maharashtra",
E221="Raipur","Chhattisgarh",
E221="Surat","Gujarat",
TRUE,"Not Found"
)</f>
        <v>Maharashtra</v>
      </c>
      <c r="G221" t="s">
        <v>1150</v>
      </c>
      <c r="H221" t="s">
        <v>1177</v>
      </c>
      <c r="I221" t="s">
        <v>1195</v>
      </c>
      <c r="J221" t="s">
        <v>1202</v>
      </c>
      <c r="K221" t="s">
        <v>1203</v>
      </c>
      <c r="L221">
        <v>1</v>
      </c>
      <c r="M221">
        <v>1306</v>
      </c>
      <c r="N221">
        <v>0</v>
      </c>
      <c r="O221">
        <v>1306</v>
      </c>
      <c r="P221">
        <v>0.12</v>
      </c>
      <c r="Q221">
        <v>1306</v>
      </c>
      <c r="R221">
        <v>156.72</v>
      </c>
      <c r="S221">
        <v>1462.72</v>
      </c>
      <c r="T221">
        <f>ROUND(Table2[[#This Row],[TotalAmount]],0)</f>
        <v>1463</v>
      </c>
      <c r="U221" t="s">
        <v>1366</v>
      </c>
      <c r="V221" t="s">
        <v>1361</v>
      </c>
      <c r="W221" s="4">
        <v>45429</v>
      </c>
      <c r="X221" s="4">
        <v>45430</v>
      </c>
      <c r="Y221" t="b">
        <v>0</v>
      </c>
      <c r="Z221" t="s">
        <v>1412</v>
      </c>
      <c r="AA221" t="s">
        <v>1412</v>
      </c>
      <c r="AB221" t="s">
        <v>1412</v>
      </c>
      <c r="AC221" t="s">
        <v>1398</v>
      </c>
      <c r="AD221" t="s">
        <v>1385</v>
      </c>
      <c r="AE221" t="s">
        <v>1383</v>
      </c>
    </row>
    <row r="222" spans="1:31" x14ac:dyDescent="0.3">
      <c r="A222" t="s">
        <v>353</v>
      </c>
      <c r="B222" s="4">
        <v>45391.580555555563</v>
      </c>
      <c r="C222" t="s">
        <v>354</v>
      </c>
      <c r="D222" t="s">
        <v>1148</v>
      </c>
      <c r="E222" t="s">
        <v>1217</v>
      </c>
      <c r="F222" t="str" cm="1">
        <f t="array" ref="F222">_xlfn.IFS(
E222="Ahmedabad","Gujarat",
E222="Bengaluru","Karnataka",
E222="Bhopal","Madhya Pradesh",
E222="Bhubaneswar","Odisha",
E222="Chandigarh","Chandigarh",
E222="Chennai","Tamil Nadu",
E222="Delhi","Delhi",
E222="Guwahati","Assam",
E222="Hyderabad","Telangana",
E222="Indore","Madhya Pradesh",
E222="Jaipur","Rajasthan",
E222="Kochi","Kerala",
E222="Kolkata","West Bengal",
E222="Lucknow","Uttar Pradesh",
E222="Mumbai","Maharashtra",
E222="Nagpur","Maharashtra",
E222="Patna","Bihar",
E222="Pune","Maharashtra",
E222="Raipur","Chhattisgarh",
E222="Surat","Gujarat",
TRUE,"Not Found"
)</f>
        <v>Delhi</v>
      </c>
      <c r="G222" t="s">
        <v>1150</v>
      </c>
      <c r="H222" t="s">
        <v>1144</v>
      </c>
      <c r="I222" t="s">
        <v>1145</v>
      </c>
      <c r="J222" t="s">
        <v>1146</v>
      </c>
      <c r="K222" t="s">
        <v>1147</v>
      </c>
      <c r="L222">
        <v>1</v>
      </c>
      <c r="M222">
        <v>2044</v>
      </c>
      <c r="N222">
        <v>0</v>
      </c>
      <c r="O222">
        <v>2044</v>
      </c>
      <c r="P222">
        <v>0.12</v>
      </c>
      <c r="Q222">
        <v>2044</v>
      </c>
      <c r="R222">
        <v>245.28</v>
      </c>
      <c r="S222">
        <v>2289.2800000000002</v>
      </c>
      <c r="T222">
        <f>ROUND(Table2[[#This Row],[TotalAmount]],0)</f>
        <v>2289</v>
      </c>
      <c r="U222" t="s">
        <v>1362</v>
      </c>
      <c r="V222" t="s">
        <v>1361</v>
      </c>
      <c r="W222" s="4">
        <v>45391</v>
      </c>
      <c r="X222" s="4">
        <v>45394</v>
      </c>
      <c r="Y222" t="b">
        <v>0</v>
      </c>
      <c r="Z222" t="s">
        <v>1412</v>
      </c>
      <c r="AA222" t="s">
        <v>1412</v>
      </c>
      <c r="AB222" t="s">
        <v>1412</v>
      </c>
      <c r="AC222" t="s">
        <v>1392</v>
      </c>
      <c r="AD222" t="s">
        <v>1385</v>
      </c>
      <c r="AE222" t="s">
        <v>1393</v>
      </c>
    </row>
    <row r="223" spans="1:31" x14ac:dyDescent="0.3">
      <c r="A223" t="s">
        <v>355</v>
      </c>
      <c r="B223" s="4">
        <v>45621.581250000003</v>
      </c>
      <c r="C223" t="s">
        <v>325</v>
      </c>
      <c r="D223" t="s">
        <v>1153</v>
      </c>
      <c r="E223" t="s">
        <v>1154</v>
      </c>
      <c r="F223" t="str" cm="1">
        <f t="array" ref="F223">_xlfn.IFS(
E223="Ahmedabad","Gujarat",
E223="Bengaluru","Karnataka",
E223="Bhopal","Madhya Pradesh",
E223="Bhubaneswar","Odisha",
E223="Chandigarh","Chandigarh",
E223="Chennai","Tamil Nadu",
E223="Delhi","Delhi",
E223="Guwahati","Assam",
E223="Hyderabad","Telangana",
E223="Indore","Madhya Pradesh",
E223="Jaipur","Rajasthan",
E223="Kochi","Kerala",
E223="Kolkata","West Bengal",
E223="Lucknow","Uttar Pradesh",
E223="Mumbai","Maharashtra",
E223="Nagpur","Maharashtra",
E223="Patna","Bihar",
E223="Pune","Maharashtra",
E223="Raipur","Chhattisgarh",
E223="Surat","Gujarat",
TRUE,"Not Found"
)</f>
        <v>Maharashtra</v>
      </c>
      <c r="G223" t="s">
        <v>1150</v>
      </c>
      <c r="H223" t="s">
        <v>1144</v>
      </c>
      <c r="I223" t="s">
        <v>1159</v>
      </c>
      <c r="J223" t="s">
        <v>1334</v>
      </c>
      <c r="K223" t="s">
        <v>1335</v>
      </c>
      <c r="L223">
        <v>1</v>
      </c>
      <c r="M223">
        <v>1339</v>
      </c>
      <c r="N223">
        <v>0.05</v>
      </c>
      <c r="O223">
        <v>1272.05</v>
      </c>
      <c r="P223">
        <v>0.12</v>
      </c>
      <c r="Q223">
        <v>1272.05</v>
      </c>
      <c r="R223">
        <v>152.64599999999999</v>
      </c>
      <c r="S223">
        <v>1424.6959999999999</v>
      </c>
      <c r="T223">
        <f>ROUND(Table2[[#This Row],[TotalAmount]],0)</f>
        <v>1425</v>
      </c>
      <c r="U223" t="s">
        <v>1360</v>
      </c>
      <c r="V223" t="s">
        <v>1361</v>
      </c>
      <c r="W223" s="4">
        <v>45623</v>
      </c>
      <c r="X223" s="4">
        <v>45624</v>
      </c>
      <c r="Y223" t="b">
        <v>0</v>
      </c>
      <c r="Z223" t="s">
        <v>1412</v>
      </c>
      <c r="AA223" t="s">
        <v>1412</v>
      </c>
      <c r="AB223" t="s">
        <v>1412</v>
      </c>
      <c r="AC223" t="s">
        <v>1392</v>
      </c>
      <c r="AD223" t="s">
        <v>1377</v>
      </c>
      <c r="AE223" t="s">
        <v>1383</v>
      </c>
    </row>
    <row r="224" spans="1:31" x14ac:dyDescent="0.3">
      <c r="A224" t="s">
        <v>356</v>
      </c>
      <c r="B224" s="4">
        <v>45307.62222222222</v>
      </c>
      <c r="C224" t="s">
        <v>325</v>
      </c>
      <c r="D224" t="s">
        <v>1153</v>
      </c>
      <c r="E224" t="s">
        <v>1154</v>
      </c>
      <c r="F224" t="str" cm="1">
        <f t="array" ref="F224">_xlfn.IFS(
E224="Ahmedabad","Gujarat",
E224="Bengaluru","Karnataka",
E224="Bhopal","Madhya Pradesh",
E224="Bhubaneswar","Odisha",
E224="Chandigarh","Chandigarh",
E224="Chennai","Tamil Nadu",
E224="Delhi","Delhi",
E224="Guwahati","Assam",
E224="Hyderabad","Telangana",
E224="Indore","Madhya Pradesh",
E224="Jaipur","Rajasthan",
E224="Kochi","Kerala",
E224="Kolkata","West Bengal",
E224="Lucknow","Uttar Pradesh",
E224="Mumbai","Maharashtra",
E224="Nagpur","Maharashtra",
E224="Patna","Bihar",
E224="Pune","Maharashtra",
E224="Raipur","Chhattisgarh",
E224="Surat","Gujarat",
TRUE,"Not Found"
)</f>
        <v>Maharashtra</v>
      </c>
      <c r="G224" t="s">
        <v>1143</v>
      </c>
      <c r="H224" t="s">
        <v>1163</v>
      </c>
      <c r="I224" t="s">
        <v>1184</v>
      </c>
      <c r="J224" t="s">
        <v>1245</v>
      </c>
      <c r="K224" t="s">
        <v>1246</v>
      </c>
      <c r="L224">
        <v>3</v>
      </c>
      <c r="M224">
        <v>538</v>
      </c>
      <c r="N224">
        <v>0</v>
      </c>
      <c r="O224">
        <v>538</v>
      </c>
      <c r="P224">
        <v>0.18</v>
      </c>
      <c r="Q224">
        <v>1614</v>
      </c>
      <c r="R224">
        <v>290.52</v>
      </c>
      <c r="S224">
        <v>1904.52</v>
      </c>
      <c r="T224">
        <f>ROUND(Table2[[#This Row],[TotalAmount]],0)</f>
        <v>1905</v>
      </c>
      <c r="U224" t="s">
        <v>1363</v>
      </c>
      <c r="V224" t="s">
        <v>1367</v>
      </c>
      <c r="W224" s="4">
        <v>45309</v>
      </c>
      <c r="X224" s="4" t="s">
        <v>1412</v>
      </c>
      <c r="Y224" t="b">
        <v>0</v>
      </c>
      <c r="Z224" t="s">
        <v>1412</v>
      </c>
      <c r="AA224" t="s">
        <v>1412</v>
      </c>
      <c r="AB224" t="s">
        <v>1412</v>
      </c>
      <c r="AC224" t="s">
        <v>1386</v>
      </c>
      <c r="AD224" t="s">
        <v>1397</v>
      </c>
      <c r="AE224" t="s">
        <v>1395</v>
      </c>
    </row>
    <row r="225" spans="1:31" x14ac:dyDescent="0.3">
      <c r="A225" t="s">
        <v>357</v>
      </c>
      <c r="B225" s="4">
        <v>45664.57916666667</v>
      </c>
      <c r="C225" t="s">
        <v>83</v>
      </c>
      <c r="D225" t="s">
        <v>1141</v>
      </c>
      <c r="E225" t="s">
        <v>1239</v>
      </c>
      <c r="F225" t="str" cm="1">
        <f t="array" ref="F225">_xlfn.IFS(
E225="Ahmedabad","Gujarat",
E225="Bengaluru","Karnataka",
E225="Bhopal","Madhya Pradesh",
E225="Bhubaneswar","Odisha",
E225="Chandigarh","Chandigarh",
E225="Chennai","Tamil Nadu",
E225="Delhi","Delhi",
E225="Guwahati","Assam",
E225="Hyderabad","Telangana",
E225="Indore","Madhya Pradesh",
E225="Jaipur","Rajasthan",
E225="Kochi","Kerala",
E225="Kolkata","West Bengal",
E225="Lucknow","Uttar Pradesh",
E225="Mumbai","Maharashtra",
E225="Nagpur","Maharashtra",
E225="Patna","Bihar",
E225="Pune","Maharashtra",
E225="Raipur","Chhattisgarh",
E225="Surat","Gujarat",
TRUE,"Not Found"
)</f>
        <v>Odisha</v>
      </c>
      <c r="G225" t="s">
        <v>1143</v>
      </c>
      <c r="H225" t="s">
        <v>1144</v>
      </c>
      <c r="I225" t="s">
        <v>1159</v>
      </c>
      <c r="J225" t="s">
        <v>1272</v>
      </c>
      <c r="K225" t="s">
        <v>1273</v>
      </c>
      <c r="L225">
        <v>2</v>
      </c>
      <c r="M225">
        <v>7192</v>
      </c>
      <c r="N225">
        <v>0</v>
      </c>
      <c r="O225">
        <v>7192</v>
      </c>
      <c r="P225">
        <v>0.18</v>
      </c>
      <c r="Q225">
        <v>14384</v>
      </c>
      <c r="R225">
        <v>2589.12</v>
      </c>
      <c r="S225">
        <v>16973.12</v>
      </c>
      <c r="T225">
        <f>ROUND(Table2[[#This Row],[TotalAmount]],0)</f>
        <v>16973</v>
      </c>
      <c r="U225" t="s">
        <v>1363</v>
      </c>
      <c r="V225" t="s">
        <v>1367</v>
      </c>
      <c r="W225" s="4">
        <v>45664</v>
      </c>
      <c r="X225" s="4" t="s">
        <v>1412</v>
      </c>
      <c r="Y225" t="b">
        <v>0</v>
      </c>
      <c r="Z225" t="s">
        <v>1412</v>
      </c>
      <c r="AA225" t="s">
        <v>1412</v>
      </c>
      <c r="AB225" t="s">
        <v>1412</v>
      </c>
      <c r="AC225" t="s">
        <v>1382</v>
      </c>
      <c r="AD225" t="s">
        <v>1399</v>
      </c>
      <c r="AE225" t="s">
        <v>1383</v>
      </c>
    </row>
    <row r="226" spans="1:31" x14ac:dyDescent="0.3">
      <c r="A226" t="s">
        <v>358</v>
      </c>
      <c r="B226" s="4">
        <v>45439.455555555563</v>
      </c>
      <c r="C226" t="s">
        <v>115</v>
      </c>
      <c r="D226" t="s">
        <v>1157</v>
      </c>
      <c r="E226" t="s">
        <v>1249</v>
      </c>
      <c r="F226" t="str" cm="1">
        <f t="array" ref="F226">_xlfn.IFS(
E226="Ahmedabad","Gujarat",
E226="Bengaluru","Karnataka",
E226="Bhopal","Madhya Pradesh",
E226="Bhubaneswar","Odisha",
E226="Chandigarh","Chandigarh",
E226="Chennai","Tamil Nadu",
E226="Delhi","Delhi",
E226="Guwahati","Assam",
E226="Hyderabad","Telangana",
E226="Indore","Madhya Pradesh",
E226="Jaipur","Rajasthan",
E226="Kochi","Kerala",
E226="Kolkata","West Bengal",
E226="Lucknow","Uttar Pradesh",
E226="Mumbai","Maharashtra",
E226="Nagpur","Maharashtra",
E226="Patna","Bihar",
E226="Pune","Maharashtra",
E226="Raipur","Chhattisgarh",
E226="Surat","Gujarat",
TRUE,"Not Found"
)</f>
        <v>Maharashtra</v>
      </c>
      <c r="G226" t="s">
        <v>1150</v>
      </c>
      <c r="H226" t="s">
        <v>1172</v>
      </c>
      <c r="I226" t="s">
        <v>1229</v>
      </c>
      <c r="J226" t="s">
        <v>1230</v>
      </c>
      <c r="K226" t="s">
        <v>1231</v>
      </c>
      <c r="L226">
        <v>3</v>
      </c>
      <c r="M226">
        <v>1079</v>
      </c>
      <c r="N226">
        <v>0.1</v>
      </c>
      <c r="O226">
        <v>971.1</v>
      </c>
      <c r="P226">
        <v>0.12</v>
      </c>
      <c r="Q226">
        <v>2913.3</v>
      </c>
      <c r="R226">
        <v>349.596</v>
      </c>
      <c r="S226">
        <v>3262.8960000000002</v>
      </c>
      <c r="T226">
        <f>ROUND(Table2[[#This Row],[TotalAmount]],0)</f>
        <v>3263</v>
      </c>
      <c r="U226" t="s">
        <v>1363</v>
      </c>
      <c r="V226" t="s">
        <v>1361</v>
      </c>
      <c r="W226" s="4">
        <v>45440</v>
      </c>
      <c r="X226" s="4">
        <v>45442</v>
      </c>
      <c r="Y226" t="b">
        <v>0</v>
      </c>
      <c r="Z226" t="s">
        <v>1412</v>
      </c>
      <c r="AA226" t="s">
        <v>1412</v>
      </c>
      <c r="AB226" t="s">
        <v>1412</v>
      </c>
      <c r="AC226" t="s">
        <v>1379</v>
      </c>
      <c r="AD226" t="s">
        <v>1400</v>
      </c>
      <c r="AE226" t="s">
        <v>1393</v>
      </c>
    </row>
    <row r="227" spans="1:31" x14ac:dyDescent="0.3">
      <c r="A227" t="s">
        <v>359</v>
      </c>
      <c r="B227" s="4">
        <v>45731.385416666657</v>
      </c>
      <c r="C227" t="s">
        <v>267</v>
      </c>
      <c r="D227" t="s">
        <v>1148</v>
      </c>
      <c r="E227" t="s">
        <v>1217</v>
      </c>
      <c r="F227" t="str" cm="1">
        <f t="array" ref="F227">_xlfn.IFS(
E227="Ahmedabad","Gujarat",
E227="Bengaluru","Karnataka",
E227="Bhopal","Madhya Pradesh",
E227="Bhubaneswar","Odisha",
E227="Chandigarh","Chandigarh",
E227="Chennai","Tamil Nadu",
E227="Delhi","Delhi",
E227="Guwahati","Assam",
E227="Hyderabad","Telangana",
E227="Indore","Madhya Pradesh",
E227="Jaipur","Rajasthan",
E227="Kochi","Kerala",
E227="Kolkata","West Bengal",
E227="Lucknow","Uttar Pradesh",
E227="Mumbai","Maharashtra",
E227="Nagpur","Maharashtra",
E227="Patna","Bihar",
E227="Pune","Maharashtra",
E227="Raipur","Chhattisgarh",
E227="Surat","Gujarat",
TRUE,"Not Found"
)</f>
        <v>Delhi</v>
      </c>
      <c r="G227" t="s">
        <v>1187</v>
      </c>
      <c r="H227" t="s">
        <v>1167</v>
      </c>
      <c r="I227" t="s">
        <v>1208</v>
      </c>
      <c r="J227" t="s">
        <v>1209</v>
      </c>
      <c r="K227" t="s">
        <v>1210</v>
      </c>
      <c r="L227">
        <v>2</v>
      </c>
      <c r="M227">
        <v>25402</v>
      </c>
      <c r="N227">
        <v>0</v>
      </c>
      <c r="O227">
        <v>25402</v>
      </c>
      <c r="P227">
        <v>0.05</v>
      </c>
      <c r="Q227">
        <v>50804</v>
      </c>
      <c r="R227">
        <v>2540.1999999999998</v>
      </c>
      <c r="S227">
        <v>53344.2</v>
      </c>
      <c r="T227">
        <f>ROUND(Table2[[#This Row],[TotalAmount]],0)</f>
        <v>53344</v>
      </c>
      <c r="U227" t="s">
        <v>1363</v>
      </c>
      <c r="V227" t="s">
        <v>1361</v>
      </c>
      <c r="W227" s="4">
        <v>45733</v>
      </c>
      <c r="X227" s="4">
        <v>45737</v>
      </c>
      <c r="Y227" t="b">
        <v>0</v>
      </c>
      <c r="Z227" t="s">
        <v>1412</v>
      </c>
      <c r="AA227" t="s">
        <v>1412</v>
      </c>
      <c r="AB227" t="s">
        <v>1412</v>
      </c>
      <c r="AC227" t="s">
        <v>1388</v>
      </c>
      <c r="AD227" t="s">
        <v>1400</v>
      </c>
      <c r="AE227" t="s">
        <v>1395</v>
      </c>
    </row>
    <row r="228" spans="1:31" x14ac:dyDescent="0.3">
      <c r="A228" t="s">
        <v>360</v>
      </c>
      <c r="B228" s="4">
        <v>45458.543055555558</v>
      </c>
      <c r="C228" t="s">
        <v>40</v>
      </c>
      <c r="D228" t="s">
        <v>1141</v>
      </c>
      <c r="E228" t="s">
        <v>1142</v>
      </c>
      <c r="F228" t="str" cm="1">
        <f t="array" ref="F228">_xlfn.IFS(
E228="Ahmedabad","Gujarat",
E228="Bengaluru","Karnataka",
E228="Bhopal","Madhya Pradesh",
E228="Bhubaneswar","Odisha",
E228="Chandigarh","Chandigarh",
E228="Chennai","Tamil Nadu",
E228="Delhi","Delhi",
E228="Guwahati","Assam",
E228="Hyderabad","Telangana",
E228="Indore","Madhya Pradesh",
E228="Jaipur","Rajasthan",
E228="Kochi","Kerala",
E228="Kolkata","West Bengal",
E228="Lucknow","Uttar Pradesh",
E228="Mumbai","Maharashtra",
E228="Nagpur","Maharashtra",
E228="Patna","Bihar",
E228="Pune","Maharashtra",
E228="Raipur","Chhattisgarh",
E228="Surat","Gujarat",
TRUE,"Not Found"
)</f>
        <v>West Bengal</v>
      </c>
      <c r="G228" t="s">
        <v>1150</v>
      </c>
      <c r="H228" t="s">
        <v>1167</v>
      </c>
      <c r="I228" t="s">
        <v>1168</v>
      </c>
      <c r="J228" t="s">
        <v>1169</v>
      </c>
      <c r="K228" t="s">
        <v>1170</v>
      </c>
      <c r="L228">
        <v>2</v>
      </c>
      <c r="M228">
        <v>57774</v>
      </c>
      <c r="N228">
        <v>0</v>
      </c>
      <c r="O228">
        <v>57774</v>
      </c>
      <c r="P228">
        <v>0.18</v>
      </c>
      <c r="Q228">
        <v>115548</v>
      </c>
      <c r="R228">
        <v>20798.64</v>
      </c>
      <c r="S228">
        <v>136346.64000000001</v>
      </c>
      <c r="T228">
        <f>ROUND(Table2[[#This Row],[TotalAmount]],0)</f>
        <v>136347</v>
      </c>
      <c r="U228" t="s">
        <v>1366</v>
      </c>
      <c r="V228" t="s">
        <v>1361</v>
      </c>
      <c r="W228" s="4">
        <v>45460</v>
      </c>
      <c r="X228" s="4">
        <v>45464</v>
      </c>
      <c r="Y228" t="b">
        <v>0</v>
      </c>
      <c r="Z228" t="s">
        <v>1412</v>
      </c>
      <c r="AA228" t="s">
        <v>1412</v>
      </c>
      <c r="AB228" t="s">
        <v>1412</v>
      </c>
      <c r="AC228" t="s">
        <v>1386</v>
      </c>
      <c r="AD228" t="s">
        <v>1385</v>
      </c>
      <c r="AE228" t="s">
        <v>1380</v>
      </c>
    </row>
    <row r="229" spans="1:31" x14ac:dyDescent="0.3">
      <c r="A229" t="s">
        <v>361</v>
      </c>
      <c r="B229" s="4">
        <v>45365.435416666667</v>
      </c>
      <c r="C229" t="s">
        <v>362</v>
      </c>
      <c r="D229" t="s">
        <v>1148</v>
      </c>
      <c r="E229" t="s">
        <v>1262</v>
      </c>
      <c r="F229" t="str" cm="1">
        <f t="array" ref="F229">_xlfn.IFS(
E229="Ahmedabad","Gujarat",
E229="Bengaluru","Karnataka",
E229="Bhopal","Madhya Pradesh",
E229="Bhubaneswar","Odisha",
E229="Chandigarh","Chandigarh",
E229="Chennai","Tamil Nadu",
E229="Delhi","Delhi",
E229="Guwahati","Assam",
E229="Hyderabad","Telangana",
E229="Indore","Madhya Pradesh",
E229="Jaipur","Rajasthan",
E229="Kochi","Kerala",
E229="Kolkata","West Bengal",
E229="Lucknow","Uttar Pradesh",
E229="Mumbai","Maharashtra",
E229="Nagpur","Maharashtra",
E229="Patna","Bihar",
E229="Pune","Maharashtra",
E229="Raipur","Chhattisgarh",
E229="Surat","Gujarat",
TRUE,"Not Found"
)</f>
        <v>Rajasthan</v>
      </c>
      <c r="G229" t="s">
        <v>1187</v>
      </c>
      <c r="H229" t="s">
        <v>1172</v>
      </c>
      <c r="I229" t="s">
        <v>1229</v>
      </c>
      <c r="J229" t="s">
        <v>1230</v>
      </c>
      <c r="K229" t="s">
        <v>1231</v>
      </c>
      <c r="L229">
        <v>2</v>
      </c>
      <c r="M229">
        <v>6666</v>
      </c>
      <c r="N229">
        <v>0</v>
      </c>
      <c r="O229">
        <v>6666</v>
      </c>
      <c r="P229">
        <v>0.12</v>
      </c>
      <c r="Q229">
        <v>13332</v>
      </c>
      <c r="R229">
        <v>1599.84</v>
      </c>
      <c r="S229">
        <v>14931.84</v>
      </c>
      <c r="T229">
        <f>ROUND(Table2[[#This Row],[TotalAmount]],0)</f>
        <v>14932</v>
      </c>
      <c r="U229" t="s">
        <v>1365</v>
      </c>
      <c r="V229" t="s">
        <v>1361</v>
      </c>
      <c r="W229" s="4">
        <v>45367</v>
      </c>
      <c r="X229" s="4">
        <v>45372</v>
      </c>
      <c r="Y229" t="b">
        <v>0</v>
      </c>
      <c r="Z229" t="s">
        <v>1412</v>
      </c>
      <c r="AA229" t="s">
        <v>1412</v>
      </c>
      <c r="AB229" t="s">
        <v>1412</v>
      </c>
      <c r="AC229" t="s">
        <v>1376</v>
      </c>
      <c r="AD229" t="s">
        <v>1385</v>
      </c>
      <c r="AE229" t="s">
        <v>1389</v>
      </c>
    </row>
    <row r="230" spans="1:31" x14ac:dyDescent="0.3">
      <c r="A230" t="s">
        <v>363</v>
      </c>
      <c r="B230" s="4">
        <v>45492.470138888893</v>
      </c>
      <c r="C230" t="s">
        <v>160</v>
      </c>
      <c r="D230" t="s">
        <v>1157</v>
      </c>
      <c r="E230" t="s">
        <v>1201</v>
      </c>
      <c r="F230" t="str" cm="1">
        <f t="array" ref="F230">_xlfn.IFS(
E230="Ahmedabad","Gujarat",
E230="Bengaluru","Karnataka",
E230="Bhopal","Madhya Pradesh",
E230="Bhubaneswar","Odisha",
E230="Chandigarh","Chandigarh",
E230="Chennai","Tamil Nadu",
E230="Delhi","Delhi",
E230="Guwahati","Assam",
E230="Hyderabad","Telangana",
E230="Indore","Madhya Pradesh",
E230="Jaipur","Rajasthan",
E230="Kochi","Kerala",
E230="Kolkata","West Bengal",
E230="Lucknow","Uttar Pradesh",
E230="Mumbai","Maharashtra",
E230="Nagpur","Maharashtra",
E230="Patna","Bihar",
E230="Pune","Maharashtra",
E230="Raipur","Chhattisgarh",
E230="Surat","Gujarat",
TRUE,"Not Found"
)</f>
        <v>Maharashtra</v>
      </c>
      <c r="G230" t="s">
        <v>1187</v>
      </c>
      <c r="H230" t="s">
        <v>1163</v>
      </c>
      <c r="I230" t="s">
        <v>1224</v>
      </c>
      <c r="J230" t="s">
        <v>1225</v>
      </c>
      <c r="K230" t="s">
        <v>1226</v>
      </c>
      <c r="L230">
        <v>3</v>
      </c>
      <c r="M230">
        <v>1193</v>
      </c>
      <c r="N230">
        <v>0</v>
      </c>
      <c r="O230">
        <v>1193</v>
      </c>
      <c r="P230">
        <v>0.12</v>
      </c>
      <c r="Q230">
        <v>3579</v>
      </c>
      <c r="R230">
        <v>429.48</v>
      </c>
      <c r="S230">
        <v>4008.48</v>
      </c>
      <c r="T230">
        <f>ROUND(Table2[[#This Row],[TotalAmount]],0)</f>
        <v>4008</v>
      </c>
      <c r="U230" t="s">
        <v>1363</v>
      </c>
      <c r="V230" t="s">
        <v>1361</v>
      </c>
      <c r="W230" s="4">
        <v>45494</v>
      </c>
      <c r="X230" s="4">
        <v>45496</v>
      </c>
      <c r="Y230" t="b">
        <v>0</v>
      </c>
      <c r="Z230" t="s">
        <v>1412</v>
      </c>
      <c r="AA230" t="s">
        <v>1412</v>
      </c>
      <c r="AB230" t="s">
        <v>1412</v>
      </c>
      <c r="AC230" t="s">
        <v>1386</v>
      </c>
      <c r="AD230" t="s">
        <v>1385</v>
      </c>
      <c r="AE230" t="s">
        <v>1380</v>
      </c>
    </row>
    <row r="231" spans="1:31" x14ac:dyDescent="0.3">
      <c r="A231" t="s">
        <v>364</v>
      </c>
      <c r="B231" s="4">
        <v>45617.476388888892</v>
      </c>
      <c r="C231" t="s">
        <v>111</v>
      </c>
      <c r="D231" t="s">
        <v>1153</v>
      </c>
      <c r="E231" t="s">
        <v>1162</v>
      </c>
      <c r="F231" t="str" cm="1">
        <f t="array" ref="F231">_xlfn.IFS(
E231="Ahmedabad","Gujarat",
E231="Bengaluru","Karnataka",
E231="Bhopal","Madhya Pradesh",
E231="Bhubaneswar","Odisha",
E231="Chandigarh","Chandigarh",
E231="Chennai","Tamil Nadu",
E231="Delhi","Delhi",
E231="Guwahati","Assam",
E231="Hyderabad","Telangana",
E231="Indore","Madhya Pradesh",
E231="Jaipur","Rajasthan",
E231="Kochi","Kerala",
E231="Kolkata","West Bengal",
E231="Lucknow","Uttar Pradesh",
E231="Mumbai","Maharashtra",
E231="Nagpur","Maharashtra",
E231="Patna","Bihar",
E231="Pune","Maharashtra",
E231="Raipur","Chhattisgarh",
E231="Surat","Gujarat",
TRUE,"Not Found"
)</f>
        <v>Madhya Pradesh</v>
      </c>
      <c r="G231" t="s">
        <v>1150</v>
      </c>
      <c r="H231" t="s">
        <v>1163</v>
      </c>
      <c r="I231" t="s">
        <v>1224</v>
      </c>
      <c r="J231" t="s">
        <v>1225</v>
      </c>
      <c r="K231" t="s">
        <v>1226</v>
      </c>
      <c r="L231">
        <v>2</v>
      </c>
      <c r="M231">
        <v>584</v>
      </c>
      <c r="N231">
        <v>0.2</v>
      </c>
      <c r="O231">
        <v>467.2</v>
      </c>
      <c r="P231">
        <v>0.18</v>
      </c>
      <c r="Q231">
        <v>934.40000000000009</v>
      </c>
      <c r="R231">
        <v>168.19200000000001</v>
      </c>
      <c r="S231">
        <v>1102.5920000000001</v>
      </c>
      <c r="T231">
        <f>ROUND(Table2[[#This Row],[TotalAmount]],0)</f>
        <v>1103</v>
      </c>
      <c r="U231" t="s">
        <v>1362</v>
      </c>
      <c r="V231" t="s">
        <v>1361</v>
      </c>
      <c r="W231" s="4">
        <v>45619</v>
      </c>
      <c r="X231" s="4">
        <v>45624</v>
      </c>
      <c r="Y231" t="b">
        <v>0</v>
      </c>
      <c r="Z231" t="s">
        <v>1412</v>
      </c>
      <c r="AA231" t="s">
        <v>1412</v>
      </c>
      <c r="AB231" t="s">
        <v>1412</v>
      </c>
      <c r="AC231" t="s">
        <v>1376</v>
      </c>
      <c r="AD231" t="s">
        <v>1385</v>
      </c>
      <c r="AE231" t="s">
        <v>1393</v>
      </c>
    </row>
    <row r="232" spans="1:31" x14ac:dyDescent="0.3">
      <c r="A232" t="s">
        <v>365</v>
      </c>
      <c r="B232" s="4">
        <v>45391.459027777782</v>
      </c>
      <c r="C232" t="s">
        <v>366</v>
      </c>
      <c r="D232" t="s">
        <v>1157</v>
      </c>
      <c r="E232" t="s">
        <v>1249</v>
      </c>
      <c r="F232" t="str" cm="1">
        <f t="array" ref="F232">_xlfn.IFS(
E232="Ahmedabad","Gujarat",
E232="Bengaluru","Karnataka",
E232="Bhopal","Madhya Pradesh",
E232="Bhubaneswar","Odisha",
E232="Chandigarh","Chandigarh",
E232="Chennai","Tamil Nadu",
E232="Delhi","Delhi",
E232="Guwahati","Assam",
E232="Hyderabad","Telangana",
E232="Indore","Madhya Pradesh",
E232="Jaipur","Rajasthan",
E232="Kochi","Kerala",
E232="Kolkata","West Bengal",
E232="Lucknow","Uttar Pradesh",
E232="Mumbai","Maharashtra",
E232="Nagpur","Maharashtra",
E232="Patna","Bihar",
E232="Pune","Maharashtra",
E232="Raipur","Chhattisgarh",
E232="Surat","Gujarat",
TRUE,"Not Found"
)</f>
        <v>Maharashtra</v>
      </c>
      <c r="G232" t="s">
        <v>1150</v>
      </c>
      <c r="H232" t="s">
        <v>1177</v>
      </c>
      <c r="I232" t="s">
        <v>1236</v>
      </c>
      <c r="J232" t="s">
        <v>1338</v>
      </c>
      <c r="K232" t="s">
        <v>1339</v>
      </c>
      <c r="L232">
        <v>4</v>
      </c>
      <c r="M232">
        <v>2690</v>
      </c>
      <c r="N232">
        <v>0.05</v>
      </c>
      <c r="O232">
        <v>2555.5</v>
      </c>
      <c r="P232">
        <v>0.18</v>
      </c>
      <c r="Q232">
        <v>10222</v>
      </c>
      <c r="R232">
        <v>1839.96</v>
      </c>
      <c r="S232">
        <v>12061.96</v>
      </c>
      <c r="T232">
        <f>ROUND(Table2[[#This Row],[TotalAmount]],0)</f>
        <v>12062</v>
      </c>
      <c r="U232" t="s">
        <v>1363</v>
      </c>
      <c r="V232" t="s">
        <v>1368</v>
      </c>
      <c r="W232" s="4">
        <v>45392</v>
      </c>
      <c r="X232" s="4" t="s">
        <v>1412</v>
      </c>
      <c r="Y232" t="b">
        <v>0</v>
      </c>
      <c r="Z232" t="s">
        <v>1412</v>
      </c>
      <c r="AA232" t="s">
        <v>1412</v>
      </c>
      <c r="AB232" t="s">
        <v>1412</v>
      </c>
      <c r="AC232" t="s">
        <v>1388</v>
      </c>
      <c r="AD232" t="s">
        <v>1385</v>
      </c>
      <c r="AE232" t="s">
        <v>1393</v>
      </c>
    </row>
    <row r="233" spans="1:31" x14ac:dyDescent="0.3">
      <c r="A233" t="s">
        <v>367</v>
      </c>
      <c r="B233" s="4">
        <v>45456.47152777778</v>
      </c>
      <c r="C233" t="s">
        <v>368</v>
      </c>
      <c r="D233" t="s">
        <v>1153</v>
      </c>
      <c r="E233" t="s">
        <v>1191</v>
      </c>
      <c r="F233" t="str" cm="1">
        <f t="array" ref="F233">_xlfn.IFS(
E233="Ahmedabad","Gujarat",
E233="Bengaluru","Karnataka",
E233="Bhopal","Madhya Pradesh",
E233="Bhubaneswar","Odisha",
E233="Chandigarh","Chandigarh",
E233="Chennai","Tamil Nadu",
E233="Delhi","Delhi",
E233="Guwahati","Assam",
E233="Hyderabad","Telangana",
E233="Indore","Madhya Pradesh",
E233="Jaipur","Rajasthan",
E233="Kochi","Kerala",
E233="Kolkata","West Bengal",
E233="Lucknow","Uttar Pradesh",
E233="Mumbai","Maharashtra",
E233="Nagpur","Maharashtra",
E233="Patna","Bihar",
E233="Pune","Maharashtra",
E233="Raipur","Chhattisgarh",
E233="Surat","Gujarat",
TRUE,"Not Found"
)</f>
        <v>Madhya Pradesh</v>
      </c>
      <c r="G233" t="s">
        <v>1143</v>
      </c>
      <c r="H233" t="s">
        <v>1167</v>
      </c>
      <c r="I233" t="s">
        <v>1288</v>
      </c>
      <c r="J233" t="s">
        <v>1336</v>
      </c>
      <c r="K233" t="s">
        <v>1337</v>
      </c>
      <c r="L233">
        <v>4</v>
      </c>
      <c r="M233">
        <v>23806</v>
      </c>
      <c r="N233">
        <v>0</v>
      </c>
      <c r="O233">
        <v>23806</v>
      </c>
      <c r="P233">
        <v>0.18</v>
      </c>
      <c r="Q233">
        <v>95224</v>
      </c>
      <c r="R233">
        <v>17140.32</v>
      </c>
      <c r="S233">
        <v>112364.32</v>
      </c>
      <c r="T233">
        <f>ROUND(Table2[[#This Row],[TotalAmount]],0)</f>
        <v>112364</v>
      </c>
      <c r="U233" t="s">
        <v>1366</v>
      </c>
      <c r="V233" t="s">
        <v>1361</v>
      </c>
      <c r="W233" s="4">
        <v>45456</v>
      </c>
      <c r="X233" s="4">
        <v>45459</v>
      </c>
      <c r="Y233" t="b">
        <v>0</v>
      </c>
      <c r="Z233" t="s">
        <v>1412</v>
      </c>
      <c r="AA233" t="s">
        <v>1412</v>
      </c>
      <c r="AB233" t="s">
        <v>1412</v>
      </c>
      <c r="AC233" t="s">
        <v>1396</v>
      </c>
      <c r="AD233" t="s">
        <v>1400</v>
      </c>
      <c r="AE233" t="s">
        <v>1395</v>
      </c>
    </row>
    <row r="234" spans="1:31" x14ac:dyDescent="0.3">
      <c r="A234" t="s">
        <v>369</v>
      </c>
      <c r="B234" s="4">
        <v>45640.356944444437</v>
      </c>
      <c r="C234" t="s">
        <v>269</v>
      </c>
      <c r="D234" t="s">
        <v>1141</v>
      </c>
      <c r="E234" t="s">
        <v>1239</v>
      </c>
      <c r="F234" t="str" cm="1">
        <f t="array" ref="F234">_xlfn.IFS(
E234="Ahmedabad","Gujarat",
E234="Bengaluru","Karnataka",
E234="Bhopal","Madhya Pradesh",
E234="Bhubaneswar","Odisha",
E234="Chandigarh","Chandigarh",
E234="Chennai","Tamil Nadu",
E234="Delhi","Delhi",
E234="Guwahati","Assam",
E234="Hyderabad","Telangana",
E234="Indore","Madhya Pradesh",
E234="Jaipur","Rajasthan",
E234="Kochi","Kerala",
E234="Kolkata","West Bengal",
E234="Lucknow","Uttar Pradesh",
E234="Mumbai","Maharashtra",
E234="Nagpur","Maharashtra",
E234="Patna","Bihar",
E234="Pune","Maharashtra",
E234="Raipur","Chhattisgarh",
E234="Surat","Gujarat",
TRUE,"Not Found"
)</f>
        <v>Odisha</v>
      </c>
      <c r="G234" t="s">
        <v>1143</v>
      </c>
      <c r="H234" t="s">
        <v>1144</v>
      </c>
      <c r="I234" t="s">
        <v>1276</v>
      </c>
      <c r="J234" t="s">
        <v>1277</v>
      </c>
      <c r="K234" t="s">
        <v>1278</v>
      </c>
      <c r="L234">
        <v>3</v>
      </c>
      <c r="M234">
        <v>12446</v>
      </c>
      <c r="N234">
        <v>0</v>
      </c>
      <c r="O234">
        <v>12446</v>
      </c>
      <c r="P234">
        <v>0.18</v>
      </c>
      <c r="Q234">
        <v>37338</v>
      </c>
      <c r="R234">
        <v>6720.84</v>
      </c>
      <c r="S234">
        <v>44058.84</v>
      </c>
      <c r="T234">
        <f>ROUND(Table2[[#This Row],[TotalAmount]],0)</f>
        <v>44059</v>
      </c>
      <c r="U234" t="s">
        <v>1362</v>
      </c>
      <c r="V234" t="s">
        <v>1361</v>
      </c>
      <c r="W234" s="4">
        <v>45640</v>
      </c>
      <c r="X234" s="4">
        <v>45641</v>
      </c>
      <c r="Y234" t="b">
        <v>0</v>
      </c>
      <c r="Z234" t="s">
        <v>1412</v>
      </c>
      <c r="AA234" t="s">
        <v>1412</v>
      </c>
      <c r="AB234" t="s">
        <v>1412</v>
      </c>
      <c r="AC234" t="s">
        <v>1398</v>
      </c>
      <c r="AD234" t="s">
        <v>1397</v>
      </c>
      <c r="AE234" t="s">
        <v>1383</v>
      </c>
    </row>
    <row r="235" spans="1:31" x14ac:dyDescent="0.3">
      <c r="A235" t="s">
        <v>370</v>
      </c>
      <c r="B235" s="4">
        <v>45442.457638888889</v>
      </c>
      <c r="C235" t="s">
        <v>38</v>
      </c>
      <c r="D235" t="s">
        <v>1148</v>
      </c>
      <c r="E235" t="s">
        <v>1149</v>
      </c>
      <c r="F235" t="str" cm="1">
        <f t="array" ref="F235">_xlfn.IFS(
E235="Ahmedabad","Gujarat",
E235="Bengaluru","Karnataka",
E235="Bhopal","Madhya Pradesh",
E235="Bhubaneswar","Odisha",
E235="Chandigarh","Chandigarh",
E235="Chennai","Tamil Nadu",
E235="Delhi","Delhi",
E235="Guwahati","Assam",
E235="Hyderabad","Telangana",
E235="Indore","Madhya Pradesh",
E235="Jaipur","Rajasthan",
E235="Kochi","Kerala",
E235="Kolkata","West Bengal",
E235="Lucknow","Uttar Pradesh",
E235="Mumbai","Maharashtra",
E235="Nagpur","Maharashtra",
E235="Patna","Bihar",
E235="Pune","Maharashtra",
E235="Raipur","Chhattisgarh",
E235="Surat","Gujarat",
TRUE,"Not Found"
)</f>
        <v>Uttar Pradesh</v>
      </c>
      <c r="G235" t="s">
        <v>1187</v>
      </c>
      <c r="H235" t="s">
        <v>1144</v>
      </c>
      <c r="I235" t="s">
        <v>1276</v>
      </c>
      <c r="J235" t="s">
        <v>1286</v>
      </c>
      <c r="K235" t="s">
        <v>1287</v>
      </c>
      <c r="L235">
        <v>2</v>
      </c>
      <c r="M235">
        <v>12821</v>
      </c>
      <c r="N235">
        <v>0.15</v>
      </c>
      <c r="O235">
        <v>10897.85</v>
      </c>
      <c r="P235">
        <v>0.18</v>
      </c>
      <c r="Q235">
        <v>21795.7</v>
      </c>
      <c r="R235">
        <v>3923.2260000000001</v>
      </c>
      <c r="S235">
        <v>25718.925999999999</v>
      </c>
      <c r="T235">
        <f>ROUND(Table2[[#This Row],[TotalAmount]],0)</f>
        <v>25719</v>
      </c>
      <c r="U235" t="s">
        <v>1363</v>
      </c>
      <c r="V235" t="s">
        <v>1368</v>
      </c>
      <c r="W235" s="4">
        <v>45443</v>
      </c>
      <c r="X235" s="4" t="s">
        <v>1412</v>
      </c>
      <c r="Y235" t="b">
        <v>0</v>
      </c>
      <c r="Z235" t="s">
        <v>1412</v>
      </c>
      <c r="AA235" t="s">
        <v>1412</v>
      </c>
      <c r="AB235" t="s">
        <v>1412</v>
      </c>
      <c r="AC235" t="s">
        <v>1398</v>
      </c>
      <c r="AD235" t="s">
        <v>1397</v>
      </c>
      <c r="AE235" t="s">
        <v>1383</v>
      </c>
    </row>
    <row r="236" spans="1:31" x14ac:dyDescent="0.3">
      <c r="A236" t="s">
        <v>371</v>
      </c>
      <c r="B236" s="4">
        <v>45433.536111111112</v>
      </c>
      <c r="C236" t="s">
        <v>200</v>
      </c>
      <c r="D236" t="s">
        <v>1182</v>
      </c>
      <c r="E236" t="s">
        <v>1183</v>
      </c>
      <c r="F236" t="str" cm="1">
        <f t="array" ref="F236">_xlfn.IFS(
E236="Ahmedabad","Gujarat",
E236="Bengaluru","Karnataka",
E236="Bhopal","Madhya Pradesh",
E236="Bhubaneswar","Odisha",
E236="Chandigarh","Chandigarh",
E236="Chennai","Tamil Nadu",
E236="Delhi","Delhi",
E236="Guwahati","Assam",
E236="Hyderabad","Telangana",
E236="Indore","Madhya Pradesh",
E236="Jaipur","Rajasthan",
E236="Kochi","Kerala",
E236="Kolkata","West Bengal",
E236="Lucknow","Uttar Pradesh",
E236="Mumbai","Maharashtra",
E236="Nagpur","Maharashtra",
E236="Patna","Bihar",
E236="Pune","Maharashtra",
E236="Raipur","Chhattisgarh",
E236="Surat","Gujarat",
TRUE,"Not Found"
)</f>
        <v>Telangana</v>
      </c>
      <c r="G236" t="s">
        <v>1143</v>
      </c>
      <c r="H236" t="s">
        <v>1172</v>
      </c>
      <c r="I236" t="s">
        <v>1188</v>
      </c>
      <c r="J236" t="s">
        <v>1189</v>
      </c>
      <c r="K236" t="s">
        <v>1190</v>
      </c>
      <c r="L236">
        <v>3</v>
      </c>
      <c r="M236">
        <v>3736</v>
      </c>
      <c r="N236">
        <v>0.1</v>
      </c>
      <c r="O236">
        <v>3362.4</v>
      </c>
      <c r="P236">
        <v>0.18</v>
      </c>
      <c r="Q236">
        <v>10087.200000000001</v>
      </c>
      <c r="R236">
        <v>1815.6959999999999</v>
      </c>
      <c r="S236">
        <v>11902.896000000001</v>
      </c>
      <c r="T236">
        <f>ROUND(Table2[[#This Row],[TotalAmount]],0)</f>
        <v>11903</v>
      </c>
      <c r="U236" t="s">
        <v>1360</v>
      </c>
      <c r="V236" t="s">
        <v>1361</v>
      </c>
      <c r="W236" s="4">
        <v>45434</v>
      </c>
      <c r="X236" s="4">
        <v>45435</v>
      </c>
      <c r="Y236" t="b">
        <v>0</v>
      </c>
      <c r="Z236" t="s">
        <v>1412</v>
      </c>
      <c r="AA236" t="s">
        <v>1412</v>
      </c>
      <c r="AB236" t="s">
        <v>1412</v>
      </c>
      <c r="AC236" t="s">
        <v>1392</v>
      </c>
      <c r="AD236" t="s">
        <v>1400</v>
      </c>
      <c r="AE236" t="s">
        <v>1393</v>
      </c>
    </row>
    <row r="237" spans="1:31" x14ac:dyDescent="0.3">
      <c r="A237" t="s">
        <v>372</v>
      </c>
      <c r="B237" s="4">
        <v>45597.587500000001</v>
      </c>
      <c r="C237" t="s">
        <v>71</v>
      </c>
      <c r="D237" t="s">
        <v>1157</v>
      </c>
      <c r="E237" t="s">
        <v>1249</v>
      </c>
      <c r="F237" t="str" cm="1">
        <f t="array" ref="F237">_xlfn.IFS(
E237="Ahmedabad","Gujarat",
E237="Bengaluru","Karnataka",
E237="Bhopal","Madhya Pradesh",
E237="Bhubaneswar","Odisha",
E237="Chandigarh","Chandigarh",
E237="Chennai","Tamil Nadu",
E237="Delhi","Delhi",
E237="Guwahati","Assam",
E237="Hyderabad","Telangana",
E237="Indore","Madhya Pradesh",
E237="Jaipur","Rajasthan",
E237="Kochi","Kerala",
E237="Kolkata","West Bengal",
E237="Lucknow","Uttar Pradesh",
E237="Mumbai","Maharashtra",
E237="Nagpur","Maharashtra",
E237="Patna","Bihar",
E237="Pune","Maharashtra",
E237="Raipur","Chhattisgarh",
E237="Surat","Gujarat",
TRUE,"Not Found"
)</f>
        <v>Maharashtra</v>
      </c>
      <c r="G237" t="s">
        <v>1228</v>
      </c>
      <c r="H237" t="s">
        <v>1177</v>
      </c>
      <c r="I237" t="s">
        <v>1309</v>
      </c>
      <c r="J237" t="s">
        <v>1328</v>
      </c>
      <c r="K237" t="s">
        <v>1329</v>
      </c>
      <c r="L237">
        <v>3</v>
      </c>
      <c r="M237">
        <v>2164</v>
      </c>
      <c r="N237">
        <v>0.05</v>
      </c>
      <c r="O237">
        <v>2055.8000000000002</v>
      </c>
      <c r="P237">
        <v>0.18</v>
      </c>
      <c r="Q237">
        <v>6167.4</v>
      </c>
      <c r="R237">
        <v>1110.1320000000001</v>
      </c>
      <c r="S237">
        <v>7277.5319999999992</v>
      </c>
      <c r="T237">
        <f>ROUND(Table2[[#This Row],[TotalAmount]],0)</f>
        <v>7278</v>
      </c>
      <c r="U237" t="s">
        <v>1365</v>
      </c>
      <c r="V237" t="s">
        <v>1361</v>
      </c>
      <c r="W237" s="4">
        <v>45598</v>
      </c>
      <c r="X237" s="4">
        <v>45603</v>
      </c>
      <c r="Y237" t="b">
        <v>0</v>
      </c>
      <c r="Z237" t="s">
        <v>1412</v>
      </c>
      <c r="AA237" t="s">
        <v>1412</v>
      </c>
      <c r="AB237" t="s">
        <v>1412</v>
      </c>
      <c r="AC237" t="s">
        <v>1379</v>
      </c>
      <c r="AD237" t="s">
        <v>1385</v>
      </c>
      <c r="AE237" t="s">
        <v>1391</v>
      </c>
    </row>
    <row r="238" spans="1:31" x14ac:dyDescent="0.3">
      <c r="A238" t="s">
        <v>373</v>
      </c>
      <c r="B238" s="4">
        <v>45659.581250000003</v>
      </c>
      <c r="C238" t="s">
        <v>374</v>
      </c>
      <c r="D238" t="s">
        <v>1153</v>
      </c>
      <c r="E238" t="s">
        <v>1162</v>
      </c>
      <c r="F238" t="str" cm="1">
        <f t="array" ref="F238">_xlfn.IFS(
E238="Ahmedabad","Gujarat",
E238="Bengaluru","Karnataka",
E238="Bhopal","Madhya Pradesh",
E238="Bhubaneswar","Odisha",
E238="Chandigarh","Chandigarh",
E238="Chennai","Tamil Nadu",
E238="Delhi","Delhi",
E238="Guwahati","Assam",
E238="Hyderabad","Telangana",
E238="Indore","Madhya Pradesh",
E238="Jaipur","Rajasthan",
E238="Kochi","Kerala",
E238="Kolkata","West Bengal",
E238="Lucknow","Uttar Pradesh",
E238="Mumbai","Maharashtra",
E238="Nagpur","Maharashtra",
E238="Patna","Bihar",
E238="Pune","Maharashtra",
E238="Raipur","Chhattisgarh",
E238="Surat","Gujarat",
TRUE,"Not Found"
)</f>
        <v>Madhya Pradesh</v>
      </c>
      <c r="G238" t="s">
        <v>1143</v>
      </c>
      <c r="H238" t="s">
        <v>1177</v>
      </c>
      <c r="I238" t="s">
        <v>1178</v>
      </c>
      <c r="J238" t="s">
        <v>1220</v>
      </c>
      <c r="K238" t="s">
        <v>1221</v>
      </c>
      <c r="L238">
        <v>1</v>
      </c>
      <c r="M238">
        <v>2099</v>
      </c>
      <c r="N238">
        <v>0</v>
      </c>
      <c r="O238">
        <v>2099</v>
      </c>
      <c r="P238">
        <v>0.18</v>
      </c>
      <c r="Q238">
        <v>2099</v>
      </c>
      <c r="R238">
        <v>377.82</v>
      </c>
      <c r="S238">
        <v>2476.8200000000002</v>
      </c>
      <c r="T238">
        <f>ROUND(Table2[[#This Row],[TotalAmount]],0)</f>
        <v>2477</v>
      </c>
      <c r="U238" t="s">
        <v>1362</v>
      </c>
      <c r="V238" t="s">
        <v>1361</v>
      </c>
      <c r="W238" s="4">
        <v>45661</v>
      </c>
      <c r="X238" s="4">
        <v>45665</v>
      </c>
      <c r="Y238" t="b">
        <v>0</v>
      </c>
      <c r="Z238" t="s">
        <v>1412</v>
      </c>
      <c r="AA238" t="s">
        <v>1412</v>
      </c>
      <c r="AB238" t="s">
        <v>1412</v>
      </c>
      <c r="AC238" t="s">
        <v>1390</v>
      </c>
      <c r="AD238" t="s">
        <v>1377</v>
      </c>
      <c r="AE238" t="s">
        <v>1393</v>
      </c>
    </row>
    <row r="239" spans="1:31" x14ac:dyDescent="0.3">
      <c r="A239" t="s">
        <v>375</v>
      </c>
      <c r="B239" s="4">
        <v>45483.548611111109</v>
      </c>
      <c r="C239" t="s">
        <v>264</v>
      </c>
      <c r="D239" t="s">
        <v>1153</v>
      </c>
      <c r="E239" t="s">
        <v>1162</v>
      </c>
      <c r="F239" t="str" cm="1">
        <f t="array" ref="F239">_xlfn.IFS(
E239="Ahmedabad","Gujarat",
E239="Bengaluru","Karnataka",
E239="Bhopal","Madhya Pradesh",
E239="Bhubaneswar","Odisha",
E239="Chandigarh","Chandigarh",
E239="Chennai","Tamil Nadu",
E239="Delhi","Delhi",
E239="Guwahati","Assam",
E239="Hyderabad","Telangana",
E239="Indore","Madhya Pradesh",
E239="Jaipur","Rajasthan",
E239="Kochi","Kerala",
E239="Kolkata","West Bengal",
E239="Lucknow","Uttar Pradesh",
E239="Mumbai","Maharashtra",
E239="Nagpur","Maharashtra",
E239="Patna","Bihar",
E239="Pune","Maharashtra",
E239="Raipur","Chhattisgarh",
E239="Surat","Gujarat",
TRUE,"Not Found"
)</f>
        <v>Madhya Pradesh</v>
      </c>
      <c r="G239" t="s">
        <v>1143</v>
      </c>
      <c r="H239" t="s">
        <v>1177</v>
      </c>
      <c r="I239" t="s">
        <v>1236</v>
      </c>
      <c r="J239" t="s">
        <v>1254</v>
      </c>
      <c r="K239" t="s">
        <v>1255</v>
      </c>
      <c r="L239">
        <v>1</v>
      </c>
      <c r="M239">
        <v>1762</v>
      </c>
      <c r="N239">
        <v>0.05</v>
      </c>
      <c r="O239">
        <v>1673.9</v>
      </c>
      <c r="P239">
        <v>0.12</v>
      </c>
      <c r="Q239">
        <v>1673.9</v>
      </c>
      <c r="R239">
        <v>200.86799999999999</v>
      </c>
      <c r="S239">
        <v>1874.768</v>
      </c>
      <c r="T239">
        <f>ROUND(Table2[[#This Row],[TotalAmount]],0)</f>
        <v>1875</v>
      </c>
      <c r="U239" t="s">
        <v>1360</v>
      </c>
      <c r="V239" t="s">
        <v>1361</v>
      </c>
      <c r="W239" s="4">
        <v>45484</v>
      </c>
      <c r="X239" s="4">
        <v>45486</v>
      </c>
      <c r="Y239" t="b">
        <v>0</v>
      </c>
      <c r="Z239" t="s">
        <v>1412</v>
      </c>
      <c r="AA239" t="s">
        <v>1412</v>
      </c>
      <c r="AB239" t="s">
        <v>1412</v>
      </c>
      <c r="AC239" t="s">
        <v>1384</v>
      </c>
      <c r="AD239" t="s">
        <v>1385</v>
      </c>
      <c r="AE239" t="s">
        <v>1395</v>
      </c>
    </row>
    <row r="240" spans="1:31" x14ac:dyDescent="0.3">
      <c r="A240" t="s">
        <v>376</v>
      </c>
      <c r="B240" s="4">
        <v>45658.541666666657</v>
      </c>
      <c r="C240" t="s">
        <v>63</v>
      </c>
      <c r="D240" t="s">
        <v>1141</v>
      </c>
      <c r="E240" t="s">
        <v>1239</v>
      </c>
      <c r="F240" t="str" cm="1">
        <f t="array" ref="F240">_xlfn.IFS(
E240="Ahmedabad","Gujarat",
E240="Bengaluru","Karnataka",
E240="Bhopal","Madhya Pradesh",
E240="Bhubaneswar","Odisha",
E240="Chandigarh","Chandigarh",
E240="Chennai","Tamil Nadu",
E240="Delhi","Delhi",
E240="Guwahati","Assam",
E240="Hyderabad","Telangana",
E240="Indore","Madhya Pradesh",
E240="Jaipur","Rajasthan",
E240="Kochi","Kerala",
E240="Kolkata","West Bengal",
E240="Lucknow","Uttar Pradesh",
E240="Mumbai","Maharashtra",
E240="Nagpur","Maharashtra",
E240="Patna","Bihar",
E240="Pune","Maharashtra",
E240="Raipur","Chhattisgarh",
E240="Surat","Gujarat",
TRUE,"Not Found"
)</f>
        <v>Odisha</v>
      </c>
      <c r="G240" t="s">
        <v>1143</v>
      </c>
      <c r="H240" t="s">
        <v>1163</v>
      </c>
      <c r="I240" t="s">
        <v>1164</v>
      </c>
      <c r="J240" t="s">
        <v>1318</v>
      </c>
      <c r="K240" t="s">
        <v>1319</v>
      </c>
      <c r="L240">
        <v>4</v>
      </c>
      <c r="M240">
        <v>488</v>
      </c>
      <c r="N240">
        <v>0</v>
      </c>
      <c r="O240">
        <v>488</v>
      </c>
      <c r="P240">
        <v>0.12</v>
      </c>
      <c r="Q240">
        <v>1952</v>
      </c>
      <c r="R240">
        <v>234.24</v>
      </c>
      <c r="S240">
        <v>2186.2399999999998</v>
      </c>
      <c r="T240">
        <f>ROUND(Table2[[#This Row],[TotalAmount]],0)</f>
        <v>2186</v>
      </c>
      <c r="U240" t="s">
        <v>1363</v>
      </c>
      <c r="V240" t="s">
        <v>1361</v>
      </c>
      <c r="W240" s="4">
        <v>45659</v>
      </c>
      <c r="X240" s="4">
        <v>45664</v>
      </c>
      <c r="Y240" t="b">
        <v>0</v>
      </c>
      <c r="Z240" t="s">
        <v>1412</v>
      </c>
      <c r="AA240" t="s">
        <v>1412</v>
      </c>
      <c r="AB240" t="s">
        <v>1412</v>
      </c>
      <c r="AC240" t="s">
        <v>1392</v>
      </c>
      <c r="AD240" t="s">
        <v>1377</v>
      </c>
      <c r="AE240" t="s">
        <v>1391</v>
      </c>
    </row>
    <row r="241" spans="1:31" x14ac:dyDescent="0.3">
      <c r="A241" t="s">
        <v>377</v>
      </c>
      <c r="B241" s="4">
        <v>45308.521527777782</v>
      </c>
      <c r="C241" t="s">
        <v>378</v>
      </c>
      <c r="D241" t="s">
        <v>1157</v>
      </c>
      <c r="E241" t="s">
        <v>1158</v>
      </c>
      <c r="F241" t="str" cm="1">
        <f t="array" ref="F241">_xlfn.IFS(
E241="Ahmedabad","Gujarat",
E241="Bengaluru","Karnataka",
E241="Bhopal","Madhya Pradesh",
E241="Bhubaneswar","Odisha",
E241="Chandigarh","Chandigarh",
E241="Chennai","Tamil Nadu",
E241="Delhi","Delhi",
E241="Guwahati","Assam",
E241="Hyderabad","Telangana",
E241="Indore","Madhya Pradesh",
E241="Jaipur","Rajasthan",
E241="Kochi","Kerala",
E241="Kolkata","West Bengal",
E241="Lucknow","Uttar Pradesh",
E241="Mumbai","Maharashtra",
E241="Nagpur","Maharashtra",
E241="Patna","Bihar",
E241="Pune","Maharashtra",
E241="Raipur","Chhattisgarh",
E241="Surat","Gujarat",
TRUE,"Not Found"
)</f>
        <v>Gujarat</v>
      </c>
      <c r="G241" t="s">
        <v>1150</v>
      </c>
      <c r="H241" t="s">
        <v>1144</v>
      </c>
      <c r="I241" t="s">
        <v>1214</v>
      </c>
      <c r="J241" t="s">
        <v>1252</v>
      </c>
      <c r="K241" t="s">
        <v>1253</v>
      </c>
      <c r="L241">
        <v>1</v>
      </c>
      <c r="M241">
        <v>9871</v>
      </c>
      <c r="N241">
        <v>0.05</v>
      </c>
      <c r="O241">
        <v>9377.4499999999989</v>
      </c>
      <c r="P241">
        <v>0.12</v>
      </c>
      <c r="Q241">
        <v>9377.4499999999989</v>
      </c>
      <c r="R241">
        <v>1125.2940000000001</v>
      </c>
      <c r="S241">
        <v>10502.744000000001</v>
      </c>
      <c r="T241">
        <f>ROUND(Table2[[#This Row],[TotalAmount]],0)</f>
        <v>10503</v>
      </c>
      <c r="U241" t="s">
        <v>1360</v>
      </c>
      <c r="V241" t="s">
        <v>1361</v>
      </c>
      <c r="W241" s="4">
        <v>45310</v>
      </c>
      <c r="X241" s="4">
        <v>45311</v>
      </c>
      <c r="Y241" t="b">
        <v>0</v>
      </c>
      <c r="Z241" t="s">
        <v>1412</v>
      </c>
      <c r="AA241" t="s">
        <v>1412</v>
      </c>
      <c r="AB241" t="s">
        <v>1412</v>
      </c>
      <c r="AC241" t="s">
        <v>1386</v>
      </c>
      <c r="AD241" t="s">
        <v>1399</v>
      </c>
      <c r="AE241" t="s">
        <v>1395</v>
      </c>
    </row>
    <row r="242" spans="1:31" x14ac:dyDescent="0.3">
      <c r="A242" t="s">
        <v>379</v>
      </c>
      <c r="B242" s="4">
        <v>45671.518055555563</v>
      </c>
      <c r="C242" t="s">
        <v>231</v>
      </c>
      <c r="D242" t="s">
        <v>1157</v>
      </c>
      <c r="E242" t="s">
        <v>1249</v>
      </c>
      <c r="F242" t="str" cm="1">
        <f t="array" ref="F242">_xlfn.IFS(
E242="Ahmedabad","Gujarat",
E242="Bengaluru","Karnataka",
E242="Bhopal","Madhya Pradesh",
E242="Bhubaneswar","Odisha",
E242="Chandigarh","Chandigarh",
E242="Chennai","Tamil Nadu",
E242="Delhi","Delhi",
E242="Guwahati","Assam",
E242="Hyderabad","Telangana",
E242="Indore","Madhya Pradesh",
E242="Jaipur","Rajasthan",
E242="Kochi","Kerala",
E242="Kolkata","West Bengal",
E242="Lucknow","Uttar Pradesh",
E242="Mumbai","Maharashtra",
E242="Nagpur","Maharashtra",
E242="Patna","Bihar",
E242="Pune","Maharashtra",
E242="Raipur","Chhattisgarh",
E242="Surat","Gujarat",
TRUE,"Not Found"
)</f>
        <v>Maharashtra</v>
      </c>
      <c r="G242" t="s">
        <v>1143</v>
      </c>
      <c r="H242" t="s">
        <v>1144</v>
      </c>
      <c r="I242" t="s">
        <v>1276</v>
      </c>
      <c r="J242" t="s">
        <v>1277</v>
      </c>
      <c r="K242" t="s">
        <v>1278</v>
      </c>
      <c r="L242">
        <v>2</v>
      </c>
      <c r="M242">
        <v>8814</v>
      </c>
      <c r="N242">
        <v>0</v>
      </c>
      <c r="O242">
        <v>8814</v>
      </c>
      <c r="P242">
        <v>0.18</v>
      </c>
      <c r="Q242">
        <v>17628</v>
      </c>
      <c r="R242">
        <v>3173.04</v>
      </c>
      <c r="S242">
        <v>20801.04</v>
      </c>
      <c r="T242">
        <f>ROUND(Table2[[#This Row],[TotalAmount]],0)</f>
        <v>20801</v>
      </c>
      <c r="U242" t="s">
        <v>1362</v>
      </c>
      <c r="V242" t="s">
        <v>1367</v>
      </c>
      <c r="W242" s="4">
        <v>45672</v>
      </c>
      <c r="X242" s="4" t="s">
        <v>1412</v>
      </c>
      <c r="Y242" t="b">
        <v>0</v>
      </c>
      <c r="Z242" t="s">
        <v>1412</v>
      </c>
      <c r="AA242" t="s">
        <v>1412</v>
      </c>
      <c r="AB242" t="s">
        <v>1412</v>
      </c>
      <c r="AC242" t="s">
        <v>1388</v>
      </c>
      <c r="AD242" t="s">
        <v>1377</v>
      </c>
      <c r="AE242" t="s">
        <v>1378</v>
      </c>
    </row>
    <row r="243" spans="1:31" x14ac:dyDescent="0.3">
      <c r="A243" t="s">
        <v>380</v>
      </c>
      <c r="B243" s="4">
        <v>45536.4</v>
      </c>
      <c r="C243" t="s">
        <v>318</v>
      </c>
      <c r="D243" t="s">
        <v>1153</v>
      </c>
      <c r="E243" t="s">
        <v>1176</v>
      </c>
      <c r="F243" t="str" cm="1">
        <f t="array" ref="F243">_xlfn.IFS(
E243="Ahmedabad","Gujarat",
E243="Bengaluru","Karnataka",
E243="Bhopal","Madhya Pradesh",
E243="Bhubaneswar","Odisha",
E243="Chandigarh","Chandigarh",
E243="Chennai","Tamil Nadu",
E243="Delhi","Delhi",
E243="Guwahati","Assam",
E243="Hyderabad","Telangana",
E243="Indore","Madhya Pradesh",
E243="Jaipur","Rajasthan",
E243="Kochi","Kerala",
E243="Kolkata","West Bengal",
E243="Lucknow","Uttar Pradesh",
E243="Mumbai","Maharashtra",
E243="Nagpur","Maharashtra",
E243="Patna","Bihar",
E243="Pune","Maharashtra",
E243="Raipur","Chhattisgarh",
E243="Surat","Gujarat",
TRUE,"Not Found"
)</f>
        <v>Chhattisgarh</v>
      </c>
      <c r="G243" t="s">
        <v>1150</v>
      </c>
      <c r="H243" t="s">
        <v>1144</v>
      </c>
      <c r="I243" t="s">
        <v>1276</v>
      </c>
      <c r="J243" t="s">
        <v>1286</v>
      </c>
      <c r="K243" t="s">
        <v>1287</v>
      </c>
      <c r="L243">
        <v>1</v>
      </c>
      <c r="M243">
        <v>12518</v>
      </c>
      <c r="N243">
        <v>0.15</v>
      </c>
      <c r="O243">
        <v>10640.3</v>
      </c>
      <c r="P243">
        <v>0.18</v>
      </c>
      <c r="Q243">
        <v>10640.3</v>
      </c>
      <c r="R243">
        <v>1915.2539999999999</v>
      </c>
      <c r="S243">
        <v>12555.554</v>
      </c>
      <c r="T243">
        <f>ROUND(Table2[[#This Row],[TotalAmount]],0)</f>
        <v>12556</v>
      </c>
      <c r="U243" t="s">
        <v>1365</v>
      </c>
      <c r="V243" t="s">
        <v>1361</v>
      </c>
      <c r="W243" s="4">
        <v>45536</v>
      </c>
      <c r="X243" s="4">
        <v>45540</v>
      </c>
      <c r="Y243" t="b">
        <v>0</v>
      </c>
      <c r="Z243" t="s">
        <v>1412</v>
      </c>
      <c r="AA243" t="s">
        <v>1412</v>
      </c>
      <c r="AB243" t="s">
        <v>1412</v>
      </c>
      <c r="AC243" t="s">
        <v>1384</v>
      </c>
      <c r="AD243" t="s">
        <v>1399</v>
      </c>
      <c r="AE243" t="s">
        <v>1378</v>
      </c>
    </row>
    <row r="244" spans="1:31" x14ac:dyDescent="0.3">
      <c r="A244" t="s">
        <v>381</v>
      </c>
      <c r="B244" s="4">
        <v>45721.441666666673</v>
      </c>
      <c r="C244" t="s">
        <v>382</v>
      </c>
      <c r="D244" t="s">
        <v>1157</v>
      </c>
      <c r="E244" t="s">
        <v>1158</v>
      </c>
      <c r="F244" t="str" cm="1">
        <f t="array" ref="F244">_xlfn.IFS(
E244="Ahmedabad","Gujarat",
E244="Bengaluru","Karnataka",
E244="Bhopal","Madhya Pradesh",
E244="Bhubaneswar","Odisha",
E244="Chandigarh","Chandigarh",
E244="Chennai","Tamil Nadu",
E244="Delhi","Delhi",
E244="Guwahati","Assam",
E244="Hyderabad","Telangana",
E244="Indore","Madhya Pradesh",
E244="Jaipur","Rajasthan",
E244="Kochi","Kerala",
E244="Kolkata","West Bengal",
E244="Lucknow","Uttar Pradesh",
E244="Mumbai","Maharashtra",
E244="Nagpur","Maharashtra",
E244="Patna","Bihar",
E244="Pune","Maharashtra",
E244="Raipur","Chhattisgarh",
E244="Surat","Gujarat",
TRUE,"Not Found"
)</f>
        <v>Gujarat</v>
      </c>
      <c r="G244" t="s">
        <v>1143</v>
      </c>
      <c r="H244" t="s">
        <v>1144</v>
      </c>
      <c r="I244" t="s">
        <v>1159</v>
      </c>
      <c r="J244" t="s">
        <v>1334</v>
      </c>
      <c r="K244" t="s">
        <v>1335</v>
      </c>
      <c r="L244">
        <v>3</v>
      </c>
      <c r="M244">
        <v>9340</v>
      </c>
      <c r="N244">
        <v>0.05</v>
      </c>
      <c r="O244">
        <v>8873</v>
      </c>
      <c r="P244">
        <v>0.12</v>
      </c>
      <c r="Q244">
        <v>26619</v>
      </c>
      <c r="R244">
        <v>3194.28</v>
      </c>
      <c r="S244">
        <v>29813.279999999999</v>
      </c>
      <c r="T244">
        <f>ROUND(Table2[[#This Row],[TotalAmount]],0)</f>
        <v>29813</v>
      </c>
      <c r="U244" t="s">
        <v>1362</v>
      </c>
      <c r="V244" t="s">
        <v>1361</v>
      </c>
      <c r="W244" s="4">
        <v>45723</v>
      </c>
      <c r="X244" s="4">
        <v>45725</v>
      </c>
      <c r="Y244" t="b">
        <v>0</v>
      </c>
      <c r="Z244" t="s">
        <v>1412</v>
      </c>
      <c r="AA244" t="s">
        <v>1412</v>
      </c>
      <c r="AB244" t="s">
        <v>1412</v>
      </c>
      <c r="AC244" t="s">
        <v>1392</v>
      </c>
      <c r="AD244" t="s">
        <v>1387</v>
      </c>
      <c r="AE244" t="s">
        <v>1383</v>
      </c>
    </row>
    <row r="245" spans="1:31" x14ac:dyDescent="0.3">
      <c r="A245" t="s">
        <v>383</v>
      </c>
      <c r="B245" s="4">
        <v>45627.45208333333</v>
      </c>
      <c r="C245" t="s">
        <v>86</v>
      </c>
      <c r="D245" t="s">
        <v>1182</v>
      </c>
      <c r="E245" t="s">
        <v>1207</v>
      </c>
      <c r="F245" t="str" cm="1">
        <f t="array" ref="F245">_xlfn.IFS(
E245="Ahmedabad","Gujarat",
E245="Bengaluru","Karnataka",
E245="Bhopal","Madhya Pradesh",
E245="Bhubaneswar","Odisha",
E245="Chandigarh","Chandigarh",
E245="Chennai","Tamil Nadu",
E245="Delhi","Delhi",
E245="Guwahati","Assam",
E245="Hyderabad","Telangana",
E245="Indore","Madhya Pradesh",
E245="Jaipur","Rajasthan",
E245="Kochi","Kerala",
E245="Kolkata","West Bengal",
E245="Lucknow","Uttar Pradesh",
E245="Mumbai","Maharashtra",
E245="Nagpur","Maharashtra",
E245="Patna","Bihar",
E245="Pune","Maharashtra",
E245="Raipur","Chhattisgarh",
E245="Surat","Gujarat",
TRUE,"Not Found"
)</f>
        <v>Tamil Nadu</v>
      </c>
      <c r="G245" t="s">
        <v>1150</v>
      </c>
      <c r="H245" t="s">
        <v>1172</v>
      </c>
      <c r="I245" t="s">
        <v>1204</v>
      </c>
      <c r="J245" t="s">
        <v>1234</v>
      </c>
      <c r="K245" t="s">
        <v>1235</v>
      </c>
      <c r="L245">
        <v>1</v>
      </c>
      <c r="M245">
        <v>2016</v>
      </c>
      <c r="N245">
        <v>0.05</v>
      </c>
      <c r="O245">
        <v>1915.2</v>
      </c>
      <c r="P245">
        <v>0.18</v>
      </c>
      <c r="Q245">
        <v>1915.2</v>
      </c>
      <c r="R245">
        <v>344.73599999999988</v>
      </c>
      <c r="S245">
        <v>2259.9360000000001</v>
      </c>
      <c r="T245">
        <f>ROUND(Table2[[#This Row],[TotalAmount]],0)</f>
        <v>2260</v>
      </c>
      <c r="U245" t="s">
        <v>1360</v>
      </c>
      <c r="V245" t="s">
        <v>1361</v>
      </c>
      <c r="W245" s="4">
        <v>45627</v>
      </c>
      <c r="X245" s="4">
        <v>45628</v>
      </c>
      <c r="Y245" t="b">
        <v>0</v>
      </c>
      <c r="Z245" t="s">
        <v>1412</v>
      </c>
      <c r="AA245" t="s">
        <v>1412</v>
      </c>
      <c r="AB245" t="s">
        <v>1412</v>
      </c>
      <c r="AC245" t="s">
        <v>1398</v>
      </c>
      <c r="AD245" t="s">
        <v>1385</v>
      </c>
      <c r="AE245" t="s">
        <v>1380</v>
      </c>
    </row>
    <row r="246" spans="1:31" x14ac:dyDescent="0.3">
      <c r="A246" t="s">
        <v>384</v>
      </c>
      <c r="B246" s="4">
        <v>45630.522916666669</v>
      </c>
      <c r="C246" t="s">
        <v>385</v>
      </c>
      <c r="D246" t="s">
        <v>1182</v>
      </c>
      <c r="E246" t="s">
        <v>1207</v>
      </c>
      <c r="F246" t="str" cm="1">
        <f t="array" ref="F246">_xlfn.IFS(
E246="Ahmedabad","Gujarat",
E246="Bengaluru","Karnataka",
E246="Bhopal","Madhya Pradesh",
E246="Bhubaneswar","Odisha",
E246="Chandigarh","Chandigarh",
E246="Chennai","Tamil Nadu",
E246="Delhi","Delhi",
E246="Guwahati","Assam",
E246="Hyderabad","Telangana",
E246="Indore","Madhya Pradesh",
E246="Jaipur","Rajasthan",
E246="Kochi","Kerala",
E246="Kolkata","West Bengal",
E246="Lucknow","Uttar Pradesh",
E246="Mumbai","Maharashtra",
E246="Nagpur","Maharashtra",
E246="Patna","Bihar",
E246="Pune","Maharashtra",
E246="Raipur","Chhattisgarh",
E246="Surat","Gujarat",
TRUE,"Not Found"
)</f>
        <v>Tamil Nadu</v>
      </c>
      <c r="G246" t="s">
        <v>1143</v>
      </c>
      <c r="H246" t="s">
        <v>1172</v>
      </c>
      <c r="I246" t="s">
        <v>1198</v>
      </c>
      <c r="J246" t="s">
        <v>1250</v>
      </c>
      <c r="K246" t="s">
        <v>1251</v>
      </c>
      <c r="L246">
        <v>2</v>
      </c>
      <c r="M246">
        <v>2767</v>
      </c>
      <c r="N246">
        <v>0</v>
      </c>
      <c r="O246">
        <v>2767</v>
      </c>
      <c r="P246">
        <v>0.12</v>
      </c>
      <c r="Q246">
        <v>5534</v>
      </c>
      <c r="R246">
        <v>664.07999999999993</v>
      </c>
      <c r="S246">
        <v>6198.08</v>
      </c>
      <c r="T246">
        <f>ROUND(Table2[[#This Row],[TotalAmount]],0)</f>
        <v>6198</v>
      </c>
      <c r="U246" t="s">
        <v>1360</v>
      </c>
      <c r="V246" t="s">
        <v>1361</v>
      </c>
      <c r="W246" s="4">
        <v>45630</v>
      </c>
      <c r="X246" s="4">
        <v>45633</v>
      </c>
      <c r="Y246" t="b">
        <v>0</v>
      </c>
      <c r="Z246" t="s">
        <v>1412</v>
      </c>
      <c r="AA246" t="s">
        <v>1412</v>
      </c>
      <c r="AB246" t="s">
        <v>1412</v>
      </c>
      <c r="AC246" t="s">
        <v>1384</v>
      </c>
      <c r="AD246" t="s">
        <v>1387</v>
      </c>
      <c r="AE246" t="s">
        <v>1378</v>
      </c>
    </row>
    <row r="247" spans="1:31" x14ac:dyDescent="0.3">
      <c r="A247" t="s">
        <v>386</v>
      </c>
      <c r="B247" s="4">
        <v>45380.511805555558</v>
      </c>
      <c r="C247" t="s">
        <v>387</v>
      </c>
      <c r="D247" t="s">
        <v>1148</v>
      </c>
      <c r="E247" t="s">
        <v>1262</v>
      </c>
      <c r="F247" t="str" cm="1">
        <f t="array" ref="F247">_xlfn.IFS(
E247="Ahmedabad","Gujarat",
E247="Bengaluru","Karnataka",
E247="Bhopal","Madhya Pradesh",
E247="Bhubaneswar","Odisha",
E247="Chandigarh","Chandigarh",
E247="Chennai","Tamil Nadu",
E247="Delhi","Delhi",
E247="Guwahati","Assam",
E247="Hyderabad","Telangana",
E247="Indore","Madhya Pradesh",
E247="Jaipur","Rajasthan",
E247="Kochi","Kerala",
E247="Kolkata","West Bengal",
E247="Lucknow","Uttar Pradesh",
E247="Mumbai","Maharashtra",
E247="Nagpur","Maharashtra",
E247="Patna","Bihar",
E247="Pune","Maharashtra",
E247="Raipur","Chhattisgarh",
E247="Surat","Gujarat",
TRUE,"Not Found"
)</f>
        <v>Rajasthan</v>
      </c>
      <c r="G247" t="s">
        <v>1143</v>
      </c>
      <c r="H247" t="s">
        <v>1177</v>
      </c>
      <c r="I247" t="s">
        <v>1178</v>
      </c>
      <c r="J247" t="s">
        <v>1220</v>
      </c>
      <c r="K247" t="s">
        <v>1221</v>
      </c>
      <c r="L247">
        <v>2</v>
      </c>
      <c r="M247">
        <v>1214</v>
      </c>
      <c r="N247">
        <v>0</v>
      </c>
      <c r="O247">
        <v>1214</v>
      </c>
      <c r="P247">
        <v>0.18</v>
      </c>
      <c r="Q247">
        <v>2428</v>
      </c>
      <c r="R247">
        <v>437.04</v>
      </c>
      <c r="S247">
        <v>2865.04</v>
      </c>
      <c r="T247">
        <f>ROUND(Table2[[#This Row],[TotalAmount]],0)</f>
        <v>2865</v>
      </c>
      <c r="U247" t="s">
        <v>1362</v>
      </c>
      <c r="V247" t="s">
        <v>1361</v>
      </c>
      <c r="W247" s="4">
        <v>45381</v>
      </c>
      <c r="X247" s="4">
        <v>45382</v>
      </c>
      <c r="Y247" t="b">
        <v>0</v>
      </c>
      <c r="Z247" t="s">
        <v>1412</v>
      </c>
      <c r="AA247" t="s">
        <v>1412</v>
      </c>
      <c r="AB247" t="s">
        <v>1412</v>
      </c>
      <c r="AC247" t="s">
        <v>1376</v>
      </c>
      <c r="AD247" t="s">
        <v>1385</v>
      </c>
      <c r="AE247" t="s">
        <v>1393</v>
      </c>
    </row>
    <row r="248" spans="1:31" x14ac:dyDescent="0.3">
      <c r="A248" t="s">
        <v>388</v>
      </c>
      <c r="B248" s="4">
        <v>45729.540972222218</v>
      </c>
      <c r="C248" t="s">
        <v>65</v>
      </c>
      <c r="D248" t="s">
        <v>1141</v>
      </c>
      <c r="E248" t="s">
        <v>1142</v>
      </c>
      <c r="F248" t="str" cm="1">
        <f t="array" ref="F248">_xlfn.IFS(
E248="Ahmedabad","Gujarat",
E248="Bengaluru","Karnataka",
E248="Bhopal","Madhya Pradesh",
E248="Bhubaneswar","Odisha",
E248="Chandigarh","Chandigarh",
E248="Chennai","Tamil Nadu",
E248="Delhi","Delhi",
E248="Guwahati","Assam",
E248="Hyderabad","Telangana",
E248="Indore","Madhya Pradesh",
E248="Jaipur","Rajasthan",
E248="Kochi","Kerala",
E248="Kolkata","West Bengal",
E248="Lucknow","Uttar Pradesh",
E248="Mumbai","Maharashtra",
E248="Nagpur","Maharashtra",
E248="Patna","Bihar",
E248="Pune","Maharashtra",
E248="Raipur","Chhattisgarh",
E248="Surat","Gujarat",
TRUE,"Not Found"
)</f>
        <v>West Bengal</v>
      </c>
      <c r="G248" t="s">
        <v>1143</v>
      </c>
      <c r="H248" t="s">
        <v>1172</v>
      </c>
      <c r="I248" t="s">
        <v>1229</v>
      </c>
      <c r="J248" t="s">
        <v>1340</v>
      </c>
      <c r="K248" t="s">
        <v>1341</v>
      </c>
      <c r="L248">
        <v>1</v>
      </c>
      <c r="M248">
        <v>7588</v>
      </c>
      <c r="N248">
        <v>0.2</v>
      </c>
      <c r="O248">
        <v>6070.4000000000005</v>
      </c>
      <c r="P248">
        <v>0.12</v>
      </c>
      <c r="Q248">
        <v>6070.4000000000005</v>
      </c>
      <c r="R248">
        <v>728.44800000000009</v>
      </c>
      <c r="S248">
        <v>6798.8480000000009</v>
      </c>
      <c r="T248">
        <f>ROUND(Table2[[#This Row],[TotalAmount]],0)</f>
        <v>6799</v>
      </c>
      <c r="U248" t="s">
        <v>1365</v>
      </c>
      <c r="V248" t="s">
        <v>1361</v>
      </c>
      <c r="W248" s="4">
        <v>45729</v>
      </c>
      <c r="X248" s="4">
        <v>45734</v>
      </c>
      <c r="Y248" t="b">
        <v>0</v>
      </c>
      <c r="Z248" t="s">
        <v>1412</v>
      </c>
      <c r="AA248" t="s">
        <v>1412</v>
      </c>
      <c r="AB248" t="s">
        <v>1412</v>
      </c>
      <c r="AC248" t="s">
        <v>1390</v>
      </c>
      <c r="AD248" t="s">
        <v>1400</v>
      </c>
      <c r="AE248" t="s">
        <v>1391</v>
      </c>
    </row>
    <row r="249" spans="1:31" x14ac:dyDescent="0.3">
      <c r="A249" t="s">
        <v>389</v>
      </c>
      <c r="B249" s="4">
        <v>45405.593055555553</v>
      </c>
      <c r="C249" t="s">
        <v>102</v>
      </c>
      <c r="D249" t="s">
        <v>1141</v>
      </c>
      <c r="E249" t="s">
        <v>1239</v>
      </c>
      <c r="F249" t="str" cm="1">
        <f t="array" ref="F249">_xlfn.IFS(
E249="Ahmedabad","Gujarat",
E249="Bengaluru","Karnataka",
E249="Bhopal","Madhya Pradesh",
E249="Bhubaneswar","Odisha",
E249="Chandigarh","Chandigarh",
E249="Chennai","Tamil Nadu",
E249="Delhi","Delhi",
E249="Guwahati","Assam",
E249="Hyderabad","Telangana",
E249="Indore","Madhya Pradesh",
E249="Jaipur","Rajasthan",
E249="Kochi","Kerala",
E249="Kolkata","West Bengal",
E249="Lucknow","Uttar Pradesh",
E249="Mumbai","Maharashtra",
E249="Nagpur","Maharashtra",
E249="Patna","Bihar",
E249="Pune","Maharashtra",
E249="Raipur","Chhattisgarh",
E249="Surat","Gujarat",
TRUE,"Not Found"
)</f>
        <v>Odisha</v>
      </c>
      <c r="G249" t="s">
        <v>1143</v>
      </c>
      <c r="H249" t="s">
        <v>1177</v>
      </c>
      <c r="I249" t="s">
        <v>1178</v>
      </c>
      <c r="J249" t="s">
        <v>1305</v>
      </c>
      <c r="K249" t="s">
        <v>1306</v>
      </c>
      <c r="L249">
        <v>2</v>
      </c>
      <c r="M249">
        <v>2998</v>
      </c>
      <c r="N249">
        <v>0.05</v>
      </c>
      <c r="O249">
        <v>2848.1</v>
      </c>
      <c r="P249">
        <v>0.12</v>
      </c>
      <c r="Q249">
        <v>5696.2</v>
      </c>
      <c r="R249">
        <v>683.54399999999998</v>
      </c>
      <c r="S249">
        <v>6379.7439999999997</v>
      </c>
      <c r="T249">
        <f>ROUND(Table2[[#This Row],[TotalAmount]],0)</f>
        <v>6380</v>
      </c>
      <c r="U249" t="s">
        <v>1363</v>
      </c>
      <c r="V249" t="s">
        <v>1361</v>
      </c>
      <c r="W249" s="4">
        <v>45406</v>
      </c>
      <c r="X249" s="4">
        <v>45410</v>
      </c>
      <c r="Y249" t="b">
        <v>0</v>
      </c>
      <c r="Z249" t="s">
        <v>1412</v>
      </c>
      <c r="AA249" t="s">
        <v>1412</v>
      </c>
      <c r="AB249" t="s">
        <v>1412</v>
      </c>
      <c r="AC249" t="s">
        <v>1379</v>
      </c>
      <c r="AD249" t="s">
        <v>1385</v>
      </c>
      <c r="AE249" t="s">
        <v>1378</v>
      </c>
    </row>
    <row r="250" spans="1:31" x14ac:dyDescent="0.3">
      <c r="A250" t="s">
        <v>390</v>
      </c>
      <c r="B250" s="4">
        <v>45725.504861111112</v>
      </c>
      <c r="C250" t="s">
        <v>239</v>
      </c>
      <c r="D250" t="s">
        <v>1153</v>
      </c>
      <c r="E250" t="s">
        <v>1162</v>
      </c>
      <c r="F250" t="str" cm="1">
        <f t="array" ref="F250">_xlfn.IFS(
E250="Ahmedabad","Gujarat",
E250="Bengaluru","Karnataka",
E250="Bhopal","Madhya Pradesh",
E250="Bhubaneswar","Odisha",
E250="Chandigarh","Chandigarh",
E250="Chennai","Tamil Nadu",
E250="Delhi","Delhi",
E250="Guwahati","Assam",
E250="Hyderabad","Telangana",
E250="Indore","Madhya Pradesh",
E250="Jaipur","Rajasthan",
E250="Kochi","Kerala",
E250="Kolkata","West Bengal",
E250="Lucknow","Uttar Pradesh",
E250="Mumbai","Maharashtra",
E250="Nagpur","Maharashtra",
E250="Patna","Bihar",
E250="Pune","Maharashtra",
E250="Raipur","Chhattisgarh",
E250="Surat","Gujarat",
TRUE,"Not Found"
)</f>
        <v>Madhya Pradesh</v>
      </c>
      <c r="G250" t="s">
        <v>1150</v>
      </c>
      <c r="H250" t="s">
        <v>1144</v>
      </c>
      <c r="I250" t="s">
        <v>1145</v>
      </c>
      <c r="J250" t="s">
        <v>1155</v>
      </c>
      <c r="K250" t="s">
        <v>1156</v>
      </c>
      <c r="L250">
        <v>4</v>
      </c>
      <c r="M250">
        <v>13286</v>
      </c>
      <c r="N250">
        <v>0.05</v>
      </c>
      <c r="O250">
        <v>12621.7</v>
      </c>
      <c r="P250">
        <v>0.18</v>
      </c>
      <c r="Q250">
        <v>50486.8</v>
      </c>
      <c r="R250">
        <v>9087.623999999998</v>
      </c>
      <c r="S250">
        <v>59574.423999999992</v>
      </c>
      <c r="T250">
        <f>ROUND(Table2[[#This Row],[TotalAmount]],0)</f>
        <v>59574</v>
      </c>
      <c r="U250" t="s">
        <v>1363</v>
      </c>
      <c r="V250" t="s">
        <v>1361</v>
      </c>
      <c r="W250" s="4">
        <v>45725</v>
      </c>
      <c r="X250" s="4">
        <v>45730</v>
      </c>
      <c r="Y250" t="b">
        <v>0</v>
      </c>
      <c r="Z250" t="s">
        <v>1412</v>
      </c>
      <c r="AA250" t="s">
        <v>1412</v>
      </c>
      <c r="AB250" t="s">
        <v>1412</v>
      </c>
      <c r="AC250" t="s">
        <v>1382</v>
      </c>
      <c r="AD250" t="s">
        <v>1377</v>
      </c>
      <c r="AE250" t="s">
        <v>1393</v>
      </c>
    </row>
    <row r="251" spans="1:31" x14ac:dyDescent="0.3">
      <c r="A251" t="s">
        <v>391</v>
      </c>
      <c r="B251" s="4">
        <v>45425.559027777781</v>
      </c>
      <c r="C251" t="s">
        <v>392</v>
      </c>
      <c r="D251" t="s">
        <v>1153</v>
      </c>
      <c r="E251" t="s">
        <v>1191</v>
      </c>
      <c r="F251" t="str" cm="1">
        <f t="array" ref="F251">_xlfn.IFS(
E251="Ahmedabad","Gujarat",
E251="Bengaluru","Karnataka",
E251="Bhopal","Madhya Pradesh",
E251="Bhubaneswar","Odisha",
E251="Chandigarh","Chandigarh",
E251="Chennai","Tamil Nadu",
E251="Delhi","Delhi",
E251="Guwahati","Assam",
E251="Hyderabad","Telangana",
E251="Indore","Madhya Pradesh",
E251="Jaipur","Rajasthan",
E251="Kochi","Kerala",
E251="Kolkata","West Bengal",
E251="Lucknow","Uttar Pradesh",
E251="Mumbai","Maharashtra",
E251="Nagpur","Maharashtra",
E251="Patna","Bihar",
E251="Pune","Maharashtra",
E251="Raipur","Chhattisgarh",
E251="Surat","Gujarat",
TRUE,"Not Found"
)</f>
        <v>Madhya Pradesh</v>
      </c>
      <c r="G251" t="s">
        <v>1143</v>
      </c>
      <c r="H251" t="s">
        <v>1177</v>
      </c>
      <c r="I251" t="s">
        <v>1309</v>
      </c>
      <c r="J251" t="s">
        <v>1310</v>
      </c>
      <c r="K251" t="s">
        <v>1311</v>
      </c>
      <c r="L251">
        <v>2</v>
      </c>
      <c r="M251">
        <v>999</v>
      </c>
      <c r="N251">
        <v>0.15</v>
      </c>
      <c r="O251">
        <v>849.15</v>
      </c>
      <c r="P251">
        <v>0.18</v>
      </c>
      <c r="Q251">
        <v>1698.3</v>
      </c>
      <c r="R251">
        <v>305.69400000000002</v>
      </c>
      <c r="S251">
        <v>2003.9939999999999</v>
      </c>
      <c r="T251">
        <f>ROUND(Table2[[#This Row],[TotalAmount]],0)</f>
        <v>2004</v>
      </c>
      <c r="U251" t="s">
        <v>1366</v>
      </c>
      <c r="V251" t="s">
        <v>1368</v>
      </c>
      <c r="W251" s="4">
        <v>45427</v>
      </c>
      <c r="X251" s="4" t="s">
        <v>1412</v>
      </c>
      <c r="Y251" t="b">
        <v>0</v>
      </c>
      <c r="Z251" t="s">
        <v>1412</v>
      </c>
      <c r="AA251" t="s">
        <v>1412</v>
      </c>
      <c r="AB251" t="s">
        <v>1412</v>
      </c>
      <c r="AC251" t="s">
        <v>1382</v>
      </c>
      <c r="AD251" t="s">
        <v>1387</v>
      </c>
      <c r="AE251" t="s">
        <v>1391</v>
      </c>
    </row>
    <row r="252" spans="1:31" x14ac:dyDescent="0.3">
      <c r="A252" t="s">
        <v>393</v>
      </c>
      <c r="B252" s="4">
        <v>45517.603472222218</v>
      </c>
      <c r="C252" t="s">
        <v>394</v>
      </c>
      <c r="D252" t="s">
        <v>1148</v>
      </c>
      <c r="E252" t="s">
        <v>1262</v>
      </c>
      <c r="F252" t="str" cm="1">
        <f t="array" ref="F252">_xlfn.IFS(
E252="Ahmedabad","Gujarat",
E252="Bengaluru","Karnataka",
E252="Bhopal","Madhya Pradesh",
E252="Bhubaneswar","Odisha",
E252="Chandigarh","Chandigarh",
E252="Chennai","Tamil Nadu",
E252="Delhi","Delhi",
E252="Guwahati","Assam",
E252="Hyderabad","Telangana",
E252="Indore","Madhya Pradesh",
E252="Jaipur","Rajasthan",
E252="Kochi","Kerala",
E252="Kolkata","West Bengal",
E252="Lucknow","Uttar Pradesh",
E252="Mumbai","Maharashtra",
E252="Nagpur","Maharashtra",
E252="Patna","Bihar",
E252="Pune","Maharashtra",
E252="Raipur","Chhattisgarh",
E252="Surat","Gujarat",
TRUE,"Not Found"
)</f>
        <v>Rajasthan</v>
      </c>
      <c r="G252" t="s">
        <v>1143</v>
      </c>
      <c r="H252" t="s">
        <v>1172</v>
      </c>
      <c r="I252" t="s">
        <v>1173</v>
      </c>
      <c r="J252" t="s">
        <v>1222</v>
      </c>
      <c r="K252" t="s">
        <v>1223</v>
      </c>
      <c r="L252">
        <v>4</v>
      </c>
      <c r="M252">
        <v>7133</v>
      </c>
      <c r="N252">
        <v>0.1</v>
      </c>
      <c r="O252">
        <v>6419.7</v>
      </c>
      <c r="P252">
        <v>0.18</v>
      </c>
      <c r="Q252">
        <v>25678.799999999999</v>
      </c>
      <c r="R252">
        <v>4622.1839999999993</v>
      </c>
      <c r="S252">
        <v>30300.984</v>
      </c>
      <c r="T252">
        <f>ROUND(Table2[[#This Row],[TotalAmount]],0)</f>
        <v>30301</v>
      </c>
      <c r="U252" t="s">
        <v>1360</v>
      </c>
      <c r="V252" t="s">
        <v>1368</v>
      </c>
      <c r="W252" s="4">
        <v>45518</v>
      </c>
      <c r="X252" s="4" t="s">
        <v>1412</v>
      </c>
      <c r="Y252" t="b">
        <v>0</v>
      </c>
      <c r="Z252" t="s">
        <v>1412</v>
      </c>
      <c r="AA252" t="s">
        <v>1412</v>
      </c>
      <c r="AB252" t="s">
        <v>1412</v>
      </c>
      <c r="AC252" t="s">
        <v>1386</v>
      </c>
      <c r="AD252" t="s">
        <v>1397</v>
      </c>
      <c r="AE252" t="s">
        <v>1391</v>
      </c>
    </row>
    <row r="253" spans="1:31" x14ac:dyDescent="0.3">
      <c r="A253" t="s">
        <v>395</v>
      </c>
      <c r="B253" s="4">
        <v>45390.575694444437</v>
      </c>
      <c r="C253" t="s">
        <v>396</v>
      </c>
      <c r="D253" t="s">
        <v>1157</v>
      </c>
      <c r="E253" t="s">
        <v>1158</v>
      </c>
      <c r="F253" t="str" cm="1">
        <f t="array" ref="F253">_xlfn.IFS(
E253="Ahmedabad","Gujarat",
E253="Bengaluru","Karnataka",
E253="Bhopal","Madhya Pradesh",
E253="Bhubaneswar","Odisha",
E253="Chandigarh","Chandigarh",
E253="Chennai","Tamil Nadu",
E253="Delhi","Delhi",
E253="Guwahati","Assam",
E253="Hyderabad","Telangana",
E253="Indore","Madhya Pradesh",
E253="Jaipur","Rajasthan",
E253="Kochi","Kerala",
E253="Kolkata","West Bengal",
E253="Lucknow","Uttar Pradesh",
E253="Mumbai","Maharashtra",
E253="Nagpur","Maharashtra",
E253="Patna","Bihar",
E253="Pune","Maharashtra",
E253="Raipur","Chhattisgarh",
E253="Surat","Gujarat",
TRUE,"Not Found"
)</f>
        <v>Gujarat</v>
      </c>
      <c r="G253" t="s">
        <v>1187</v>
      </c>
      <c r="H253" t="s">
        <v>1163</v>
      </c>
      <c r="I253" t="s">
        <v>1240</v>
      </c>
      <c r="J253" t="s">
        <v>1241</v>
      </c>
      <c r="K253" t="s">
        <v>1242</v>
      </c>
      <c r="L253">
        <v>1</v>
      </c>
      <c r="M253">
        <v>627</v>
      </c>
      <c r="N253">
        <v>0</v>
      </c>
      <c r="O253">
        <v>627</v>
      </c>
      <c r="P253">
        <v>0.05</v>
      </c>
      <c r="Q253">
        <v>627</v>
      </c>
      <c r="R253">
        <v>31.35</v>
      </c>
      <c r="S253">
        <v>658.35</v>
      </c>
      <c r="T253">
        <f>ROUND(Table2[[#This Row],[TotalAmount]],0)</f>
        <v>658</v>
      </c>
      <c r="U253" t="s">
        <v>1366</v>
      </c>
      <c r="V253" t="s">
        <v>1368</v>
      </c>
      <c r="W253" s="4">
        <v>45390</v>
      </c>
      <c r="X253" s="4" t="s">
        <v>1412</v>
      </c>
      <c r="Y253" t="b">
        <v>0</v>
      </c>
      <c r="Z253" t="s">
        <v>1412</v>
      </c>
      <c r="AA253" t="s">
        <v>1412</v>
      </c>
      <c r="AB253" t="s">
        <v>1412</v>
      </c>
      <c r="AC253" t="s">
        <v>1390</v>
      </c>
      <c r="AD253" t="s">
        <v>1377</v>
      </c>
      <c r="AE253" t="s">
        <v>1391</v>
      </c>
    </row>
    <row r="254" spans="1:31" x14ac:dyDescent="0.3">
      <c r="A254" t="s">
        <v>397</v>
      </c>
      <c r="B254" s="4">
        <v>45474.537499999999</v>
      </c>
      <c r="C254" t="s">
        <v>59</v>
      </c>
      <c r="D254" t="s">
        <v>1148</v>
      </c>
      <c r="E254" t="s">
        <v>1217</v>
      </c>
      <c r="F254" t="str" cm="1">
        <f t="array" ref="F254">_xlfn.IFS(
E254="Ahmedabad","Gujarat",
E254="Bengaluru","Karnataka",
E254="Bhopal","Madhya Pradesh",
E254="Bhubaneswar","Odisha",
E254="Chandigarh","Chandigarh",
E254="Chennai","Tamil Nadu",
E254="Delhi","Delhi",
E254="Guwahati","Assam",
E254="Hyderabad","Telangana",
E254="Indore","Madhya Pradesh",
E254="Jaipur","Rajasthan",
E254="Kochi","Kerala",
E254="Kolkata","West Bengal",
E254="Lucknow","Uttar Pradesh",
E254="Mumbai","Maharashtra",
E254="Nagpur","Maharashtra",
E254="Patna","Bihar",
E254="Pune","Maharashtra",
E254="Raipur","Chhattisgarh",
E254="Surat","Gujarat",
TRUE,"Not Found"
)</f>
        <v>Delhi</v>
      </c>
      <c r="G254" t="s">
        <v>1150</v>
      </c>
      <c r="H254" t="s">
        <v>1144</v>
      </c>
      <c r="I254" t="s">
        <v>1159</v>
      </c>
      <c r="J254" t="s">
        <v>1272</v>
      </c>
      <c r="K254" t="s">
        <v>1273</v>
      </c>
      <c r="L254">
        <v>1</v>
      </c>
      <c r="M254">
        <v>12161</v>
      </c>
      <c r="N254">
        <v>0.1</v>
      </c>
      <c r="O254">
        <v>10944.9</v>
      </c>
      <c r="P254">
        <v>0.18</v>
      </c>
      <c r="Q254">
        <v>10944.9</v>
      </c>
      <c r="R254">
        <v>1970.0820000000001</v>
      </c>
      <c r="S254">
        <v>12914.982</v>
      </c>
      <c r="T254">
        <f>ROUND(Table2[[#This Row],[TotalAmount]],0)</f>
        <v>12915</v>
      </c>
      <c r="U254" t="s">
        <v>1363</v>
      </c>
      <c r="V254" t="s">
        <v>1361</v>
      </c>
      <c r="W254" s="4">
        <v>45475</v>
      </c>
      <c r="X254" s="4">
        <v>45480</v>
      </c>
      <c r="Y254" t="b">
        <v>0</v>
      </c>
      <c r="Z254" t="s">
        <v>1412</v>
      </c>
      <c r="AA254" t="s">
        <v>1412</v>
      </c>
      <c r="AB254" t="s">
        <v>1412</v>
      </c>
      <c r="AC254" t="s">
        <v>1390</v>
      </c>
      <c r="AD254" t="s">
        <v>1400</v>
      </c>
      <c r="AE254" t="s">
        <v>1395</v>
      </c>
    </row>
    <row r="255" spans="1:31" x14ac:dyDescent="0.3">
      <c r="A255" t="s">
        <v>398</v>
      </c>
      <c r="B255" s="4">
        <v>45408.444444444453</v>
      </c>
      <c r="C255" t="s">
        <v>247</v>
      </c>
      <c r="D255" t="s">
        <v>1141</v>
      </c>
      <c r="E255" t="s">
        <v>1227</v>
      </c>
      <c r="F255" t="str" cm="1">
        <f t="array" ref="F255">_xlfn.IFS(
E255="Ahmedabad","Gujarat",
E255="Bengaluru","Karnataka",
E255="Bhopal","Madhya Pradesh",
E255="Bhubaneswar","Odisha",
E255="Chandigarh","Chandigarh",
E255="Chennai","Tamil Nadu",
E255="Delhi","Delhi",
E255="Guwahati","Assam",
E255="Hyderabad","Telangana",
E255="Indore","Madhya Pradesh",
E255="Jaipur","Rajasthan",
E255="Kochi","Kerala",
E255="Kolkata","West Bengal",
E255="Lucknow","Uttar Pradesh",
E255="Mumbai","Maharashtra",
E255="Nagpur","Maharashtra",
E255="Patna","Bihar",
E255="Pune","Maharashtra",
E255="Raipur","Chhattisgarh",
E255="Surat","Gujarat",
TRUE,"Not Found"
)</f>
        <v>Bihar</v>
      </c>
      <c r="G255" t="s">
        <v>1143</v>
      </c>
      <c r="H255" t="s">
        <v>1172</v>
      </c>
      <c r="I255" t="s">
        <v>1229</v>
      </c>
      <c r="J255" t="s">
        <v>1295</v>
      </c>
      <c r="K255" t="s">
        <v>1296</v>
      </c>
      <c r="L255">
        <v>3</v>
      </c>
      <c r="M255">
        <v>8856</v>
      </c>
      <c r="N255">
        <v>0.05</v>
      </c>
      <c r="O255">
        <v>8413.1999999999989</v>
      </c>
      <c r="P255">
        <v>0.05</v>
      </c>
      <c r="Q255">
        <v>25239.599999999999</v>
      </c>
      <c r="R255">
        <v>1261.98</v>
      </c>
      <c r="S255">
        <v>26501.58</v>
      </c>
      <c r="T255">
        <f>ROUND(Table2[[#This Row],[TotalAmount]],0)</f>
        <v>26502</v>
      </c>
      <c r="U255" t="s">
        <v>1363</v>
      </c>
      <c r="V255" t="s">
        <v>1361</v>
      </c>
      <c r="W255" s="4">
        <v>45409</v>
      </c>
      <c r="X255" s="4">
        <v>45411</v>
      </c>
      <c r="Y255" t="b">
        <v>0</v>
      </c>
      <c r="Z255" t="s">
        <v>1412</v>
      </c>
      <c r="AA255" t="s">
        <v>1412</v>
      </c>
      <c r="AB255" t="s">
        <v>1412</v>
      </c>
      <c r="AC255" t="s">
        <v>1390</v>
      </c>
      <c r="AD255" t="s">
        <v>1385</v>
      </c>
      <c r="AE255" t="s">
        <v>1393</v>
      </c>
    </row>
    <row r="256" spans="1:31" x14ac:dyDescent="0.3">
      <c r="A256" t="s">
        <v>399</v>
      </c>
      <c r="B256" s="4">
        <v>45660.542361111111</v>
      </c>
      <c r="C256" t="s">
        <v>26</v>
      </c>
      <c r="D256" t="s">
        <v>1153</v>
      </c>
      <c r="E256" t="s">
        <v>1191</v>
      </c>
      <c r="F256" t="str" cm="1">
        <f t="array" ref="F256">_xlfn.IFS(
E256="Ahmedabad","Gujarat",
E256="Bengaluru","Karnataka",
E256="Bhopal","Madhya Pradesh",
E256="Bhubaneswar","Odisha",
E256="Chandigarh","Chandigarh",
E256="Chennai","Tamil Nadu",
E256="Delhi","Delhi",
E256="Guwahati","Assam",
E256="Hyderabad","Telangana",
E256="Indore","Madhya Pradesh",
E256="Jaipur","Rajasthan",
E256="Kochi","Kerala",
E256="Kolkata","West Bengal",
E256="Lucknow","Uttar Pradesh",
E256="Mumbai","Maharashtra",
E256="Nagpur","Maharashtra",
E256="Patna","Bihar",
E256="Pune","Maharashtra",
E256="Raipur","Chhattisgarh",
E256="Surat","Gujarat",
TRUE,"Not Found"
)</f>
        <v>Madhya Pradesh</v>
      </c>
      <c r="G256" t="s">
        <v>1143</v>
      </c>
      <c r="H256" t="s">
        <v>1177</v>
      </c>
      <c r="I256" t="s">
        <v>1195</v>
      </c>
      <c r="J256" t="s">
        <v>1218</v>
      </c>
      <c r="K256" t="s">
        <v>1219</v>
      </c>
      <c r="L256">
        <v>2</v>
      </c>
      <c r="M256">
        <v>2505</v>
      </c>
      <c r="N256">
        <v>0.15</v>
      </c>
      <c r="O256">
        <v>2129.25</v>
      </c>
      <c r="P256">
        <v>0.18</v>
      </c>
      <c r="Q256">
        <v>4258.5</v>
      </c>
      <c r="R256">
        <v>766.53</v>
      </c>
      <c r="S256">
        <v>5025.03</v>
      </c>
      <c r="T256">
        <f>ROUND(Table2[[#This Row],[TotalAmount]],0)</f>
        <v>5025</v>
      </c>
      <c r="U256" t="s">
        <v>1362</v>
      </c>
      <c r="V256" t="s">
        <v>1361</v>
      </c>
      <c r="W256" s="4">
        <v>45661</v>
      </c>
      <c r="X256" s="4">
        <v>45662</v>
      </c>
      <c r="Y256" t="b">
        <v>0</v>
      </c>
      <c r="Z256" t="s">
        <v>1412</v>
      </c>
      <c r="AA256" t="s">
        <v>1412</v>
      </c>
      <c r="AB256" t="s">
        <v>1412</v>
      </c>
      <c r="AC256" t="s">
        <v>1388</v>
      </c>
      <c r="AD256" t="s">
        <v>1377</v>
      </c>
      <c r="AE256" t="s">
        <v>1378</v>
      </c>
    </row>
    <row r="257" spans="1:31" x14ac:dyDescent="0.3">
      <c r="A257" t="s">
        <v>400</v>
      </c>
      <c r="B257" s="4">
        <v>45746.589583333327</v>
      </c>
      <c r="C257" t="s">
        <v>251</v>
      </c>
      <c r="D257" t="s">
        <v>1148</v>
      </c>
      <c r="E257" t="s">
        <v>1171</v>
      </c>
      <c r="F257" t="str" cm="1">
        <f t="array" ref="F257">_xlfn.IFS(
E257="Ahmedabad","Gujarat",
E257="Bengaluru","Karnataka",
E257="Bhopal","Madhya Pradesh",
E257="Bhubaneswar","Odisha",
E257="Chandigarh","Chandigarh",
E257="Chennai","Tamil Nadu",
E257="Delhi","Delhi",
E257="Guwahati","Assam",
E257="Hyderabad","Telangana",
E257="Indore","Madhya Pradesh",
E257="Jaipur","Rajasthan",
E257="Kochi","Kerala",
E257="Kolkata","West Bengal",
E257="Lucknow","Uttar Pradesh",
E257="Mumbai","Maharashtra",
E257="Nagpur","Maharashtra",
E257="Patna","Bihar",
E257="Pune","Maharashtra",
E257="Raipur","Chhattisgarh",
E257="Surat","Gujarat",
TRUE,"Not Found"
)</f>
        <v>Chandigarh</v>
      </c>
      <c r="G257" t="s">
        <v>1143</v>
      </c>
      <c r="H257" t="s">
        <v>1144</v>
      </c>
      <c r="I257" t="s">
        <v>1276</v>
      </c>
      <c r="J257" t="s">
        <v>1277</v>
      </c>
      <c r="K257" t="s">
        <v>1278</v>
      </c>
      <c r="L257">
        <v>1</v>
      </c>
      <c r="M257">
        <v>10738</v>
      </c>
      <c r="N257">
        <v>0</v>
      </c>
      <c r="O257">
        <v>10738</v>
      </c>
      <c r="P257">
        <v>0.12</v>
      </c>
      <c r="Q257">
        <v>10738</v>
      </c>
      <c r="R257">
        <v>1288.56</v>
      </c>
      <c r="S257">
        <v>12026.56</v>
      </c>
      <c r="T257">
        <f>ROUND(Table2[[#This Row],[TotalAmount]],0)</f>
        <v>12027</v>
      </c>
      <c r="U257" t="s">
        <v>1360</v>
      </c>
      <c r="V257" t="s">
        <v>1361</v>
      </c>
      <c r="W257" s="4">
        <v>45746</v>
      </c>
      <c r="X257" s="4">
        <v>45750</v>
      </c>
      <c r="Y257" t="b">
        <v>0</v>
      </c>
      <c r="Z257" t="s">
        <v>1412</v>
      </c>
      <c r="AA257" t="s">
        <v>1412</v>
      </c>
      <c r="AB257" t="s">
        <v>1412</v>
      </c>
      <c r="AC257" t="s">
        <v>1386</v>
      </c>
      <c r="AD257" t="s">
        <v>1400</v>
      </c>
      <c r="AE257" t="s">
        <v>1378</v>
      </c>
    </row>
    <row r="258" spans="1:31" x14ac:dyDescent="0.3">
      <c r="A258" t="s">
        <v>401</v>
      </c>
      <c r="B258" s="4">
        <v>45614.352083333331</v>
      </c>
      <c r="C258" t="s">
        <v>55</v>
      </c>
      <c r="D258" t="s">
        <v>1157</v>
      </c>
      <c r="E258" t="s">
        <v>1158</v>
      </c>
      <c r="F258" t="str" cm="1">
        <f t="array" ref="F258">_xlfn.IFS(
E258="Ahmedabad","Gujarat",
E258="Bengaluru","Karnataka",
E258="Bhopal","Madhya Pradesh",
E258="Bhubaneswar","Odisha",
E258="Chandigarh","Chandigarh",
E258="Chennai","Tamil Nadu",
E258="Delhi","Delhi",
E258="Guwahati","Assam",
E258="Hyderabad","Telangana",
E258="Indore","Madhya Pradesh",
E258="Jaipur","Rajasthan",
E258="Kochi","Kerala",
E258="Kolkata","West Bengal",
E258="Lucknow","Uttar Pradesh",
E258="Mumbai","Maharashtra",
E258="Nagpur","Maharashtra",
E258="Patna","Bihar",
E258="Pune","Maharashtra",
E258="Raipur","Chhattisgarh",
E258="Surat","Gujarat",
TRUE,"Not Found"
)</f>
        <v>Gujarat</v>
      </c>
      <c r="G258" t="s">
        <v>1143</v>
      </c>
      <c r="H258" t="s">
        <v>1163</v>
      </c>
      <c r="I258" t="s">
        <v>1240</v>
      </c>
      <c r="J258" t="s">
        <v>1247</v>
      </c>
      <c r="K258" t="s">
        <v>1248</v>
      </c>
      <c r="L258">
        <v>2</v>
      </c>
      <c r="M258">
        <v>1177</v>
      </c>
      <c r="N258">
        <v>0</v>
      </c>
      <c r="O258">
        <v>1177</v>
      </c>
      <c r="P258">
        <v>0.18</v>
      </c>
      <c r="Q258">
        <v>2354</v>
      </c>
      <c r="R258">
        <v>423.72</v>
      </c>
      <c r="S258">
        <v>2777.72</v>
      </c>
      <c r="T258">
        <f>ROUND(Table2[[#This Row],[TotalAmount]],0)</f>
        <v>2778</v>
      </c>
      <c r="U258" t="s">
        <v>1365</v>
      </c>
      <c r="V258" t="s">
        <v>1364</v>
      </c>
      <c r="W258" s="4">
        <v>45615</v>
      </c>
      <c r="X258" s="4" t="s">
        <v>1412</v>
      </c>
      <c r="Y258" t="b">
        <v>1</v>
      </c>
      <c r="Z258" s="1">
        <v>45622</v>
      </c>
      <c r="AA258" s="1">
        <v>45622</v>
      </c>
      <c r="AB258" t="s">
        <v>1404</v>
      </c>
      <c r="AC258" t="s">
        <v>1396</v>
      </c>
      <c r="AD258" t="s">
        <v>1397</v>
      </c>
      <c r="AE258" t="s">
        <v>1378</v>
      </c>
    </row>
    <row r="259" spans="1:31" x14ac:dyDescent="0.3">
      <c r="A259" t="s">
        <v>402</v>
      </c>
      <c r="B259" s="4">
        <v>45410.629166666673</v>
      </c>
      <c r="C259" t="s">
        <v>374</v>
      </c>
      <c r="D259" t="s">
        <v>1153</v>
      </c>
      <c r="E259" t="s">
        <v>1162</v>
      </c>
      <c r="F259" t="str" cm="1">
        <f t="array" ref="F259">_xlfn.IFS(
E259="Ahmedabad","Gujarat",
E259="Bengaluru","Karnataka",
E259="Bhopal","Madhya Pradesh",
E259="Bhubaneswar","Odisha",
E259="Chandigarh","Chandigarh",
E259="Chennai","Tamil Nadu",
E259="Delhi","Delhi",
E259="Guwahati","Assam",
E259="Hyderabad","Telangana",
E259="Indore","Madhya Pradesh",
E259="Jaipur","Rajasthan",
E259="Kochi","Kerala",
E259="Kolkata","West Bengal",
E259="Lucknow","Uttar Pradesh",
E259="Mumbai","Maharashtra",
E259="Nagpur","Maharashtra",
E259="Patna","Bihar",
E259="Pune","Maharashtra",
E259="Raipur","Chhattisgarh",
E259="Surat","Gujarat",
TRUE,"Not Found"
)</f>
        <v>Madhya Pradesh</v>
      </c>
      <c r="G259" t="s">
        <v>1187</v>
      </c>
      <c r="H259" t="s">
        <v>1144</v>
      </c>
      <c r="I259" t="s">
        <v>1214</v>
      </c>
      <c r="J259" t="s">
        <v>1320</v>
      </c>
      <c r="K259" t="s">
        <v>1321</v>
      </c>
      <c r="L259">
        <v>3</v>
      </c>
      <c r="M259">
        <v>14864</v>
      </c>
      <c r="N259">
        <v>0.05</v>
      </c>
      <c r="O259">
        <v>14120.8</v>
      </c>
      <c r="P259">
        <v>0.05</v>
      </c>
      <c r="Q259">
        <v>42362.399999999987</v>
      </c>
      <c r="R259">
        <v>2118.12</v>
      </c>
      <c r="S259">
        <v>44480.52</v>
      </c>
      <c r="T259">
        <f>ROUND(Table2[[#This Row],[TotalAmount]],0)</f>
        <v>44481</v>
      </c>
      <c r="U259" t="s">
        <v>1360</v>
      </c>
      <c r="V259" t="s">
        <v>1361</v>
      </c>
      <c r="W259" s="4">
        <v>45411</v>
      </c>
      <c r="X259" s="4">
        <v>45413</v>
      </c>
      <c r="Y259" t="b">
        <v>0</v>
      </c>
      <c r="Z259" t="s">
        <v>1412</v>
      </c>
      <c r="AA259" t="s">
        <v>1412</v>
      </c>
      <c r="AB259" t="s">
        <v>1412</v>
      </c>
      <c r="AC259" t="s">
        <v>1388</v>
      </c>
      <c r="AD259" t="s">
        <v>1397</v>
      </c>
      <c r="AE259" t="s">
        <v>1393</v>
      </c>
    </row>
    <row r="260" spans="1:31" x14ac:dyDescent="0.3">
      <c r="A260" t="s">
        <v>403</v>
      </c>
      <c r="B260" s="4">
        <v>45342.42083333333</v>
      </c>
      <c r="C260" t="s">
        <v>185</v>
      </c>
      <c r="D260" t="s">
        <v>1153</v>
      </c>
      <c r="E260" t="s">
        <v>1154</v>
      </c>
      <c r="F260" t="str" cm="1">
        <f t="array" ref="F260">_xlfn.IFS(
E260="Ahmedabad","Gujarat",
E260="Bengaluru","Karnataka",
E260="Bhopal","Madhya Pradesh",
E260="Bhubaneswar","Odisha",
E260="Chandigarh","Chandigarh",
E260="Chennai","Tamil Nadu",
E260="Delhi","Delhi",
E260="Guwahati","Assam",
E260="Hyderabad","Telangana",
E260="Indore","Madhya Pradesh",
E260="Jaipur","Rajasthan",
E260="Kochi","Kerala",
E260="Kolkata","West Bengal",
E260="Lucknow","Uttar Pradesh",
E260="Mumbai","Maharashtra",
E260="Nagpur","Maharashtra",
E260="Patna","Bihar",
E260="Pune","Maharashtra",
E260="Raipur","Chhattisgarh",
E260="Surat","Gujarat",
TRUE,"Not Found"
)</f>
        <v>Maharashtra</v>
      </c>
      <c r="G260" t="s">
        <v>1143</v>
      </c>
      <c r="H260" t="s">
        <v>1172</v>
      </c>
      <c r="I260" t="s">
        <v>1229</v>
      </c>
      <c r="J260" t="s">
        <v>1230</v>
      </c>
      <c r="K260" t="s">
        <v>1231</v>
      </c>
      <c r="L260">
        <v>4</v>
      </c>
      <c r="M260">
        <v>4519</v>
      </c>
      <c r="N260">
        <v>0</v>
      </c>
      <c r="O260">
        <v>4519</v>
      </c>
      <c r="P260">
        <v>0.05</v>
      </c>
      <c r="Q260">
        <v>18076</v>
      </c>
      <c r="R260">
        <v>903.80000000000007</v>
      </c>
      <c r="S260">
        <v>18979.8</v>
      </c>
      <c r="T260">
        <f>ROUND(Table2[[#This Row],[TotalAmount]],0)</f>
        <v>18980</v>
      </c>
      <c r="U260" t="s">
        <v>1363</v>
      </c>
      <c r="V260" t="s">
        <v>1361</v>
      </c>
      <c r="W260" s="4">
        <v>45343</v>
      </c>
      <c r="X260" s="4">
        <v>45348</v>
      </c>
      <c r="Y260" t="b">
        <v>0</v>
      </c>
      <c r="Z260" t="s">
        <v>1412</v>
      </c>
      <c r="AA260" t="s">
        <v>1412</v>
      </c>
      <c r="AB260" t="s">
        <v>1412</v>
      </c>
      <c r="AC260" t="s">
        <v>1379</v>
      </c>
      <c r="AD260" t="s">
        <v>1387</v>
      </c>
      <c r="AE260" t="s">
        <v>1395</v>
      </c>
    </row>
    <row r="261" spans="1:31" x14ac:dyDescent="0.3">
      <c r="A261" t="s">
        <v>404</v>
      </c>
      <c r="B261" s="4">
        <v>45770.645833333343</v>
      </c>
      <c r="C261" t="s">
        <v>55</v>
      </c>
      <c r="D261" t="s">
        <v>1157</v>
      </c>
      <c r="E261" t="s">
        <v>1158</v>
      </c>
      <c r="F261" t="str" cm="1">
        <f t="array" ref="F261">_xlfn.IFS(
E261="Ahmedabad","Gujarat",
E261="Bengaluru","Karnataka",
E261="Bhopal","Madhya Pradesh",
E261="Bhubaneswar","Odisha",
E261="Chandigarh","Chandigarh",
E261="Chennai","Tamil Nadu",
E261="Delhi","Delhi",
E261="Guwahati","Assam",
E261="Hyderabad","Telangana",
E261="Indore","Madhya Pradesh",
E261="Jaipur","Rajasthan",
E261="Kochi","Kerala",
E261="Kolkata","West Bengal",
E261="Lucknow","Uttar Pradesh",
E261="Mumbai","Maharashtra",
E261="Nagpur","Maharashtra",
E261="Patna","Bihar",
E261="Pune","Maharashtra",
E261="Raipur","Chhattisgarh",
E261="Surat","Gujarat",
TRUE,"Not Found"
)</f>
        <v>Gujarat</v>
      </c>
      <c r="G261" t="s">
        <v>1150</v>
      </c>
      <c r="H261" t="s">
        <v>1177</v>
      </c>
      <c r="I261" t="s">
        <v>1195</v>
      </c>
      <c r="J261" t="s">
        <v>1202</v>
      </c>
      <c r="K261" t="s">
        <v>1203</v>
      </c>
      <c r="L261">
        <v>1</v>
      </c>
      <c r="M261">
        <v>751</v>
      </c>
      <c r="N261">
        <v>0</v>
      </c>
      <c r="O261">
        <v>751</v>
      </c>
      <c r="P261">
        <v>0.05</v>
      </c>
      <c r="Q261">
        <v>751</v>
      </c>
      <c r="R261">
        <v>37.549999999999997</v>
      </c>
      <c r="S261">
        <v>788.55</v>
      </c>
      <c r="T261">
        <f>ROUND(Table2[[#This Row],[TotalAmount]],0)</f>
        <v>789</v>
      </c>
      <c r="U261" t="s">
        <v>1360</v>
      </c>
      <c r="V261" t="s">
        <v>1369</v>
      </c>
      <c r="W261" s="4" t="s">
        <v>1412</v>
      </c>
      <c r="X261" s="4" t="s">
        <v>1412</v>
      </c>
      <c r="Y261" t="b">
        <v>0</v>
      </c>
      <c r="Z261" t="s">
        <v>1412</v>
      </c>
      <c r="AA261" t="s">
        <v>1412</v>
      </c>
      <c r="AB261" t="s">
        <v>1412</v>
      </c>
      <c r="AC261" t="s">
        <v>1376</v>
      </c>
      <c r="AD261" t="s">
        <v>1387</v>
      </c>
      <c r="AE261" t="s">
        <v>1378</v>
      </c>
    </row>
    <row r="262" spans="1:31" x14ac:dyDescent="0.3">
      <c r="A262" t="s">
        <v>405</v>
      </c>
      <c r="B262" s="4">
        <v>45504.520138888889</v>
      </c>
      <c r="C262" t="s">
        <v>378</v>
      </c>
      <c r="D262" t="s">
        <v>1157</v>
      </c>
      <c r="E262" t="s">
        <v>1158</v>
      </c>
      <c r="F262" t="str" cm="1">
        <f t="array" ref="F262">_xlfn.IFS(
E262="Ahmedabad","Gujarat",
E262="Bengaluru","Karnataka",
E262="Bhopal","Madhya Pradesh",
E262="Bhubaneswar","Odisha",
E262="Chandigarh","Chandigarh",
E262="Chennai","Tamil Nadu",
E262="Delhi","Delhi",
E262="Guwahati","Assam",
E262="Hyderabad","Telangana",
E262="Indore","Madhya Pradesh",
E262="Jaipur","Rajasthan",
E262="Kochi","Kerala",
E262="Kolkata","West Bengal",
E262="Lucknow","Uttar Pradesh",
E262="Mumbai","Maharashtra",
E262="Nagpur","Maharashtra",
E262="Patna","Bihar",
E262="Pune","Maharashtra",
E262="Raipur","Chhattisgarh",
E262="Surat","Gujarat",
TRUE,"Not Found"
)</f>
        <v>Gujarat</v>
      </c>
      <c r="G262" t="s">
        <v>1187</v>
      </c>
      <c r="H262" t="s">
        <v>1144</v>
      </c>
      <c r="I262" t="s">
        <v>1214</v>
      </c>
      <c r="J262" t="s">
        <v>1252</v>
      </c>
      <c r="K262" t="s">
        <v>1253</v>
      </c>
      <c r="L262">
        <v>3</v>
      </c>
      <c r="M262">
        <v>3537</v>
      </c>
      <c r="N262">
        <v>0</v>
      </c>
      <c r="O262">
        <v>3537</v>
      </c>
      <c r="P262">
        <v>0.12</v>
      </c>
      <c r="Q262">
        <v>10611</v>
      </c>
      <c r="R262">
        <v>1273.32</v>
      </c>
      <c r="S262">
        <v>11884.32</v>
      </c>
      <c r="T262">
        <f>ROUND(Table2[[#This Row],[TotalAmount]],0)</f>
        <v>11884</v>
      </c>
      <c r="U262" t="s">
        <v>1363</v>
      </c>
      <c r="V262" t="s">
        <v>1361</v>
      </c>
      <c r="W262" s="4">
        <v>45505</v>
      </c>
      <c r="X262" s="4">
        <v>45508</v>
      </c>
      <c r="Y262" t="b">
        <v>0</v>
      </c>
      <c r="Z262" t="s">
        <v>1412</v>
      </c>
      <c r="AA262" t="s">
        <v>1412</v>
      </c>
      <c r="AB262" t="s">
        <v>1412</v>
      </c>
      <c r="AC262" t="s">
        <v>1390</v>
      </c>
      <c r="AD262" t="s">
        <v>1377</v>
      </c>
      <c r="AE262" t="s">
        <v>1393</v>
      </c>
    </row>
    <row r="263" spans="1:31" x14ac:dyDescent="0.3">
      <c r="A263" t="s">
        <v>406</v>
      </c>
      <c r="B263" s="4">
        <v>45476.579861111109</v>
      </c>
      <c r="C263" t="s">
        <v>407</v>
      </c>
      <c r="D263" t="s">
        <v>1157</v>
      </c>
      <c r="E263" t="s">
        <v>1158</v>
      </c>
      <c r="F263" t="str" cm="1">
        <f t="array" ref="F263">_xlfn.IFS(
E263="Ahmedabad","Gujarat",
E263="Bengaluru","Karnataka",
E263="Bhopal","Madhya Pradesh",
E263="Bhubaneswar","Odisha",
E263="Chandigarh","Chandigarh",
E263="Chennai","Tamil Nadu",
E263="Delhi","Delhi",
E263="Guwahati","Assam",
E263="Hyderabad","Telangana",
E263="Indore","Madhya Pradesh",
E263="Jaipur","Rajasthan",
E263="Kochi","Kerala",
E263="Kolkata","West Bengal",
E263="Lucknow","Uttar Pradesh",
E263="Mumbai","Maharashtra",
E263="Nagpur","Maharashtra",
E263="Patna","Bihar",
E263="Pune","Maharashtra",
E263="Raipur","Chhattisgarh",
E263="Surat","Gujarat",
TRUE,"Not Found"
)</f>
        <v>Gujarat</v>
      </c>
      <c r="G263" t="s">
        <v>1187</v>
      </c>
      <c r="H263" t="s">
        <v>1163</v>
      </c>
      <c r="I263" t="s">
        <v>1266</v>
      </c>
      <c r="J263" t="s">
        <v>1267</v>
      </c>
      <c r="K263" t="s">
        <v>1268</v>
      </c>
      <c r="L263">
        <v>4</v>
      </c>
      <c r="M263">
        <v>646</v>
      </c>
      <c r="N263">
        <v>0.05</v>
      </c>
      <c r="O263">
        <v>613.69999999999993</v>
      </c>
      <c r="P263">
        <v>0.05</v>
      </c>
      <c r="Q263">
        <v>2454.8000000000002</v>
      </c>
      <c r="R263">
        <v>122.74</v>
      </c>
      <c r="S263">
        <v>2577.54</v>
      </c>
      <c r="T263">
        <f>ROUND(Table2[[#This Row],[TotalAmount]],0)</f>
        <v>2578</v>
      </c>
      <c r="U263" t="s">
        <v>1363</v>
      </c>
      <c r="V263" t="s">
        <v>1361</v>
      </c>
      <c r="W263" s="4">
        <v>45477</v>
      </c>
      <c r="X263" s="4">
        <v>45482</v>
      </c>
      <c r="Y263" t="b">
        <v>0</v>
      </c>
      <c r="Z263" t="s">
        <v>1412</v>
      </c>
      <c r="AA263" t="s">
        <v>1412</v>
      </c>
      <c r="AB263" t="s">
        <v>1412</v>
      </c>
      <c r="AC263" t="s">
        <v>1386</v>
      </c>
      <c r="AD263" t="s">
        <v>1377</v>
      </c>
      <c r="AE263" t="s">
        <v>1383</v>
      </c>
    </row>
    <row r="264" spans="1:31" x14ac:dyDescent="0.3">
      <c r="A264" t="s">
        <v>408</v>
      </c>
      <c r="B264" s="4">
        <v>45332.476388888892</v>
      </c>
      <c r="C264" t="s">
        <v>86</v>
      </c>
      <c r="D264" t="s">
        <v>1182</v>
      </c>
      <c r="E264" t="s">
        <v>1207</v>
      </c>
      <c r="F264" t="str" cm="1">
        <f t="array" ref="F264">_xlfn.IFS(
E264="Ahmedabad","Gujarat",
E264="Bengaluru","Karnataka",
E264="Bhopal","Madhya Pradesh",
E264="Bhubaneswar","Odisha",
E264="Chandigarh","Chandigarh",
E264="Chennai","Tamil Nadu",
E264="Delhi","Delhi",
E264="Guwahati","Assam",
E264="Hyderabad","Telangana",
E264="Indore","Madhya Pradesh",
E264="Jaipur","Rajasthan",
E264="Kochi","Kerala",
E264="Kolkata","West Bengal",
E264="Lucknow","Uttar Pradesh",
E264="Mumbai","Maharashtra",
E264="Nagpur","Maharashtra",
E264="Patna","Bihar",
E264="Pune","Maharashtra",
E264="Raipur","Chhattisgarh",
E264="Surat","Gujarat",
TRUE,"Not Found"
)</f>
        <v>Tamil Nadu</v>
      </c>
      <c r="G264" t="s">
        <v>1150</v>
      </c>
      <c r="H264" t="s">
        <v>1167</v>
      </c>
      <c r="I264" t="s">
        <v>1263</v>
      </c>
      <c r="J264" t="s">
        <v>1264</v>
      </c>
      <c r="K264" t="s">
        <v>1265</v>
      </c>
      <c r="L264">
        <v>3</v>
      </c>
      <c r="M264">
        <v>51104</v>
      </c>
      <c r="N264">
        <v>0</v>
      </c>
      <c r="O264">
        <v>51104</v>
      </c>
      <c r="P264">
        <v>0.18</v>
      </c>
      <c r="Q264">
        <v>153312</v>
      </c>
      <c r="R264">
        <v>27596.16</v>
      </c>
      <c r="S264">
        <v>180908.16</v>
      </c>
      <c r="T264">
        <f>ROUND(Table2[[#This Row],[TotalAmount]],0)</f>
        <v>180908</v>
      </c>
      <c r="U264" t="s">
        <v>1360</v>
      </c>
      <c r="V264" t="s">
        <v>1368</v>
      </c>
      <c r="W264" s="4">
        <v>45334</v>
      </c>
      <c r="X264" s="4" t="s">
        <v>1412</v>
      </c>
      <c r="Y264" t="b">
        <v>0</v>
      </c>
      <c r="Z264" t="s">
        <v>1412</v>
      </c>
      <c r="AA264" t="s">
        <v>1412</v>
      </c>
      <c r="AB264" t="s">
        <v>1412</v>
      </c>
      <c r="AC264" t="s">
        <v>1388</v>
      </c>
      <c r="AD264" t="s">
        <v>1387</v>
      </c>
      <c r="AE264" t="s">
        <v>1395</v>
      </c>
    </row>
    <row r="265" spans="1:31" x14ac:dyDescent="0.3">
      <c r="A265" t="s">
        <v>409</v>
      </c>
      <c r="B265" s="4">
        <v>45390.54583333333</v>
      </c>
      <c r="C265" t="s">
        <v>410</v>
      </c>
      <c r="D265" t="s">
        <v>1153</v>
      </c>
      <c r="E265" t="s">
        <v>1191</v>
      </c>
      <c r="F265" t="str" cm="1">
        <f t="array" ref="F265">_xlfn.IFS(
E265="Ahmedabad","Gujarat",
E265="Bengaluru","Karnataka",
E265="Bhopal","Madhya Pradesh",
E265="Bhubaneswar","Odisha",
E265="Chandigarh","Chandigarh",
E265="Chennai","Tamil Nadu",
E265="Delhi","Delhi",
E265="Guwahati","Assam",
E265="Hyderabad","Telangana",
E265="Indore","Madhya Pradesh",
E265="Jaipur","Rajasthan",
E265="Kochi","Kerala",
E265="Kolkata","West Bengal",
E265="Lucknow","Uttar Pradesh",
E265="Mumbai","Maharashtra",
E265="Nagpur","Maharashtra",
E265="Patna","Bihar",
E265="Pune","Maharashtra",
E265="Raipur","Chhattisgarh",
E265="Surat","Gujarat",
TRUE,"Not Found"
)</f>
        <v>Madhya Pradesh</v>
      </c>
      <c r="G265" t="s">
        <v>1143</v>
      </c>
      <c r="H265" t="s">
        <v>1167</v>
      </c>
      <c r="I265" t="s">
        <v>1208</v>
      </c>
      <c r="J265" t="s">
        <v>1322</v>
      </c>
      <c r="K265" t="s">
        <v>1323</v>
      </c>
      <c r="L265">
        <v>2</v>
      </c>
      <c r="M265">
        <v>16584</v>
      </c>
      <c r="N265">
        <v>0.05</v>
      </c>
      <c r="O265">
        <v>15754.8</v>
      </c>
      <c r="P265">
        <v>0.05</v>
      </c>
      <c r="Q265">
        <v>31509.599999999999</v>
      </c>
      <c r="R265">
        <v>1575.48</v>
      </c>
      <c r="S265">
        <v>33085.08</v>
      </c>
      <c r="T265">
        <f>ROUND(Table2[[#This Row],[TotalAmount]],0)</f>
        <v>33085</v>
      </c>
      <c r="U265" t="s">
        <v>1365</v>
      </c>
      <c r="V265" t="s">
        <v>1367</v>
      </c>
      <c r="W265" s="4">
        <v>45391</v>
      </c>
      <c r="X265" s="4" t="s">
        <v>1412</v>
      </c>
      <c r="Y265" t="b">
        <v>0</v>
      </c>
      <c r="Z265" t="s">
        <v>1412</v>
      </c>
      <c r="AA265" t="s">
        <v>1412</v>
      </c>
      <c r="AB265" t="s">
        <v>1412</v>
      </c>
      <c r="AC265" t="s">
        <v>1386</v>
      </c>
      <c r="AD265" t="s">
        <v>1387</v>
      </c>
      <c r="AE265" t="s">
        <v>1389</v>
      </c>
    </row>
    <row r="266" spans="1:31" x14ac:dyDescent="0.3">
      <c r="A266" t="s">
        <v>411</v>
      </c>
      <c r="B266" s="4">
        <v>45754.556250000001</v>
      </c>
      <c r="C266" t="s">
        <v>155</v>
      </c>
      <c r="D266" t="s">
        <v>1157</v>
      </c>
      <c r="E266" t="s">
        <v>1158</v>
      </c>
      <c r="F266" t="str" cm="1">
        <f t="array" ref="F266">_xlfn.IFS(
E266="Ahmedabad","Gujarat",
E266="Bengaluru","Karnataka",
E266="Bhopal","Madhya Pradesh",
E266="Bhubaneswar","Odisha",
E266="Chandigarh","Chandigarh",
E266="Chennai","Tamil Nadu",
E266="Delhi","Delhi",
E266="Guwahati","Assam",
E266="Hyderabad","Telangana",
E266="Indore","Madhya Pradesh",
E266="Jaipur","Rajasthan",
E266="Kochi","Kerala",
E266="Kolkata","West Bengal",
E266="Lucknow","Uttar Pradesh",
E266="Mumbai","Maharashtra",
E266="Nagpur","Maharashtra",
E266="Patna","Bihar",
E266="Pune","Maharashtra",
E266="Raipur","Chhattisgarh",
E266="Surat","Gujarat",
TRUE,"Not Found"
)</f>
        <v>Gujarat</v>
      </c>
      <c r="G266" t="s">
        <v>1187</v>
      </c>
      <c r="H266" t="s">
        <v>1163</v>
      </c>
      <c r="I266" t="s">
        <v>1164</v>
      </c>
      <c r="J266" t="s">
        <v>1318</v>
      </c>
      <c r="K266" t="s">
        <v>1319</v>
      </c>
      <c r="L266">
        <v>1</v>
      </c>
      <c r="M266">
        <v>1027</v>
      </c>
      <c r="N266">
        <v>0</v>
      </c>
      <c r="O266">
        <v>1027</v>
      </c>
      <c r="P266">
        <v>0.12</v>
      </c>
      <c r="Q266">
        <v>1027</v>
      </c>
      <c r="R266">
        <v>123.24</v>
      </c>
      <c r="S266">
        <v>1150.24</v>
      </c>
      <c r="T266">
        <f>ROUND(Table2[[#This Row],[TotalAmount]],0)</f>
        <v>1150</v>
      </c>
      <c r="U266" t="s">
        <v>1360</v>
      </c>
      <c r="V266" t="s">
        <v>1368</v>
      </c>
      <c r="W266" s="4">
        <v>45754</v>
      </c>
      <c r="X266" s="4" t="s">
        <v>1412</v>
      </c>
      <c r="Y266" t="b">
        <v>0</v>
      </c>
      <c r="Z266" t="s">
        <v>1412</v>
      </c>
      <c r="AA266" t="s">
        <v>1412</v>
      </c>
      <c r="AB266" t="s">
        <v>1412</v>
      </c>
      <c r="AC266" t="s">
        <v>1392</v>
      </c>
      <c r="AD266" t="s">
        <v>1377</v>
      </c>
      <c r="AE266" t="s">
        <v>1393</v>
      </c>
    </row>
    <row r="267" spans="1:31" x14ac:dyDescent="0.3">
      <c r="A267" t="s">
        <v>412</v>
      </c>
      <c r="B267" s="4">
        <v>45633.570138888892</v>
      </c>
      <c r="C267" t="s">
        <v>251</v>
      </c>
      <c r="D267" t="s">
        <v>1148</v>
      </c>
      <c r="E267" t="s">
        <v>1171</v>
      </c>
      <c r="F267" t="str" cm="1">
        <f t="array" ref="F267">_xlfn.IFS(
E267="Ahmedabad","Gujarat",
E267="Bengaluru","Karnataka",
E267="Bhopal","Madhya Pradesh",
E267="Bhubaneswar","Odisha",
E267="Chandigarh","Chandigarh",
E267="Chennai","Tamil Nadu",
E267="Delhi","Delhi",
E267="Guwahati","Assam",
E267="Hyderabad","Telangana",
E267="Indore","Madhya Pradesh",
E267="Jaipur","Rajasthan",
E267="Kochi","Kerala",
E267="Kolkata","West Bengal",
E267="Lucknow","Uttar Pradesh",
E267="Mumbai","Maharashtra",
E267="Nagpur","Maharashtra",
E267="Patna","Bihar",
E267="Pune","Maharashtra",
E267="Raipur","Chhattisgarh",
E267="Surat","Gujarat",
TRUE,"Not Found"
)</f>
        <v>Chandigarh</v>
      </c>
      <c r="G267" t="s">
        <v>1143</v>
      </c>
      <c r="H267" t="s">
        <v>1172</v>
      </c>
      <c r="I267" t="s">
        <v>1229</v>
      </c>
      <c r="J267" t="s">
        <v>1295</v>
      </c>
      <c r="K267" t="s">
        <v>1296</v>
      </c>
      <c r="L267">
        <v>2</v>
      </c>
      <c r="M267">
        <v>3804</v>
      </c>
      <c r="N267">
        <v>0.05</v>
      </c>
      <c r="O267">
        <v>3613.8</v>
      </c>
      <c r="P267">
        <v>0.18</v>
      </c>
      <c r="Q267">
        <v>7227.5999999999995</v>
      </c>
      <c r="R267">
        <v>1300.9680000000001</v>
      </c>
      <c r="S267">
        <v>8528.5679999999993</v>
      </c>
      <c r="T267">
        <f>ROUND(Table2[[#This Row],[TotalAmount]],0)</f>
        <v>8529</v>
      </c>
      <c r="U267" t="s">
        <v>1360</v>
      </c>
      <c r="V267" t="s">
        <v>1361</v>
      </c>
      <c r="W267" s="4">
        <v>45634</v>
      </c>
      <c r="X267" s="4">
        <v>45639</v>
      </c>
      <c r="Y267" t="b">
        <v>0</v>
      </c>
      <c r="Z267" t="s">
        <v>1412</v>
      </c>
      <c r="AA267" t="s">
        <v>1412</v>
      </c>
      <c r="AB267" t="s">
        <v>1412</v>
      </c>
      <c r="AC267" t="s">
        <v>1382</v>
      </c>
      <c r="AD267" t="s">
        <v>1377</v>
      </c>
      <c r="AE267" t="s">
        <v>1389</v>
      </c>
    </row>
    <row r="268" spans="1:31" x14ac:dyDescent="0.3">
      <c r="A268" t="s">
        <v>413</v>
      </c>
      <c r="B268" s="4">
        <v>45480.573611111111</v>
      </c>
      <c r="C268" t="s">
        <v>208</v>
      </c>
      <c r="D268" t="s">
        <v>1157</v>
      </c>
      <c r="E268" t="s">
        <v>1201</v>
      </c>
      <c r="F268" t="str" cm="1">
        <f t="array" ref="F268">_xlfn.IFS(
E268="Ahmedabad","Gujarat",
E268="Bengaluru","Karnataka",
E268="Bhopal","Madhya Pradesh",
E268="Bhubaneswar","Odisha",
E268="Chandigarh","Chandigarh",
E268="Chennai","Tamil Nadu",
E268="Delhi","Delhi",
E268="Guwahati","Assam",
E268="Hyderabad","Telangana",
E268="Indore","Madhya Pradesh",
E268="Jaipur","Rajasthan",
E268="Kochi","Kerala",
E268="Kolkata","West Bengal",
E268="Lucknow","Uttar Pradesh",
E268="Mumbai","Maharashtra",
E268="Nagpur","Maharashtra",
E268="Patna","Bihar",
E268="Pune","Maharashtra",
E268="Raipur","Chhattisgarh",
E268="Surat","Gujarat",
TRUE,"Not Found"
)</f>
        <v>Maharashtra</v>
      </c>
      <c r="G268" t="s">
        <v>1150</v>
      </c>
      <c r="H268" t="s">
        <v>1163</v>
      </c>
      <c r="I268" t="s">
        <v>1184</v>
      </c>
      <c r="J268" t="s">
        <v>1245</v>
      </c>
      <c r="K268" t="s">
        <v>1246</v>
      </c>
      <c r="L268">
        <v>1</v>
      </c>
      <c r="M268">
        <v>817</v>
      </c>
      <c r="N268">
        <v>0</v>
      </c>
      <c r="O268">
        <v>817</v>
      </c>
      <c r="P268">
        <v>0.18</v>
      </c>
      <c r="Q268">
        <v>817</v>
      </c>
      <c r="R268">
        <v>147.06</v>
      </c>
      <c r="S268">
        <v>964.06</v>
      </c>
      <c r="T268">
        <f>ROUND(Table2[[#This Row],[TotalAmount]],0)</f>
        <v>964</v>
      </c>
      <c r="U268" t="s">
        <v>1365</v>
      </c>
      <c r="V268" t="s">
        <v>1367</v>
      </c>
      <c r="W268" s="4">
        <v>45482</v>
      </c>
      <c r="X268" s="4" t="s">
        <v>1412</v>
      </c>
      <c r="Y268" t="b">
        <v>0</v>
      </c>
      <c r="Z268" t="s">
        <v>1412</v>
      </c>
      <c r="AA268" t="s">
        <v>1412</v>
      </c>
      <c r="AB268" t="s">
        <v>1412</v>
      </c>
      <c r="AC268" t="s">
        <v>1390</v>
      </c>
      <c r="AD268" t="s">
        <v>1400</v>
      </c>
      <c r="AE268" t="s">
        <v>1395</v>
      </c>
    </row>
    <row r="269" spans="1:31" x14ac:dyDescent="0.3">
      <c r="A269" t="s">
        <v>414</v>
      </c>
      <c r="B269" s="4">
        <v>45629.663888888892</v>
      </c>
      <c r="C269" t="s">
        <v>119</v>
      </c>
      <c r="D269" t="s">
        <v>1148</v>
      </c>
      <c r="E269" t="s">
        <v>1149</v>
      </c>
      <c r="F269" t="str" cm="1">
        <f t="array" ref="F269">_xlfn.IFS(
E269="Ahmedabad","Gujarat",
E269="Bengaluru","Karnataka",
E269="Bhopal","Madhya Pradesh",
E269="Bhubaneswar","Odisha",
E269="Chandigarh","Chandigarh",
E269="Chennai","Tamil Nadu",
E269="Delhi","Delhi",
E269="Guwahati","Assam",
E269="Hyderabad","Telangana",
E269="Indore","Madhya Pradesh",
E269="Jaipur","Rajasthan",
E269="Kochi","Kerala",
E269="Kolkata","West Bengal",
E269="Lucknow","Uttar Pradesh",
E269="Mumbai","Maharashtra",
E269="Nagpur","Maharashtra",
E269="Patna","Bihar",
E269="Pune","Maharashtra",
E269="Raipur","Chhattisgarh",
E269="Surat","Gujarat",
TRUE,"Not Found"
)</f>
        <v>Uttar Pradesh</v>
      </c>
      <c r="G269" t="s">
        <v>1143</v>
      </c>
      <c r="H269" t="s">
        <v>1167</v>
      </c>
      <c r="I269" t="s">
        <v>1208</v>
      </c>
      <c r="J269" t="s">
        <v>1291</v>
      </c>
      <c r="K269" t="s">
        <v>1292</v>
      </c>
      <c r="L269">
        <v>2</v>
      </c>
      <c r="M269">
        <v>29926</v>
      </c>
      <c r="N269">
        <v>0.1</v>
      </c>
      <c r="O269">
        <v>26933.4</v>
      </c>
      <c r="P269">
        <v>0.12</v>
      </c>
      <c r="Q269">
        <v>53866.8</v>
      </c>
      <c r="R269">
        <v>6464.0160000000014</v>
      </c>
      <c r="S269">
        <v>60330.816000000013</v>
      </c>
      <c r="T269">
        <f>ROUND(Table2[[#This Row],[TotalAmount]],0)</f>
        <v>60331</v>
      </c>
      <c r="U269" t="s">
        <v>1360</v>
      </c>
      <c r="V269" t="s">
        <v>1361</v>
      </c>
      <c r="W269" s="4">
        <v>45629</v>
      </c>
      <c r="X269" s="4">
        <v>45630</v>
      </c>
      <c r="Y269" t="b">
        <v>0</v>
      </c>
      <c r="Z269" t="s">
        <v>1412</v>
      </c>
      <c r="AA269" t="s">
        <v>1412</v>
      </c>
      <c r="AB269" t="s">
        <v>1412</v>
      </c>
      <c r="AC269" t="s">
        <v>1390</v>
      </c>
      <c r="AD269" t="s">
        <v>1397</v>
      </c>
      <c r="AE269" t="s">
        <v>1391</v>
      </c>
    </row>
    <row r="270" spans="1:31" x14ac:dyDescent="0.3">
      <c r="A270" t="s">
        <v>415</v>
      </c>
      <c r="B270" s="4">
        <v>45555.65347222222</v>
      </c>
      <c r="C270" t="s">
        <v>343</v>
      </c>
      <c r="D270" t="s">
        <v>1182</v>
      </c>
      <c r="E270" t="s">
        <v>1207</v>
      </c>
      <c r="F270" t="str" cm="1">
        <f t="array" ref="F270">_xlfn.IFS(
E270="Ahmedabad","Gujarat",
E270="Bengaluru","Karnataka",
E270="Bhopal","Madhya Pradesh",
E270="Bhubaneswar","Odisha",
E270="Chandigarh","Chandigarh",
E270="Chennai","Tamil Nadu",
E270="Delhi","Delhi",
E270="Guwahati","Assam",
E270="Hyderabad","Telangana",
E270="Indore","Madhya Pradesh",
E270="Jaipur","Rajasthan",
E270="Kochi","Kerala",
E270="Kolkata","West Bengal",
E270="Lucknow","Uttar Pradesh",
E270="Mumbai","Maharashtra",
E270="Nagpur","Maharashtra",
E270="Patna","Bihar",
E270="Pune","Maharashtra",
E270="Raipur","Chhattisgarh",
E270="Surat","Gujarat",
TRUE,"Not Found"
)</f>
        <v>Tamil Nadu</v>
      </c>
      <c r="G270" t="s">
        <v>1150</v>
      </c>
      <c r="H270" t="s">
        <v>1172</v>
      </c>
      <c r="I270" t="s">
        <v>1173</v>
      </c>
      <c r="J270" t="s">
        <v>1222</v>
      </c>
      <c r="K270" t="s">
        <v>1223</v>
      </c>
      <c r="L270">
        <v>3</v>
      </c>
      <c r="M270">
        <v>7390</v>
      </c>
      <c r="N270">
        <v>0.15</v>
      </c>
      <c r="O270">
        <v>6281.5</v>
      </c>
      <c r="P270">
        <v>0.12</v>
      </c>
      <c r="Q270">
        <v>18844.5</v>
      </c>
      <c r="R270">
        <v>2261.34</v>
      </c>
      <c r="S270">
        <v>21105.84</v>
      </c>
      <c r="T270">
        <f>ROUND(Table2[[#This Row],[TotalAmount]],0)</f>
        <v>21106</v>
      </c>
      <c r="U270" t="s">
        <v>1363</v>
      </c>
      <c r="V270" t="s">
        <v>1361</v>
      </c>
      <c r="W270" s="4">
        <v>45555</v>
      </c>
      <c r="X270" s="4">
        <v>45556</v>
      </c>
      <c r="Y270" t="b">
        <v>0</v>
      </c>
      <c r="Z270" t="s">
        <v>1412</v>
      </c>
      <c r="AA270" t="s">
        <v>1412</v>
      </c>
      <c r="AB270" t="s">
        <v>1412</v>
      </c>
      <c r="AC270" t="s">
        <v>1398</v>
      </c>
      <c r="AD270" t="s">
        <v>1400</v>
      </c>
      <c r="AE270" t="s">
        <v>1383</v>
      </c>
    </row>
    <row r="271" spans="1:31" x14ac:dyDescent="0.3">
      <c r="A271" t="s">
        <v>416</v>
      </c>
      <c r="B271" s="4">
        <v>45305.570138888892</v>
      </c>
      <c r="C271" t="s">
        <v>206</v>
      </c>
      <c r="D271" t="s">
        <v>1153</v>
      </c>
      <c r="E271" t="s">
        <v>1191</v>
      </c>
      <c r="F271" t="str" cm="1">
        <f t="array" ref="F271">_xlfn.IFS(
E271="Ahmedabad","Gujarat",
E271="Bengaluru","Karnataka",
E271="Bhopal","Madhya Pradesh",
E271="Bhubaneswar","Odisha",
E271="Chandigarh","Chandigarh",
E271="Chennai","Tamil Nadu",
E271="Delhi","Delhi",
E271="Guwahati","Assam",
E271="Hyderabad","Telangana",
E271="Indore","Madhya Pradesh",
E271="Jaipur","Rajasthan",
E271="Kochi","Kerala",
E271="Kolkata","West Bengal",
E271="Lucknow","Uttar Pradesh",
E271="Mumbai","Maharashtra",
E271="Nagpur","Maharashtra",
E271="Patna","Bihar",
E271="Pune","Maharashtra",
E271="Raipur","Chhattisgarh",
E271="Surat","Gujarat",
TRUE,"Not Found"
)</f>
        <v>Madhya Pradesh</v>
      </c>
      <c r="G271" t="s">
        <v>1228</v>
      </c>
      <c r="H271" t="s">
        <v>1172</v>
      </c>
      <c r="I271" t="s">
        <v>1173</v>
      </c>
      <c r="J271" t="s">
        <v>1342</v>
      </c>
      <c r="K271" t="s">
        <v>1343</v>
      </c>
      <c r="L271">
        <v>1</v>
      </c>
      <c r="M271">
        <v>5147</v>
      </c>
      <c r="N271">
        <v>0.15</v>
      </c>
      <c r="O271">
        <v>4374.95</v>
      </c>
      <c r="P271">
        <v>0.05</v>
      </c>
      <c r="Q271">
        <v>4374.95</v>
      </c>
      <c r="R271">
        <v>218.7475</v>
      </c>
      <c r="S271">
        <v>4593.6975000000002</v>
      </c>
      <c r="T271">
        <f>ROUND(Table2[[#This Row],[TotalAmount]],0)</f>
        <v>4594</v>
      </c>
      <c r="U271" t="s">
        <v>1366</v>
      </c>
      <c r="V271" t="s">
        <v>1361</v>
      </c>
      <c r="W271" s="4">
        <v>45307</v>
      </c>
      <c r="X271" s="4">
        <v>45310</v>
      </c>
      <c r="Y271" t="b">
        <v>0</v>
      </c>
      <c r="Z271" t="s">
        <v>1412</v>
      </c>
      <c r="AA271" t="s">
        <v>1412</v>
      </c>
      <c r="AB271" t="s">
        <v>1412</v>
      </c>
      <c r="AC271" t="s">
        <v>1376</v>
      </c>
      <c r="AD271" t="s">
        <v>1387</v>
      </c>
      <c r="AE271" t="s">
        <v>1383</v>
      </c>
    </row>
    <row r="272" spans="1:31" x14ac:dyDescent="0.3">
      <c r="A272" t="s">
        <v>417</v>
      </c>
      <c r="B272" s="4">
        <v>45754.620138888888</v>
      </c>
      <c r="C272" t="s">
        <v>55</v>
      </c>
      <c r="D272" t="s">
        <v>1157</v>
      </c>
      <c r="E272" t="s">
        <v>1158</v>
      </c>
      <c r="F272" t="str" cm="1">
        <f t="array" ref="F272">_xlfn.IFS(
E272="Ahmedabad","Gujarat",
E272="Bengaluru","Karnataka",
E272="Bhopal","Madhya Pradesh",
E272="Bhubaneswar","Odisha",
E272="Chandigarh","Chandigarh",
E272="Chennai","Tamil Nadu",
E272="Delhi","Delhi",
E272="Guwahati","Assam",
E272="Hyderabad","Telangana",
E272="Indore","Madhya Pradesh",
E272="Jaipur","Rajasthan",
E272="Kochi","Kerala",
E272="Kolkata","West Bengal",
E272="Lucknow","Uttar Pradesh",
E272="Mumbai","Maharashtra",
E272="Nagpur","Maharashtra",
E272="Patna","Bihar",
E272="Pune","Maharashtra",
E272="Raipur","Chhattisgarh",
E272="Surat","Gujarat",
TRUE,"Not Found"
)</f>
        <v>Gujarat</v>
      </c>
      <c r="G272" t="s">
        <v>1143</v>
      </c>
      <c r="H272" t="s">
        <v>1163</v>
      </c>
      <c r="I272" t="s">
        <v>1164</v>
      </c>
      <c r="J272" t="s">
        <v>1324</v>
      </c>
      <c r="K272" t="s">
        <v>1325</v>
      </c>
      <c r="L272">
        <v>1</v>
      </c>
      <c r="M272">
        <v>579</v>
      </c>
      <c r="N272">
        <v>0</v>
      </c>
      <c r="O272">
        <v>579</v>
      </c>
      <c r="P272">
        <v>0.12</v>
      </c>
      <c r="Q272">
        <v>579</v>
      </c>
      <c r="R272">
        <v>69.48</v>
      </c>
      <c r="S272">
        <v>648.48</v>
      </c>
      <c r="T272">
        <f>ROUND(Table2[[#This Row],[TotalAmount]],0)</f>
        <v>648</v>
      </c>
      <c r="U272" t="s">
        <v>1363</v>
      </c>
      <c r="V272" t="s">
        <v>1361</v>
      </c>
      <c r="W272" s="4">
        <v>45755</v>
      </c>
      <c r="X272" s="4">
        <v>45757</v>
      </c>
      <c r="Y272" t="b">
        <v>0</v>
      </c>
      <c r="Z272" t="s">
        <v>1412</v>
      </c>
      <c r="AA272" t="s">
        <v>1412</v>
      </c>
      <c r="AB272" t="s">
        <v>1412</v>
      </c>
      <c r="AC272" t="s">
        <v>1384</v>
      </c>
      <c r="AD272" t="s">
        <v>1385</v>
      </c>
      <c r="AE272" t="s">
        <v>1378</v>
      </c>
    </row>
    <row r="273" spans="1:31" x14ac:dyDescent="0.3">
      <c r="A273" t="s">
        <v>418</v>
      </c>
      <c r="B273" s="4">
        <v>45430.473611111112</v>
      </c>
      <c r="C273" t="s">
        <v>419</v>
      </c>
      <c r="D273" t="s">
        <v>1153</v>
      </c>
      <c r="E273" t="s">
        <v>1154</v>
      </c>
      <c r="F273" t="str" cm="1">
        <f t="array" ref="F273">_xlfn.IFS(
E273="Ahmedabad","Gujarat",
E273="Bengaluru","Karnataka",
E273="Bhopal","Madhya Pradesh",
E273="Bhubaneswar","Odisha",
E273="Chandigarh","Chandigarh",
E273="Chennai","Tamil Nadu",
E273="Delhi","Delhi",
E273="Guwahati","Assam",
E273="Hyderabad","Telangana",
E273="Indore","Madhya Pradesh",
E273="Jaipur","Rajasthan",
E273="Kochi","Kerala",
E273="Kolkata","West Bengal",
E273="Lucknow","Uttar Pradesh",
E273="Mumbai","Maharashtra",
E273="Nagpur","Maharashtra",
E273="Patna","Bihar",
E273="Pune","Maharashtra",
E273="Raipur","Chhattisgarh",
E273="Surat","Gujarat",
TRUE,"Not Found"
)</f>
        <v>Maharashtra</v>
      </c>
      <c r="G273" t="s">
        <v>1143</v>
      </c>
      <c r="H273" t="s">
        <v>1167</v>
      </c>
      <c r="I273" t="s">
        <v>1263</v>
      </c>
      <c r="J273" t="s">
        <v>1274</v>
      </c>
      <c r="K273" t="s">
        <v>1275</v>
      </c>
      <c r="L273">
        <v>3</v>
      </c>
      <c r="M273">
        <v>19091</v>
      </c>
      <c r="N273">
        <v>0.1</v>
      </c>
      <c r="O273">
        <v>17181.900000000001</v>
      </c>
      <c r="P273">
        <v>0.12</v>
      </c>
      <c r="Q273">
        <v>51545.7</v>
      </c>
      <c r="R273">
        <v>6185.4840000000004</v>
      </c>
      <c r="S273">
        <v>57731.184000000008</v>
      </c>
      <c r="T273">
        <f>ROUND(Table2[[#This Row],[TotalAmount]],0)</f>
        <v>57731</v>
      </c>
      <c r="U273" t="s">
        <v>1363</v>
      </c>
      <c r="V273" t="s">
        <v>1361</v>
      </c>
      <c r="W273" s="4">
        <v>45432</v>
      </c>
      <c r="X273" s="4">
        <v>45433</v>
      </c>
      <c r="Y273" t="b">
        <v>0</v>
      </c>
      <c r="Z273" t="s">
        <v>1412</v>
      </c>
      <c r="AA273" t="s">
        <v>1412</v>
      </c>
      <c r="AB273" t="s">
        <v>1412</v>
      </c>
      <c r="AC273" t="s">
        <v>1379</v>
      </c>
      <c r="AD273" t="s">
        <v>1399</v>
      </c>
      <c r="AE273" t="s">
        <v>1383</v>
      </c>
    </row>
    <row r="274" spans="1:31" x14ac:dyDescent="0.3">
      <c r="A274" t="s">
        <v>420</v>
      </c>
      <c r="B274" s="4">
        <v>45639.496527777781</v>
      </c>
      <c r="C274" t="s">
        <v>421</v>
      </c>
      <c r="D274" t="s">
        <v>1182</v>
      </c>
      <c r="E274" t="s">
        <v>1207</v>
      </c>
      <c r="F274" t="str" cm="1">
        <f t="array" ref="F274">_xlfn.IFS(
E274="Ahmedabad","Gujarat",
E274="Bengaluru","Karnataka",
E274="Bhopal","Madhya Pradesh",
E274="Bhubaneswar","Odisha",
E274="Chandigarh","Chandigarh",
E274="Chennai","Tamil Nadu",
E274="Delhi","Delhi",
E274="Guwahati","Assam",
E274="Hyderabad","Telangana",
E274="Indore","Madhya Pradesh",
E274="Jaipur","Rajasthan",
E274="Kochi","Kerala",
E274="Kolkata","West Bengal",
E274="Lucknow","Uttar Pradesh",
E274="Mumbai","Maharashtra",
E274="Nagpur","Maharashtra",
E274="Patna","Bihar",
E274="Pune","Maharashtra",
E274="Raipur","Chhattisgarh",
E274="Surat","Gujarat",
TRUE,"Not Found"
)</f>
        <v>Tamil Nadu</v>
      </c>
      <c r="G274" t="s">
        <v>1187</v>
      </c>
      <c r="H274" t="s">
        <v>1144</v>
      </c>
      <c r="I274" t="s">
        <v>1159</v>
      </c>
      <c r="J274" t="s">
        <v>1334</v>
      </c>
      <c r="K274" t="s">
        <v>1335</v>
      </c>
      <c r="L274">
        <v>2</v>
      </c>
      <c r="M274">
        <v>13148</v>
      </c>
      <c r="N274">
        <v>0</v>
      </c>
      <c r="O274">
        <v>13148</v>
      </c>
      <c r="P274">
        <v>0.18</v>
      </c>
      <c r="Q274">
        <v>26296</v>
      </c>
      <c r="R274">
        <v>4733.28</v>
      </c>
      <c r="S274">
        <v>31029.279999999999</v>
      </c>
      <c r="T274">
        <f>ROUND(Table2[[#This Row],[TotalAmount]],0)</f>
        <v>31029</v>
      </c>
      <c r="U274" t="s">
        <v>1363</v>
      </c>
      <c r="V274" t="s">
        <v>1367</v>
      </c>
      <c r="W274" s="4">
        <v>45640</v>
      </c>
      <c r="X274" s="4" t="s">
        <v>1412</v>
      </c>
      <c r="Y274" t="b">
        <v>0</v>
      </c>
      <c r="Z274" t="s">
        <v>1412</v>
      </c>
      <c r="AA274" t="s">
        <v>1412</v>
      </c>
      <c r="AB274" t="s">
        <v>1412</v>
      </c>
      <c r="AC274" t="s">
        <v>1398</v>
      </c>
      <c r="AD274" t="s">
        <v>1400</v>
      </c>
      <c r="AE274" t="s">
        <v>1389</v>
      </c>
    </row>
    <row r="275" spans="1:31" x14ac:dyDescent="0.3">
      <c r="A275" t="s">
        <v>422</v>
      </c>
      <c r="B275" s="4">
        <v>45570.6</v>
      </c>
      <c r="C275" t="s">
        <v>10</v>
      </c>
      <c r="D275" t="s">
        <v>1157</v>
      </c>
      <c r="E275" t="s">
        <v>1158</v>
      </c>
      <c r="F275" t="str" cm="1">
        <f t="array" ref="F275">_xlfn.IFS(
E275="Ahmedabad","Gujarat",
E275="Bengaluru","Karnataka",
E275="Bhopal","Madhya Pradesh",
E275="Bhubaneswar","Odisha",
E275="Chandigarh","Chandigarh",
E275="Chennai","Tamil Nadu",
E275="Delhi","Delhi",
E275="Guwahati","Assam",
E275="Hyderabad","Telangana",
E275="Indore","Madhya Pradesh",
E275="Jaipur","Rajasthan",
E275="Kochi","Kerala",
E275="Kolkata","West Bengal",
E275="Lucknow","Uttar Pradesh",
E275="Mumbai","Maharashtra",
E275="Nagpur","Maharashtra",
E275="Patna","Bihar",
E275="Pune","Maharashtra",
E275="Raipur","Chhattisgarh",
E275="Surat","Gujarat",
TRUE,"Not Found"
)</f>
        <v>Gujarat</v>
      </c>
      <c r="G275" t="s">
        <v>1143</v>
      </c>
      <c r="H275" t="s">
        <v>1172</v>
      </c>
      <c r="I275" t="s">
        <v>1188</v>
      </c>
      <c r="J275" t="s">
        <v>1258</v>
      </c>
      <c r="K275" t="s">
        <v>1259</v>
      </c>
      <c r="L275">
        <v>2</v>
      </c>
      <c r="M275">
        <v>4173</v>
      </c>
      <c r="N275">
        <v>0</v>
      </c>
      <c r="O275">
        <v>4173</v>
      </c>
      <c r="P275">
        <v>0.05</v>
      </c>
      <c r="Q275">
        <v>8346</v>
      </c>
      <c r="R275">
        <v>417.3</v>
      </c>
      <c r="S275">
        <v>8763.2999999999993</v>
      </c>
      <c r="T275">
        <f>ROUND(Table2[[#This Row],[TotalAmount]],0)</f>
        <v>8763</v>
      </c>
      <c r="U275" t="s">
        <v>1365</v>
      </c>
      <c r="V275" t="s">
        <v>1361</v>
      </c>
      <c r="W275" s="4">
        <v>45570</v>
      </c>
      <c r="X275" s="4">
        <v>45575</v>
      </c>
      <c r="Y275" t="b">
        <v>0</v>
      </c>
      <c r="Z275" t="s">
        <v>1412</v>
      </c>
      <c r="AA275" t="s">
        <v>1412</v>
      </c>
      <c r="AB275" t="s">
        <v>1412</v>
      </c>
      <c r="AC275" t="s">
        <v>1386</v>
      </c>
      <c r="AD275" t="s">
        <v>1387</v>
      </c>
      <c r="AE275" t="s">
        <v>1389</v>
      </c>
    </row>
    <row r="276" spans="1:31" x14ac:dyDescent="0.3">
      <c r="A276" t="s">
        <v>423</v>
      </c>
      <c r="B276" s="4">
        <v>45337.640277777777</v>
      </c>
      <c r="C276" t="s">
        <v>146</v>
      </c>
      <c r="D276" t="s">
        <v>1148</v>
      </c>
      <c r="E276" t="s">
        <v>1149</v>
      </c>
      <c r="F276" t="str" cm="1">
        <f t="array" ref="F276">_xlfn.IFS(
E276="Ahmedabad","Gujarat",
E276="Bengaluru","Karnataka",
E276="Bhopal","Madhya Pradesh",
E276="Bhubaneswar","Odisha",
E276="Chandigarh","Chandigarh",
E276="Chennai","Tamil Nadu",
E276="Delhi","Delhi",
E276="Guwahati","Assam",
E276="Hyderabad","Telangana",
E276="Indore","Madhya Pradesh",
E276="Jaipur","Rajasthan",
E276="Kochi","Kerala",
E276="Kolkata","West Bengal",
E276="Lucknow","Uttar Pradesh",
E276="Mumbai","Maharashtra",
E276="Nagpur","Maharashtra",
E276="Patna","Bihar",
E276="Pune","Maharashtra",
E276="Raipur","Chhattisgarh",
E276="Surat","Gujarat",
TRUE,"Not Found"
)</f>
        <v>Uttar Pradesh</v>
      </c>
      <c r="G276" t="s">
        <v>1143</v>
      </c>
      <c r="H276" t="s">
        <v>1144</v>
      </c>
      <c r="I276" t="s">
        <v>1159</v>
      </c>
      <c r="J276" t="s">
        <v>1334</v>
      </c>
      <c r="K276" t="s">
        <v>1335</v>
      </c>
      <c r="L276">
        <v>1</v>
      </c>
      <c r="M276">
        <v>12193</v>
      </c>
      <c r="N276">
        <v>0</v>
      </c>
      <c r="O276">
        <v>12193</v>
      </c>
      <c r="P276">
        <v>0.18</v>
      </c>
      <c r="Q276">
        <v>12193</v>
      </c>
      <c r="R276">
        <v>2194.7399999999998</v>
      </c>
      <c r="S276">
        <v>14387.74</v>
      </c>
      <c r="T276">
        <f>ROUND(Table2[[#This Row],[TotalAmount]],0)</f>
        <v>14388</v>
      </c>
      <c r="U276" t="s">
        <v>1362</v>
      </c>
      <c r="V276" t="s">
        <v>1367</v>
      </c>
      <c r="W276" s="4">
        <v>45339</v>
      </c>
      <c r="X276" s="4" t="s">
        <v>1412</v>
      </c>
      <c r="Y276" t="b">
        <v>0</v>
      </c>
      <c r="Z276" t="s">
        <v>1412</v>
      </c>
      <c r="AA276" t="s">
        <v>1412</v>
      </c>
      <c r="AB276" t="s">
        <v>1412</v>
      </c>
      <c r="AC276" t="s">
        <v>1392</v>
      </c>
      <c r="AD276" t="s">
        <v>1377</v>
      </c>
      <c r="AE276" t="s">
        <v>1391</v>
      </c>
    </row>
    <row r="277" spans="1:31" x14ac:dyDescent="0.3">
      <c r="A277" t="s">
        <v>424</v>
      </c>
      <c r="B277" s="4">
        <v>45352.597916666673</v>
      </c>
      <c r="C277" t="s">
        <v>24</v>
      </c>
      <c r="D277" t="s">
        <v>1153</v>
      </c>
      <c r="E277" t="s">
        <v>1154</v>
      </c>
      <c r="F277" t="str" cm="1">
        <f t="array" ref="F277">_xlfn.IFS(
E277="Ahmedabad","Gujarat",
E277="Bengaluru","Karnataka",
E277="Bhopal","Madhya Pradesh",
E277="Bhubaneswar","Odisha",
E277="Chandigarh","Chandigarh",
E277="Chennai","Tamil Nadu",
E277="Delhi","Delhi",
E277="Guwahati","Assam",
E277="Hyderabad","Telangana",
E277="Indore","Madhya Pradesh",
E277="Jaipur","Rajasthan",
E277="Kochi","Kerala",
E277="Kolkata","West Bengal",
E277="Lucknow","Uttar Pradesh",
E277="Mumbai","Maharashtra",
E277="Nagpur","Maharashtra",
E277="Patna","Bihar",
E277="Pune","Maharashtra",
E277="Raipur","Chhattisgarh",
E277="Surat","Gujarat",
TRUE,"Not Found"
)</f>
        <v>Maharashtra</v>
      </c>
      <c r="G277" t="s">
        <v>1143</v>
      </c>
      <c r="H277" t="s">
        <v>1167</v>
      </c>
      <c r="I277" t="s">
        <v>1211</v>
      </c>
      <c r="J277" t="s">
        <v>1279</v>
      </c>
      <c r="K277" t="s">
        <v>1280</v>
      </c>
      <c r="L277">
        <v>3</v>
      </c>
      <c r="M277">
        <v>27422</v>
      </c>
      <c r="N277">
        <v>0</v>
      </c>
      <c r="O277">
        <v>27422</v>
      </c>
      <c r="P277">
        <v>0.12</v>
      </c>
      <c r="Q277">
        <v>82266</v>
      </c>
      <c r="R277">
        <v>9871.92</v>
      </c>
      <c r="S277">
        <v>92137.919999999998</v>
      </c>
      <c r="T277">
        <f>ROUND(Table2[[#This Row],[TotalAmount]],0)</f>
        <v>92138</v>
      </c>
      <c r="U277" t="s">
        <v>1363</v>
      </c>
      <c r="V277" t="s">
        <v>1368</v>
      </c>
      <c r="W277" s="4">
        <v>45354</v>
      </c>
      <c r="X277" s="4" t="s">
        <v>1412</v>
      </c>
      <c r="Y277" t="b">
        <v>0</v>
      </c>
      <c r="Z277" t="s">
        <v>1412</v>
      </c>
      <c r="AA277" t="s">
        <v>1412</v>
      </c>
      <c r="AB277" t="s">
        <v>1412</v>
      </c>
      <c r="AC277" t="s">
        <v>1388</v>
      </c>
      <c r="AD277" t="s">
        <v>1394</v>
      </c>
      <c r="AE277" t="s">
        <v>1383</v>
      </c>
    </row>
    <row r="278" spans="1:31" x14ac:dyDescent="0.3">
      <c r="A278" t="s">
        <v>425</v>
      </c>
      <c r="B278" s="4">
        <v>45349.631249999999</v>
      </c>
      <c r="C278" t="s">
        <v>141</v>
      </c>
      <c r="D278" t="s">
        <v>1141</v>
      </c>
      <c r="E278" t="s">
        <v>1227</v>
      </c>
      <c r="F278" t="str" cm="1">
        <f t="array" ref="F278">_xlfn.IFS(
E278="Ahmedabad","Gujarat",
E278="Bengaluru","Karnataka",
E278="Bhopal","Madhya Pradesh",
E278="Bhubaneswar","Odisha",
E278="Chandigarh","Chandigarh",
E278="Chennai","Tamil Nadu",
E278="Delhi","Delhi",
E278="Guwahati","Assam",
E278="Hyderabad","Telangana",
E278="Indore","Madhya Pradesh",
E278="Jaipur","Rajasthan",
E278="Kochi","Kerala",
E278="Kolkata","West Bengal",
E278="Lucknow","Uttar Pradesh",
E278="Mumbai","Maharashtra",
E278="Nagpur","Maharashtra",
E278="Patna","Bihar",
E278="Pune","Maharashtra",
E278="Raipur","Chhattisgarh",
E278="Surat","Gujarat",
TRUE,"Not Found"
)</f>
        <v>Bihar</v>
      </c>
      <c r="G278" t="s">
        <v>1150</v>
      </c>
      <c r="H278" t="s">
        <v>1177</v>
      </c>
      <c r="I278" t="s">
        <v>1309</v>
      </c>
      <c r="J278" t="s">
        <v>1328</v>
      </c>
      <c r="K278" t="s">
        <v>1329</v>
      </c>
      <c r="L278">
        <v>2</v>
      </c>
      <c r="M278">
        <v>1705</v>
      </c>
      <c r="N278">
        <v>0.15</v>
      </c>
      <c r="O278">
        <v>1449.25</v>
      </c>
      <c r="P278">
        <v>0.18</v>
      </c>
      <c r="Q278">
        <v>2898.5</v>
      </c>
      <c r="R278">
        <v>521.73</v>
      </c>
      <c r="S278">
        <v>3420.23</v>
      </c>
      <c r="T278">
        <f>ROUND(Table2[[#This Row],[TotalAmount]],0)</f>
        <v>3420</v>
      </c>
      <c r="U278" t="s">
        <v>1360</v>
      </c>
      <c r="V278" t="s">
        <v>1361</v>
      </c>
      <c r="W278" s="4">
        <v>45351</v>
      </c>
      <c r="X278" s="4">
        <v>45352</v>
      </c>
      <c r="Y278" t="b">
        <v>0</v>
      </c>
      <c r="Z278" t="s">
        <v>1412</v>
      </c>
      <c r="AA278" t="s">
        <v>1412</v>
      </c>
      <c r="AB278" t="s">
        <v>1412</v>
      </c>
      <c r="AC278" t="s">
        <v>1398</v>
      </c>
      <c r="AD278" t="s">
        <v>1397</v>
      </c>
      <c r="AE278" t="s">
        <v>1389</v>
      </c>
    </row>
    <row r="279" spans="1:31" x14ac:dyDescent="0.3">
      <c r="A279" t="s">
        <v>426</v>
      </c>
      <c r="B279" s="4">
        <v>45557.536111111112</v>
      </c>
      <c r="C279" t="s">
        <v>169</v>
      </c>
      <c r="D279" t="s">
        <v>1148</v>
      </c>
      <c r="E279" t="s">
        <v>1149</v>
      </c>
      <c r="F279" t="str" cm="1">
        <f t="array" ref="F279">_xlfn.IFS(
E279="Ahmedabad","Gujarat",
E279="Bengaluru","Karnataka",
E279="Bhopal","Madhya Pradesh",
E279="Bhubaneswar","Odisha",
E279="Chandigarh","Chandigarh",
E279="Chennai","Tamil Nadu",
E279="Delhi","Delhi",
E279="Guwahati","Assam",
E279="Hyderabad","Telangana",
E279="Indore","Madhya Pradesh",
E279="Jaipur","Rajasthan",
E279="Kochi","Kerala",
E279="Kolkata","West Bengal",
E279="Lucknow","Uttar Pradesh",
E279="Mumbai","Maharashtra",
E279="Nagpur","Maharashtra",
E279="Patna","Bihar",
E279="Pune","Maharashtra",
E279="Raipur","Chhattisgarh",
E279="Surat","Gujarat",
TRUE,"Not Found"
)</f>
        <v>Uttar Pradesh</v>
      </c>
      <c r="G279" t="s">
        <v>1150</v>
      </c>
      <c r="H279" t="s">
        <v>1177</v>
      </c>
      <c r="I279" t="s">
        <v>1309</v>
      </c>
      <c r="J279" t="s">
        <v>1332</v>
      </c>
      <c r="K279" t="s">
        <v>1333</v>
      </c>
      <c r="L279">
        <v>2</v>
      </c>
      <c r="M279">
        <v>528</v>
      </c>
      <c r="N279">
        <v>0.1</v>
      </c>
      <c r="O279">
        <v>475.2</v>
      </c>
      <c r="P279">
        <v>0.12</v>
      </c>
      <c r="Q279">
        <v>950.4</v>
      </c>
      <c r="R279">
        <v>114.048</v>
      </c>
      <c r="S279">
        <v>1064.4480000000001</v>
      </c>
      <c r="T279">
        <f>ROUND(Table2[[#This Row],[TotalAmount]],0)</f>
        <v>1064</v>
      </c>
      <c r="U279" t="s">
        <v>1365</v>
      </c>
      <c r="V279" t="s">
        <v>1361</v>
      </c>
      <c r="W279" s="4">
        <v>45559</v>
      </c>
      <c r="X279" s="4">
        <v>45564</v>
      </c>
      <c r="Y279" t="b">
        <v>0</v>
      </c>
      <c r="Z279" t="s">
        <v>1412</v>
      </c>
      <c r="AA279" t="s">
        <v>1412</v>
      </c>
      <c r="AB279" t="s">
        <v>1412</v>
      </c>
      <c r="AC279" t="s">
        <v>1376</v>
      </c>
      <c r="AD279" t="s">
        <v>1385</v>
      </c>
      <c r="AE279" t="s">
        <v>1378</v>
      </c>
    </row>
    <row r="280" spans="1:31" x14ac:dyDescent="0.3">
      <c r="A280" t="s">
        <v>427</v>
      </c>
      <c r="B280" s="4">
        <v>45386.405555555553</v>
      </c>
      <c r="C280" t="s">
        <v>325</v>
      </c>
      <c r="D280" t="s">
        <v>1153</v>
      </c>
      <c r="E280" t="s">
        <v>1154</v>
      </c>
      <c r="F280" t="str" cm="1">
        <f t="array" ref="F280">_xlfn.IFS(
E280="Ahmedabad","Gujarat",
E280="Bengaluru","Karnataka",
E280="Bhopal","Madhya Pradesh",
E280="Bhubaneswar","Odisha",
E280="Chandigarh","Chandigarh",
E280="Chennai","Tamil Nadu",
E280="Delhi","Delhi",
E280="Guwahati","Assam",
E280="Hyderabad","Telangana",
E280="Indore","Madhya Pradesh",
E280="Jaipur","Rajasthan",
E280="Kochi","Kerala",
E280="Kolkata","West Bengal",
E280="Lucknow","Uttar Pradesh",
E280="Mumbai","Maharashtra",
E280="Nagpur","Maharashtra",
E280="Patna","Bihar",
E280="Pune","Maharashtra",
E280="Raipur","Chhattisgarh",
E280="Surat","Gujarat",
TRUE,"Not Found"
)</f>
        <v>Maharashtra</v>
      </c>
      <c r="G280" t="s">
        <v>1150</v>
      </c>
      <c r="H280" t="s">
        <v>1167</v>
      </c>
      <c r="I280" t="s">
        <v>1211</v>
      </c>
      <c r="J280" t="s">
        <v>1299</v>
      </c>
      <c r="K280" t="s">
        <v>1300</v>
      </c>
      <c r="L280">
        <v>1</v>
      </c>
      <c r="M280">
        <v>31808</v>
      </c>
      <c r="N280">
        <v>0</v>
      </c>
      <c r="O280">
        <v>31808</v>
      </c>
      <c r="P280">
        <v>0.18</v>
      </c>
      <c r="Q280">
        <v>31808</v>
      </c>
      <c r="R280">
        <v>5725.44</v>
      </c>
      <c r="S280">
        <v>37533.440000000002</v>
      </c>
      <c r="T280">
        <f>ROUND(Table2[[#This Row],[TotalAmount]],0)</f>
        <v>37533</v>
      </c>
      <c r="U280" t="s">
        <v>1363</v>
      </c>
      <c r="V280" t="s">
        <v>1361</v>
      </c>
      <c r="W280" s="4">
        <v>45388</v>
      </c>
      <c r="X280" s="4">
        <v>45389</v>
      </c>
      <c r="Y280" t="b">
        <v>0</v>
      </c>
      <c r="Z280" t="s">
        <v>1412</v>
      </c>
      <c r="AA280" t="s">
        <v>1412</v>
      </c>
      <c r="AB280" t="s">
        <v>1412</v>
      </c>
      <c r="AC280" t="s">
        <v>1396</v>
      </c>
      <c r="AD280" t="s">
        <v>1399</v>
      </c>
      <c r="AE280" t="s">
        <v>1383</v>
      </c>
    </row>
    <row r="281" spans="1:31" x14ac:dyDescent="0.3">
      <c r="A281" t="s">
        <v>428</v>
      </c>
      <c r="B281" s="4">
        <v>45574.561805555553</v>
      </c>
      <c r="C281" t="s">
        <v>102</v>
      </c>
      <c r="D281" t="s">
        <v>1141</v>
      </c>
      <c r="E281" t="s">
        <v>1239</v>
      </c>
      <c r="F281" t="str" cm="1">
        <f t="array" ref="F281">_xlfn.IFS(
E281="Ahmedabad","Gujarat",
E281="Bengaluru","Karnataka",
E281="Bhopal","Madhya Pradesh",
E281="Bhubaneswar","Odisha",
E281="Chandigarh","Chandigarh",
E281="Chennai","Tamil Nadu",
E281="Delhi","Delhi",
E281="Guwahati","Assam",
E281="Hyderabad","Telangana",
E281="Indore","Madhya Pradesh",
E281="Jaipur","Rajasthan",
E281="Kochi","Kerala",
E281="Kolkata","West Bengal",
E281="Lucknow","Uttar Pradesh",
E281="Mumbai","Maharashtra",
E281="Nagpur","Maharashtra",
E281="Patna","Bihar",
E281="Pune","Maharashtra",
E281="Raipur","Chhattisgarh",
E281="Surat","Gujarat",
TRUE,"Not Found"
)</f>
        <v>Odisha</v>
      </c>
      <c r="G281" t="s">
        <v>1143</v>
      </c>
      <c r="H281" t="s">
        <v>1177</v>
      </c>
      <c r="I281" t="s">
        <v>1178</v>
      </c>
      <c r="J281" t="s">
        <v>1179</v>
      </c>
      <c r="K281" t="s">
        <v>1180</v>
      </c>
      <c r="L281">
        <v>2</v>
      </c>
      <c r="M281">
        <v>2935</v>
      </c>
      <c r="N281">
        <v>0.1</v>
      </c>
      <c r="O281">
        <v>2641.5</v>
      </c>
      <c r="P281">
        <v>0.12</v>
      </c>
      <c r="Q281">
        <v>5283</v>
      </c>
      <c r="R281">
        <v>633.95999999999992</v>
      </c>
      <c r="S281">
        <v>5916.96</v>
      </c>
      <c r="T281">
        <f>ROUND(Table2[[#This Row],[TotalAmount]],0)</f>
        <v>5917</v>
      </c>
      <c r="U281" t="s">
        <v>1360</v>
      </c>
      <c r="V281" t="s">
        <v>1368</v>
      </c>
      <c r="W281" s="4">
        <v>45574</v>
      </c>
      <c r="X281" s="4" t="s">
        <v>1412</v>
      </c>
      <c r="Y281" t="b">
        <v>0</v>
      </c>
      <c r="Z281" t="s">
        <v>1412</v>
      </c>
      <c r="AA281" t="s">
        <v>1412</v>
      </c>
      <c r="AB281" t="s">
        <v>1412</v>
      </c>
      <c r="AC281" t="s">
        <v>1396</v>
      </c>
      <c r="AD281" t="s">
        <v>1394</v>
      </c>
      <c r="AE281" t="s">
        <v>1380</v>
      </c>
    </row>
    <row r="282" spans="1:31" x14ac:dyDescent="0.3">
      <c r="A282" t="s">
        <v>429</v>
      </c>
      <c r="B282" s="4">
        <v>45542.520833333343</v>
      </c>
      <c r="C282" t="s">
        <v>148</v>
      </c>
      <c r="D282" t="s">
        <v>1153</v>
      </c>
      <c r="E282" t="s">
        <v>1162</v>
      </c>
      <c r="F282" t="str" cm="1">
        <f t="array" ref="F282">_xlfn.IFS(
E282="Ahmedabad","Gujarat",
E282="Bengaluru","Karnataka",
E282="Bhopal","Madhya Pradesh",
E282="Bhubaneswar","Odisha",
E282="Chandigarh","Chandigarh",
E282="Chennai","Tamil Nadu",
E282="Delhi","Delhi",
E282="Guwahati","Assam",
E282="Hyderabad","Telangana",
E282="Indore","Madhya Pradesh",
E282="Jaipur","Rajasthan",
E282="Kochi","Kerala",
E282="Kolkata","West Bengal",
E282="Lucknow","Uttar Pradesh",
E282="Mumbai","Maharashtra",
E282="Nagpur","Maharashtra",
E282="Patna","Bihar",
E282="Pune","Maharashtra",
E282="Raipur","Chhattisgarh",
E282="Surat","Gujarat",
TRUE,"Not Found"
)</f>
        <v>Madhya Pradesh</v>
      </c>
      <c r="G282" t="s">
        <v>1187</v>
      </c>
      <c r="H282" t="s">
        <v>1167</v>
      </c>
      <c r="I282" t="s">
        <v>1211</v>
      </c>
      <c r="J282" t="s">
        <v>1212</v>
      </c>
      <c r="K282" t="s">
        <v>1213</v>
      </c>
      <c r="L282">
        <v>3</v>
      </c>
      <c r="M282">
        <v>25440</v>
      </c>
      <c r="N282">
        <v>0.15</v>
      </c>
      <c r="O282">
        <v>21624</v>
      </c>
      <c r="P282">
        <v>0.12</v>
      </c>
      <c r="Q282">
        <v>64872</v>
      </c>
      <c r="R282">
        <v>7784.6399999999994</v>
      </c>
      <c r="S282">
        <v>72656.639999999999</v>
      </c>
      <c r="T282">
        <f>ROUND(Table2[[#This Row],[TotalAmount]],0)</f>
        <v>72657</v>
      </c>
      <c r="U282" t="s">
        <v>1363</v>
      </c>
      <c r="V282" t="s">
        <v>1361</v>
      </c>
      <c r="W282" s="4">
        <v>45542</v>
      </c>
      <c r="X282" s="4">
        <v>45544</v>
      </c>
      <c r="Y282" t="b">
        <v>0</v>
      </c>
      <c r="Z282" t="s">
        <v>1412</v>
      </c>
      <c r="AA282" t="s">
        <v>1412</v>
      </c>
      <c r="AB282" t="s">
        <v>1412</v>
      </c>
      <c r="AC282" t="s">
        <v>1398</v>
      </c>
      <c r="AD282" t="s">
        <v>1394</v>
      </c>
      <c r="AE282" t="s">
        <v>1378</v>
      </c>
    </row>
    <row r="283" spans="1:31" x14ac:dyDescent="0.3">
      <c r="A283" t="s">
        <v>430</v>
      </c>
      <c r="B283" s="4">
        <v>45428.51458333333</v>
      </c>
      <c r="C283" t="s">
        <v>132</v>
      </c>
      <c r="D283" t="s">
        <v>1182</v>
      </c>
      <c r="E283" t="s">
        <v>1257</v>
      </c>
      <c r="F283" t="str" cm="1">
        <f t="array" ref="F283">_xlfn.IFS(
E283="Ahmedabad","Gujarat",
E283="Bengaluru","Karnataka",
E283="Bhopal","Madhya Pradesh",
E283="Bhubaneswar","Odisha",
E283="Chandigarh","Chandigarh",
E283="Chennai","Tamil Nadu",
E283="Delhi","Delhi",
E283="Guwahati","Assam",
E283="Hyderabad","Telangana",
E283="Indore","Madhya Pradesh",
E283="Jaipur","Rajasthan",
E283="Kochi","Kerala",
E283="Kolkata","West Bengal",
E283="Lucknow","Uttar Pradesh",
E283="Mumbai","Maharashtra",
E283="Nagpur","Maharashtra",
E283="Patna","Bihar",
E283="Pune","Maharashtra",
E283="Raipur","Chhattisgarh",
E283="Surat","Gujarat",
TRUE,"Not Found"
)</f>
        <v>Kerala</v>
      </c>
      <c r="G283" t="s">
        <v>1143</v>
      </c>
      <c r="H283" t="s">
        <v>1144</v>
      </c>
      <c r="I283" t="s">
        <v>1269</v>
      </c>
      <c r="J283" t="s">
        <v>1270</v>
      </c>
      <c r="K283" t="s">
        <v>1271</v>
      </c>
      <c r="L283">
        <v>2</v>
      </c>
      <c r="M283">
        <v>12490</v>
      </c>
      <c r="N283">
        <v>0.15</v>
      </c>
      <c r="O283">
        <v>10616.5</v>
      </c>
      <c r="P283">
        <v>0.18</v>
      </c>
      <c r="Q283">
        <v>21233</v>
      </c>
      <c r="R283">
        <v>3821.94</v>
      </c>
      <c r="S283">
        <v>25054.94</v>
      </c>
      <c r="T283">
        <f>ROUND(Table2[[#This Row],[TotalAmount]],0)</f>
        <v>25055</v>
      </c>
      <c r="U283" t="s">
        <v>1360</v>
      </c>
      <c r="V283" t="s">
        <v>1361</v>
      </c>
      <c r="W283" s="4">
        <v>45428</v>
      </c>
      <c r="X283" s="4">
        <v>45431</v>
      </c>
      <c r="Y283" t="b">
        <v>0</v>
      </c>
      <c r="Z283" t="s">
        <v>1412</v>
      </c>
      <c r="AA283" t="s">
        <v>1412</v>
      </c>
      <c r="AB283" t="s">
        <v>1412</v>
      </c>
      <c r="AC283" t="s">
        <v>1386</v>
      </c>
      <c r="AD283" t="s">
        <v>1400</v>
      </c>
      <c r="AE283" t="s">
        <v>1391</v>
      </c>
    </row>
    <row r="284" spans="1:31" x14ac:dyDescent="0.3">
      <c r="A284" t="s">
        <v>431</v>
      </c>
      <c r="B284" s="4">
        <v>45490.543055555558</v>
      </c>
      <c r="C284" t="s">
        <v>211</v>
      </c>
      <c r="D284" t="s">
        <v>1157</v>
      </c>
      <c r="E284" t="s">
        <v>1181</v>
      </c>
      <c r="F284" t="str" cm="1">
        <f t="array" ref="F284">_xlfn.IFS(
E284="Ahmedabad","Gujarat",
E284="Bengaluru","Karnataka",
E284="Bhopal","Madhya Pradesh",
E284="Bhubaneswar","Odisha",
E284="Chandigarh","Chandigarh",
E284="Chennai","Tamil Nadu",
E284="Delhi","Delhi",
E284="Guwahati","Assam",
E284="Hyderabad","Telangana",
E284="Indore","Madhya Pradesh",
E284="Jaipur","Rajasthan",
E284="Kochi","Kerala",
E284="Kolkata","West Bengal",
E284="Lucknow","Uttar Pradesh",
E284="Mumbai","Maharashtra",
E284="Nagpur","Maharashtra",
E284="Patna","Bihar",
E284="Pune","Maharashtra",
E284="Raipur","Chhattisgarh",
E284="Surat","Gujarat",
TRUE,"Not Found"
)</f>
        <v>Gujarat</v>
      </c>
      <c r="G284" t="s">
        <v>1228</v>
      </c>
      <c r="H284" t="s">
        <v>1177</v>
      </c>
      <c r="I284" t="s">
        <v>1192</v>
      </c>
      <c r="J284" t="s">
        <v>1193</v>
      </c>
      <c r="K284" t="s">
        <v>1194</v>
      </c>
      <c r="L284">
        <v>4</v>
      </c>
      <c r="M284">
        <v>1779</v>
      </c>
      <c r="N284">
        <v>0.05</v>
      </c>
      <c r="O284">
        <v>1690.05</v>
      </c>
      <c r="P284">
        <v>0.18</v>
      </c>
      <c r="Q284">
        <v>6760.2</v>
      </c>
      <c r="R284">
        <v>1216.836</v>
      </c>
      <c r="S284">
        <v>7977.0360000000001</v>
      </c>
      <c r="T284">
        <f>ROUND(Table2[[#This Row],[TotalAmount]],0)</f>
        <v>7977</v>
      </c>
      <c r="U284" t="s">
        <v>1363</v>
      </c>
      <c r="V284" t="s">
        <v>1361</v>
      </c>
      <c r="W284" s="4">
        <v>45490</v>
      </c>
      <c r="X284" s="4">
        <v>45493</v>
      </c>
      <c r="Y284" t="b">
        <v>0</v>
      </c>
      <c r="Z284" t="s">
        <v>1412</v>
      </c>
      <c r="AA284" t="s">
        <v>1412</v>
      </c>
      <c r="AB284" t="s">
        <v>1412</v>
      </c>
      <c r="AC284" t="s">
        <v>1392</v>
      </c>
      <c r="AD284" t="s">
        <v>1385</v>
      </c>
      <c r="AE284" t="s">
        <v>1395</v>
      </c>
    </row>
    <row r="285" spans="1:31" x14ac:dyDescent="0.3">
      <c r="A285" t="s">
        <v>432</v>
      </c>
      <c r="B285" s="4">
        <v>45572.505555555559</v>
      </c>
      <c r="C285" t="s">
        <v>318</v>
      </c>
      <c r="D285" t="s">
        <v>1153</v>
      </c>
      <c r="E285" t="s">
        <v>1176</v>
      </c>
      <c r="F285" t="str" cm="1">
        <f t="array" ref="F285">_xlfn.IFS(
E285="Ahmedabad","Gujarat",
E285="Bengaluru","Karnataka",
E285="Bhopal","Madhya Pradesh",
E285="Bhubaneswar","Odisha",
E285="Chandigarh","Chandigarh",
E285="Chennai","Tamil Nadu",
E285="Delhi","Delhi",
E285="Guwahati","Assam",
E285="Hyderabad","Telangana",
E285="Indore","Madhya Pradesh",
E285="Jaipur","Rajasthan",
E285="Kochi","Kerala",
E285="Kolkata","West Bengal",
E285="Lucknow","Uttar Pradesh",
E285="Mumbai","Maharashtra",
E285="Nagpur","Maharashtra",
E285="Patna","Bihar",
E285="Pune","Maharashtra",
E285="Raipur","Chhattisgarh",
E285="Surat","Gujarat",
TRUE,"Not Found"
)</f>
        <v>Chhattisgarh</v>
      </c>
      <c r="G285" t="s">
        <v>1228</v>
      </c>
      <c r="H285" t="s">
        <v>1144</v>
      </c>
      <c r="I285" t="s">
        <v>1145</v>
      </c>
      <c r="J285" t="s">
        <v>1155</v>
      </c>
      <c r="K285" t="s">
        <v>1156</v>
      </c>
      <c r="L285">
        <v>1</v>
      </c>
      <c r="M285">
        <v>5595</v>
      </c>
      <c r="N285">
        <v>0</v>
      </c>
      <c r="O285">
        <v>5595</v>
      </c>
      <c r="P285">
        <v>0.05</v>
      </c>
      <c r="Q285">
        <v>5595</v>
      </c>
      <c r="R285">
        <v>279.75</v>
      </c>
      <c r="S285">
        <v>5874.75</v>
      </c>
      <c r="T285">
        <f>ROUND(Table2[[#This Row],[TotalAmount]],0)</f>
        <v>5875</v>
      </c>
      <c r="U285" t="s">
        <v>1363</v>
      </c>
      <c r="V285" t="s">
        <v>1361</v>
      </c>
      <c r="W285" s="4">
        <v>45574</v>
      </c>
      <c r="X285" s="4">
        <v>45577</v>
      </c>
      <c r="Y285" t="b">
        <v>0</v>
      </c>
      <c r="Z285" t="s">
        <v>1412</v>
      </c>
      <c r="AA285" t="s">
        <v>1412</v>
      </c>
      <c r="AB285" t="s">
        <v>1412</v>
      </c>
      <c r="AC285" t="s">
        <v>1396</v>
      </c>
      <c r="AD285" t="s">
        <v>1399</v>
      </c>
      <c r="AE285" t="s">
        <v>1389</v>
      </c>
    </row>
    <row r="286" spans="1:31" x14ac:dyDescent="0.3">
      <c r="A286" t="s">
        <v>433</v>
      </c>
      <c r="B286" s="4">
        <v>45529.57916666667</v>
      </c>
      <c r="C286" t="s">
        <v>378</v>
      </c>
      <c r="D286" t="s">
        <v>1157</v>
      </c>
      <c r="E286" t="s">
        <v>1158</v>
      </c>
      <c r="F286" t="str" cm="1">
        <f t="array" ref="F286">_xlfn.IFS(
E286="Ahmedabad","Gujarat",
E286="Bengaluru","Karnataka",
E286="Bhopal","Madhya Pradesh",
E286="Bhubaneswar","Odisha",
E286="Chandigarh","Chandigarh",
E286="Chennai","Tamil Nadu",
E286="Delhi","Delhi",
E286="Guwahati","Assam",
E286="Hyderabad","Telangana",
E286="Indore","Madhya Pradesh",
E286="Jaipur","Rajasthan",
E286="Kochi","Kerala",
E286="Kolkata","West Bengal",
E286="Lucknow","Uttar Pradesh",
E286="Mumbai","Maharashtra",
E286="Nagpur","Maharashtra",
E286="Patna","Bihar",
E286="Pune","Maharashtra",
E286="Raipur","Chhattisgarh",
E286="Surat","Gujarat",
TRUE,"Not Found"
)</f>
        <v>Gujarat</v>
      </c>
      <c r="G286" t="s">
        <v>1143</v>
      </c>
      <c r="H286" t="s">
        <v>1144</v>
      </c>
      <c r="I286" t="s">
        <v>1276</v>
      </c>
      <c r="J286" t="s">
        <v>1286</v>
      </c>
      <c r="K286" t="s">
        <v>1287</v>
      </c>
      <c r="L286">
        <v>2</v>
      </c>
      <c r="M286">
        <v>5456</v>
      </c>
      <c r="N286">
        <v>0</v>
      </c>
      <c r="O286">
        <v>5456</v>
      </c>
      <c r="P286">
        <v>0.18</v>
      </c>
      <c r="Q286">
        <v>10912</v>
      </c>
      <c r="R286">
        <v>1964.16</v>
      </c>
      <c r="S286">
        <v>12876.16</v>
      </c>
      <c r="T286">
        <f>ROUND(Table2[[#This Row],[TotalAmount]],0)</f>
        <v>12876</v>
      </c>
      <c r="U286" t="s">
        <v>1360</v>
      </c>
      <c r="V286" t="s">
        <v>1364</v>
      </c>
      <c r="W286" s="4">
        <v>45531</v>
      </c>
      <c r="X286" s="4" t="s">
        <v>1412</v>
      </c>
      <c r="Y286" t="b">
        <v>1</v>
      </c>
      <c r="Z286" s="1">
        <v>45548</v>
      </c>
      <c r="AA286" s="1">
        <v>45548</v>
      </c>
      <c r="AB286" t="s">
        <v>1404</v>
      </c>
      <c r="AC286" t="s">
        <v>1396</v>
      </c>
      <c r="AD286" t="s">
        <v>1387</v>
      </c>
      <c r="AE286" t="s">
        <v>1383</v>
      </c>
    </row>
    <row r="287" spans="1:31" x14ac:dyDescent="0.3">
      <c r="A287" t="s">
        <v>434</v>
      </c>
      <c r="B287" s="4">
        <v>45355.638888888891</v>
      </c>
      <c r="C287" t="s">
        <v>143</v>
      </c>
      <c r="D287" t="s">
        <v>1153</v>
      </c>
      <c r="E287" t="s">
        <v>1154</v>
      </c>
      <c r="F287" t="str" cm="1">
        <f t="array" ref="F287">_xlfn.IFS(
E287="Ahmedabad","Gujarat",
E287="Bengaluru","Karnataka",
E287="Bhopal","Madhya Pradesh",
E287="Bhubaneswar","Odisha",
E287="Chandigarh","Chandigarh",
E287="Chennai","Tamil Nadu",
E287="Delhi","Delhi",
E287="Guwahati","Assam",
E287="Hyderabad","Telangana",
E287="Indore","Madhya Pradesh",
E287="Jaipur","Rajasthan",
E287="Kochi","Kerala",
E287="Kolkata","West Bengal",
E287="Lucknow","Uttar Pradesh",
E287="Mumbai","Maharashtra",
E287="Nagpur","Maharashtra",
E287="Patna","Bihar",
E287="Pune","Maharashtra",
E287="Raipur","Chhattisgarh",
E287="Surat","Gujarat",
TRUE,"Not Found"
)</f>
        <v>Maharashtra</v>
      </c>
      <c r="G287" t="s">
        <v>1150</v>
      </c>
      <c r="H287" t="s">
        <v>1177</v>
      </c>
      <c r="I287" t="s">
        <v>1178</v>
      </c>
      <c r="J287" t="s">
        <v>1220</v>
      </c>
      <c r="K287" t="s">
        <v>1221</v>
      </c>
      <c r="L287">
        <v>1</v>
      </c>
      <c r="M287">
        <v>1845</v>
      </c>
      <c r="N287">
        <v>0.1</v>
      </c>
      <c r="O287">
        <v>1660.5</v>
      </c>
      <c r="P287">
        <v>0.18</v>
      </c>
      <c r="Q287">
        <v>1660.5</v>
      </c>
      <c r="R287">
        <v>298.89</v>
      </c>
      <c r="S287">
        <v>1959.39</v>
      </c>
      <c r="T287">
        <f>ROUND(Table2[[#This Row],[TotalAmount]],0)</f>
        <v>1959</v>
      </c>
      <c r="U287" t="s">
        <v>1360</v>
      </c>
      <c r="V287" t="s">
        <v>1361</v>
      </c>
      <c r="W287" s="4">
        <v>45357</v>
      </c>
      <c r="X287" s="4">
        <v>45362</v>
      </c>
      <c r="Y287" t="b">
        <v>0</v>
      </c>
      <c r="Z287" t="s">
        <v>1412</v>
      </c>
      <c r="AA287" t="s">
        <v>1412</v>
      </c>
      <c r="AB287" t="s">
        <v>1412</v>
      </c>
      <c r="AC287" t="s">
        <v>1396</v>
      </c>
      <c r="AD287" t="s">
        <v>1400</v>
      </c>
      <c r="AE287" t="s">
        <v>1393</v>
      </c>
    </row>
    <row r="288" spans="1:31" x14ac:dyDescent="0.3">
      <c r="A288" t="s">
        <v>435</v>
      </c>
      <c r="B288" s="4">
        <v>45301.477083333331</v>
      </c>
      <c r="C288" t="s">
        <v>107</v>
      </c>
      <c r="D288" t="s">
        <v>1153</v>
      </c>
      <c r="E288" t="s">
        <v>1176</v>
      </c>
      <c r="F288" t="str" cm="1">
        <f t="array" ref="F288">_xlfn.IFS(
E288="Ahmedabad","Gujarat",
E288="Bengaluru","Karnataka",
E288="Bhopal","Madhya Pradesh",
E288="Bhubaneswar","Odisha",
E288="Chandigarh","Chandigarh",
E288="Chennai","Tamil Nadu",
E288="Delhi","Delhi",
E288="Guwahati","Assam",
E288="Hyderabad","Telangana",
E288="Indore","Madhya Pradesh",
E288="Jaipur","Rajasthan",
E288="Kochi","Kerala",
E288="Kolkata","West Bengal",
E288="Lucknow","Uttar Pradesh",
E288="Mumbai","Maharashtra",
E288="Nagpur","Maharashtra",
E288="Patna","Bihar",
E288="Pune","Maharashtra",
E288="Raipur","Chhattisgarh",
E288="Surat","Gujarat",
TRUE,"Not Found"
)</f>
        <v>Chhattisgarh</v>
      </c>
      <c r="G288" t="s">
        <v>1228</v>
      </c>
      <c r="H288" t="s">
        <v>1177</v>
      </c>
      <c r="I288" t="s">
        <v>1192</v>
      </c>
      <c r="J288" t="s">
        <v>1193</v>
      </c>
      <c r="K288" t="s">
        <v>1194</v>
      </c>
      <c r="L288">
        <v>3</v>
      </c>
      <c r="M288">
        <v>2230</v>
      </c>
      <c r="N288">
        <v>0.1</v>
      </c>
      <c r="O288">
        <v>2007</v>
      </c>
      <c r="P288">
        <v>0.18</v>
      </c>
      <c r="Q288">
        <v>6021</v>
      </c>
      <c r="R288">
        <v>1083.78</v>
      </c>
      <c r="S288">
        <v>7104.78</v>
      </c>
      <c r="T288">
        <f>ROUND(Table2[[#This Row],[TotalAmount]],0)</f>
        <v>7105</v>
      </c>
      <c r="U288" t="s">
        <v>1363</v>
      </c>
      <c r="V288" t="s">
        <v>1361</v>
      </c>
      <c r="W288" s="4">
        <v>45303</v>
      </c>
      <c r="X288" s="4">
        <v>45304</v>
      </c>
      <c r="Y288" t="b">
        <v>0</v>
      </c>
      <c r="Z288" t="s">
        <v>1412</v>
      </c>
      <c r="AA288" t="s">
        <v>1412</v>
      </c>
      <c r="AB288" t="s">
        <v>1412</v>
      </c>
      <c r="AC288" t="s">
        <v>1379</v>
      </c>
      <c r="AD288" t="s">
        <v>1385</v>
      </c>
      <c r="AE288" t="s">
        <v>1389</v>
      </c>
    </row>
    <row r="289" spans="1:31" x14ac:dyDescent="0.3">
      <c r="A289" t="s">
        <v>436</v>
      </c>
      <c r="B289" s="4">
        <v>45590.573611111111</v>
      </c>
      <c r="C289" t="s">
        <v>128</v>
      </c>
      <c r="D289" t="s">
        <v>1182</v>
      </c>
      <c r="E289" t="s">
        <v>1183</v>
      </c>
      <c r="F289" t="str" cm="1">
        <f t="array" ref="F289">_xlfn.IFS(
E289="Ahmedabad","Gujarat",
E289="Bengaluru","Karnataka",
E289="Bhopal","Madhya Pradesh",
E289="Bhubaneswar","Odisha",
E289="Chandigarh","Chandigarh",
E289="Chennai","Tamil Nadu",
E289="Delhi","Delhi",
E289="Guwahati","Assam",
E289="Hyderabad","Telangana",
E289="Indore","Madhya Pradesh",
E289="Jaipur","Rajasthan",
E289="Kochi","Kerala",
E289="Kolkata","West Bengal",
E289="Lucknow","Uttar Pradesh",
E289="Mumbai","Maharashtra",
E289="Nagpur","Maharashtra",
E289="Patna","Bihar",
E289="Pune","Maharashtra",
E289="Raipur","Chhattisgarh",
E289="Surat","Gujarat",
TRUE,"Not Found"
)</f>
        <v>Telangana</v>
      </c>
      <c r="G289" t="s">
        <v>1143</v>
      </c>
      <c r="H289" t="s">
        <v>1163</v>
      </c>
      <c r="I289" t="s">
        <v>1240</v>
      </c>
      <c r="J289" t="s">
        <v>1281</v>
      </c>
      <c r="K289" t="s">
        <v>1282</v>
      </c>
      <c r="L289">
        <v>2</v>
      </c>
      <c r="M289">
        <v>780</v>
      </c>
      <c r="N289">
        <v>0.2</v>
      </c>
      <c r="O289">
        <v>624</v>
      </c>
      <c r="P289">
        <v>0.12</v>
      </c>
      <c r="Q289">
        <v>1248</v>
      </c>
      <c r="R289">
        <v>149.76</v>
      </c>
      <c r="S289">
        <v>1397.76</v>
      </c>
      <c r="T289">
        <f>ROUND(Table2[[#This Row],[TotalAmount]],0)</f>
        <v>1398</v>
      </c>
      <c r="U289" t="s">
        <v>1363</v>
      </c>
      <c r="V289" t="s">
        <v>1364</v>
      </c>
      <c r="W289" s="4">
        <v>45591</v>
      </c>
      <c r="X289" s="4" t="s">
        <v>1412</v>
      </c>
      <c r="Y289" t="b">
        <v>1</v>
      </c>
      <c r="Z289" s="1">
        <v>45605</v>
      </c>
      <c r="AA289" s="1">
        <v>45605</v>
      </c>
      <c r="AB289" t="s">
        <v>1403</v>
      </c>
      <c r="AC289" t="s">
        <v>1398</v>
      </c>
      <c r="AD289" t="s">
        <v>1394</v>
      </c>
      <c r="AE289" t="s">
        <v>1391</v>
      </c>
    </row>
    <row r="290" spans="1:31" x14ac:dyDescent="0.3">
      <c r="A290" t="s">
        <v>437</v>
      </c>
      <c r="B290" s="4">
        <v>45422.357638888891</v>
      </c>
      <c r="C290" t="s">
        <v>22</v>
      </c>
      <c r="D290" t="s">
        <v>1182</v>
      </c>
      <c r="E290" t="s">
        <v>1183</v>
      </c>
      <c r="F290" t="str" cm="1">
        <f t="array" ref="F290">_xlfn.IFS(
E290="Ahmedabad","Gujarat",
E290="Bengaluru","Karnataka",
E290="Bhopal","Madhya Pradesh",
E290="Bhubaneswar","Odisha",
E290="Chandigarh","Chandigarh",
E290="Chennai","Tamil Nadu",
E290="Delhi","Delhi",
E290="Guwahati","Assam",
E290="Hyderabad","Telangana",
E290="Indore","Madhya Pradesh",
E290="Jaipur","Rajasthan",
E290="Kochi","Kerala",
E290="Kolkata","West Bengal",
E290="Lucknow","Uttar Pradesh",
E290="Mumbai","Maharashtra",
E290="Nagpur","Maharashtra",
E290="Patna","Bihar",
E290="Pune","Maharashtra",
E290="Raipur","Chhattisgarh",
E290="Surat","Gujarat",
TRUE,"Not Found"
)</f>
        <v>Telangana</v>
      </c>
      <c r="G290" t="s">
        <v>1143</v>
      </c>
      <c r="H290" t="s">
        <v>1177</v>
      </c>
      <c r="I290" t="s">
        <v>1192</v>
      </c>
      <c r="J290" t="s">
        <v>1344</v>
      </c>
      <c r="K290" t="s">
        <v>1345</v>
      </c>
      <c r="L290">
        <v>4</v>
      </c>
      <c r="M290">
        <v>1953</v>
      </c>
      <c r="N290">
        <v>0</v>
      </c>
      <c r="O290">
        <v>1953</v>
      </c>
      <c r="P290">
        <v>0.18</v>
      </c>
      <c r="Q290">
        <v>7812</v>
      </c>
      <c r="R290">
        <v>1406.16</v>
      </c>
      <c r="S290">
        <v>9218.16</v>
      </c>
      <c r="T290">
        <f>ROUND(Table2[[#This Row],[TotalAmount]],0)</f>
        <v>9218</v>
      </c>
      <c r="U290" t="s">
        <v>1366</v>
      </c>
      <c r="V290" t="s">
        <v>1368</v>
      </c>
      <c r="W290" s="4">
        <v>45423</v>
      </c>
      <c r="X290" s="4" t="s">
        <v>1412</v>
      </c>
      <c r="Y290" t="b">
        <v>0</v>
      </c>
      <c r="Z290" t="s">
        <v>1412</v>
      </c>
      <c r="AA290" t="s">
        <v>1412</v>
      </c>
      <c r="AB290" t="s">
        <v>1412</v>
      </c>
      <c r="AC290" t="s">
        <v>1382</v>
      </c>
      <c r="AD290" t="s">
        <v>1377</v>
      </c>
      <c r="AE290" t="s">
        <v>1393</v>
      </c>
    </row>
    <row r="291" spans="1:31" x14ac:dyDescent="0.3">
      <c r="A291" t="s">
        <v>438</v>
      </c>
      <c r="B291" s="4">
        <v>45720.45208333333</v>
      </c>
      <c r="C291" t="s">
        <v>135</v>
      </c>
      <c r="D291" t="s">
        <v>1182</v>
      </c>
      <c r="E291" t="s">
        <v>1207</v>
      </c>
      <c r="F291" t="str" cm="1">
        <f t="array" ref="F291">_xlfn.IFS(
E291="Ahmedabad","Gujarat",
E291="Bengaluru","Karnataka",
E291="Bhopal","Madhya Pradesh",
E291="Bhubaneswar","Odisha",
E291="Chandigarh","Chandigarh",
E291="Chennai","Tamil Nadu",
E291="Delhi","Delhi",
E291="Guwahati","Assam",
E291="Hyderabad","Telangana",
E291="Indore","Madhya Pradesh",
E291="Jaipur","Rajasthan",
E291="Kochi","Kerala",
E291="Kolkata","West Bengal",
E291="Lucknow","Uttar Pradesh",
E291="Mumbai","Maharashtra",
E291="Nagpur","Maharashtra",
E291="Patna","Bihar",
E291="Pune","Maharashtra",
E291="Raipur","Chhattisgarh",
E291="Surat","Gujarat",
TRUE,"Not Found"
)</f>
        <v>Tamil Nadu</v>
      </c>
      <c r="G291" t="s">
        <v>1150</v>
      </c>
      <c r="H291" t="s">
        <v>1172</v>
      </c>
      <c r="I291" t="s">
        <v>1204</v>
      </c>
      <c r="J291" t="s">
        <v>1205</v>
      </c>
      <c r="K291" t="s">
        <v>1206</v>
      </c>
      <c r="L291">
        <v>4</v>
      </c>
      <c r="M291">
        <v>7206</v>
      </c>
      <c r="N291">
        <v>0.05</v>
      </c>
      <c r="O291">
        <v>6845.7</v>
      </c>
      <c r="P291">
        <v>0.12</v>
      </c>
      <c r="Q291">
        <v>27382.799999999999</v>
      </c>
      <c r="R291">
        <v>3285.9360000000001</v>
      </c>
      <c r="S291">
        <v>30668.736000000001</v>
      </c>
      <c r="T291">
        <f>ROUND(Table2[[#This Row],[TotalAmount]],0)</f>
        <v>30669</v>
      </c>
      <c r="U291" t="s">
        <v>1365</v>
      </c>
      <c r="V291" t="s">
        <v>1361</v>
      </c>
      <c r="W291" s="4">
        <v>45720</v>
      </c>
      <c r="X291" s="4">
        <v>45722</v>
      </c>
      <c r="Y291" t="b">
        <v>0</v>
      </c>
      <c r="Z291" t="s">
        <v>1412</v>
      </c>
      <c r="AA291" t="s">
        <v>1412</v>
      </c>
      <c r="AB291" t="s">
        <v>1412</v>
      </c>
      <c r="AC291" t="s">
        <v>1388</v>
      </c>
      <c r="AD291" t="s">
        <v>1385</v>
      </c>
      <c r="AE291" t="s">
        <v>1383</v>
      </c>
    </row>
    <row r="292" spans="1:31" x14ac:dyDescent="0.3">
      <c r="A292" t="s">
        <v>439</v>
      </c>
      <c r="B292" s="4">
        <v>45509.587500000001</v>
      </c>
      <c r="C292" t="s">
        <v>407</v>
      </c>
      <c r="D292" t="s">
        <v>1157</v>
      </c>
      <c r="E292" t="s">
        <v>1158</v>
      </c>
      <c r="F292" t="str" cm="1">
        <f t="array" ref="F292">_xlfn.IFS(
E292="Ahmedabad","Gujarat",
E292="Bengaluru","Karnataka",
E292="Bhopal","Madhya Pradesh",
E292="Bhubaneswar","Odisha",
E292="Chandigarh","Chandigarh",
E292="Chennai","Tamil Nadu",
E292="Delhi","Delhi",
E292="Guwahati","Assam",
E292="Hyderabad","Telangana",
E292="Indore","Madhya Pradesh",
E292="Jaipur","Rajasthan",
E292="Kochi","Kerala",
E292="Kolkata","West Bengal",
E292="Lucknow","Uttar Pradesh",
E292="Mumbai","Maharashtra",
E292="Nagpur","Maharashtra",
E292="Patna","Bihar",
E292="Pune","Maharashtra",
E292="Raipur","Chhattisgarh",
E292="Surat","Gujarat",
TRUE,"Not Found"
)</f>
        <v>Gujarat</v>
      </c>
      <c r="G292" t="s">
        <v>1143</v>
      </c>
      <c r="H292" t="s">
        <v>1172</v>
      </c>
      <c r="I292" t="s">
        <v>1204</v>
      </c>
      <c r="J292" t="s">
        <v>1205</v>
      </c>
      <c r="K292" t="s">
        <v>1206</v>
      </c>
      <c r="L292">
        <v>2</v>
      </c>
      <c r="M292">
        <v>9025</v>
      </c>
      <c r="N292">
        <v>0</v>
      </c>
      <c r="O292">
        <v>9025</v>
      </c>
      <c r="P292">
        <v>0.18</v>
      </c>
      <c r="Q292">
        <v>18050</v>
      </c>
      <c r="R292">
        <v>3249</v>
      </c>
      <c r="S292">
        <v>21299</v>
      </c>
      <c r="T292">
        <f>ROUND(Table2[[#This Row],[TotalAmount]],0)</f>
        <v>21299</v>
      </c>
      <c r="U292" t="s">
        <v>1365</v>
      </c>
      <c r="V292" t="s">
        <v>1361</v>
      </c>
      <c r="W292" s="4">
        <v>45510</v>
      </c>
      <c r="X292" s="4">
        <v>45512</v>
      </c>
      <c r="Y292" t="b">
        <v>0</v>
      </c>
      <c r="Z292" t="s">
        <v>1412</v>
      </c>
      <c r="AA292" t="s">
        <v>1412</v>
      </c>
      <c r="AB292" t="s">
        <v>1412</v>
      </c>
      <c r="AC292" t="s">
        <v>1382</v>
      </c>
      <c r="AD292" t="s">
        <v>1387</v>
      </c>
      <c r="AE292" t="s">
        <v>1393</v>
      </c>
    </row>
    <row r="293" spans="1:31" x14ac:dyDescent="0.3">
      <c r="A293" t="s">
        <v>440</v>
      </c>
      <c r="B293" s="4">
        <v>45586.501388888893</v>
      </c>
      <c r="C293" t="s">
        <v>135</v>
      </c>
      <c r="D293" t="s">
        <v>1182</v>
      </c>
      <c r="E293" t="s">
        <v>1207</v>
      </c>
      <c r="F293" t="str" cm="1">
        <f t="array" ref="F293">_xlfn.IFS(
E293="Ahmedabad","Gujarat",
E293="Bengaluru","Karnataka",
E293="Bhopal","Madhya Pradesh",
E293="Bhubaneswar","Odisha",
E293="Chandigarh","Chandigarh",
E293="Chennai","Tamil Nadu",
E293="Delhi","Delhi",
E293="Guwahati","Assam",
E293="Hyderabad","Telangana",
E293="Indore","Madhya Pradesh",
E293="Jaipur","Rajasthan",
E293="Kochi","Kerala",
E293="Kolkata","West Bengal",
E293="Lucknow","Uttar Pradesh",
E293="Mumbai","Maharashtra",
E293="Nagpur","Maharashtra",
E293="Patna","Bihar",
E293="Pune","Maharashtra",
E293="Raipur","Chhattisgarh",
E293="Surat","Gujarat",
TRUE,"Not Found"
)</f>
        <v>Tamil Nadu</v>
      </c>
      <c r="G293" t="s">
        <v>1143</v>
      </c>
      <c r="H293" t="s">
        <v>1163</v>
      </c>
      <c r="I293" t="s">
        <v>1224</v>
      </c>
      <c r="J293" t="s">
        <v>1316</v>
      </c>
      <c r="K293" t="s">
        <v>1317</v>
      </c>
      <c r="L293">
        <v>2</v>
      </c>
      <c r="M293">
        <v>382</v>
      </c>
      <c r="N293">
        <v>0</v>
      </c>
      <c r="O293">
        <v>382</v>
      </c>
      <c r="P293">
        <v>0.12</v>
      </c>
      <c r="Q293">
        <v>764</v>
      </c>
      <c r="R293">
        <v>91.679999999999993</v>
      </c>
      <c r="S293">
        <v>855.68</v>
      </c>
      <c r="T293">
        <f>ROUND(Table2[[#This Row],[TotalAmount]],0)</f>
        <v>856</v>
      </c>
      <c r="U293" t="s">
        <v>1363</v>
      </c>
      <c r="V293" t="s">
        <v>1361</v>
      </c>
      <c r="W293" s="4">
        <v>45586</v>
      </c>
      <c r="X293" s="4">
        <v>45589</v>
      </c>
      <c r="Y293" t="b">
        <v>0</v>
      </c>
      <c r="Z293" t="s">
        <v>1412</v>
      </c>
      <c r="AA293" t="s">
        <v>1412</v>
      </c>
      <c r="AB293" t="s">
        <v>1412</v>
      </c>
      <c r="AC293" t="s">
        <v>1398</v>
      </c>
      <c r="AD293" t="s">
        <v>1397</v>
      </c>
      <c r="AE293" t="s">
        <v>1378</v>
      </c>
    </row>
    <row r="294" spans="1:31" x14ac:dyDescent="0.3">
      <c r="A294" t="s">
        <v>441</v>
      </c>
      <c r="B294" s="4">
        <v>45354.302083333343</v>
      </c>
      <c r="C294" t="s">
        <v>239</v>
      </c>
      <c r="D294" t="s">
        <v>1153</v>
      </c>
      <c r="E294" t="s">
        <v>1162</v>
      </c>
      <c r="F294" t="str" cm="1">
        <f t="array" ref="F294">_xlfn.IFS(
E294="Ahmedabad","Gujarat",
E294="Bengaluru","Karnataka",
E294="Bhopal","Madhya Pradesh",
E294="Bhubaneswar","Odisha",
E294="Chandigarh","Chandigarh",
E294="Chennai","Tamil Nadu",
E294="Delhi","Delhi",
E294="Guwahati","Assam",
E294="Hyderabad","Telangana",
E294="Indore","Madhya Pradesh",
E294="Jaipur","Rajasthan",
E294="Kochi","Kerala",
E294="Kolkata","West Bengal",
E294="Lucknow","Uttar Pradesh",
E294="Mumbai","Maharashtra",
E294="Nagpur","Maharashtra",
E294="Patna","Bihar",
E294="Pune","Maharashtra",
E294="Raipur","Chhattisgarh",
E294="Surat","Gujarat",
TRUE,"Not Found"
)</f>
        <v>Madhya Pradesh</v>
      </c>
      <c r="G294" t="s">
        <v>1143</v>
      </c>
      <c r="H294" t="s">
        <v>1144</v>
      </c>
      <c r="I294" t="s">
        <v>1269</v>
      </c>
      <c r="J294" t="s">
        <v>1270</v>
      </c>
      <c r="K294" t="s">
        <v>1271</v>
      </c>
      <c r="L294">
        <v>3</v>
      </c>
      <c r="M294">
        <v>9580</v>
      </c>
      <c r="N294">
        <v>0</v>
      </c>
      <c r="O294">
        <v>9580</v>
      </c>
      <c r="P294">
        <v>0.12</v>
      </c>
      <c r="Q294">
        <v>28740</v>
      </c>
      <c r="R294">
        <v>3448.8</v>
      </c>
      <c r="S294">
        <v>32188.799999999999</v>
      </c>
      <c r="T294">
        <f>ROUND(Table2[[#This Row],[TotalAmount]],0)</f>
        <v>32189</v>
      </c>
      <c r="U294" t="s">
        <v>1365</v>
      </c>
      <c r="V294" t="s">
        <v>1361</v>
      </c>
      <c r="W294" s="4">
        <v>45354</v>
      </c>
      <c r="X294" s="4">
        <v>45356</v>
      </c>
      <c r="Y294" t="b">
        <v>0</v>
      </c>
      <c r="Z294" t="s">
        <v>1412</v>
      </c>
      <c r="AA294" t="s">
        <v>1412</v>
      </c>
      <c r="AB294" t="s">
        <v>1412</v>
      </c>
      <c r="AC294" t="s">
        <v>1384</v>
      </c>
      <c r="AD294" t="s">
        <v>1387</v>
      </c>
      <c r="AE294" t="s">
        <v>1395</v>
      </c>
    </row>
    <row r="295" spans="1:31" x14ac:dyDescent="0.3">
      <c r="A295" t="s">
        <v>442</v>
      </c>
      <c r="B295" s="4">
        <v>45769.504861111112</v>
      </c>
      <c r="C295" t="s">
        <v>208</v>
      </c>
      <c r="D295" t="s">
        <v>1157</v>
      </c>
      <c r="E295" t="s">
        <v>1201</v>
      </c>
      <c r="F295" t="str" cm="1">
        <f t="array" ref="F295">_xlfn.IFS(
E295="Ahmedabad","Gujarat",
E295="Bengaluru","Karnataka",
E295="Bhopal","Madhya Pradesh",
E295="Bhubaneswar","Odisha",
E295="Chandigarh","Chandigarh",
E295="Chennai","Tamil Nadu",
E295="Delhi","Delhi",
E295="Guwahati","Assam",
E295="Hyderabad","Telangana",
E295="Indore","Madhya Pradesh",
E295="Jaipur","Rajasthan",
E295="Kochi","Kerala",
E295="Kolkata","West Bengal",
E295="Lucknow","Uttar Pradesh",
E295="Mumbai","Maharashtra",
E295="Nagpur","Maharashtra",
E295="Patna","Bihar",
E295="Pune","Maharashtra",
E295="Raipur","Chhattisgarh",
E295="Surat","Gujarat",
TRUE,"Not Found"
)</f>
        <v>Maharashtra</v>
      </c>
      <c r="G295" t="s">
        <v>1150</v>
      </c>
      <c r="H295" t="s">
        <v>1144</v>
      </c>
      <c r="I295" t="s">
        <v>1159</v>
      </c>
      <c r="J295" t="s">
        <v>1160</v>
      </c>
      <c r="K295" t="s">
        <v>1161</v>
      </c>
      <c r="L295">
        <v>1</v>
      </c>
      <c r="M295">
        <v>11957</v>
      </c>
      <c r="N295">
        <v>0.15</v>
      </c>
      <c r="O295">
        <v>10163.450000000001</v>
      </c>
      <c r="P295">
        <v>0.18</v>
      </c>
      <c r="Q295">
        <v>10163.450000000001</v>
      </c>
      <c r="R295">
        <v>1829.421</v>
      </c>
      <c r="S295">
        <v>11992.870999999999</v>
      </c>
      <c r="T295">
        <f>ROUND(Table2[[#This Row],[TotalAmount]],0)</f>
        <v>11993</v>
      </c>
      <c r="U295" t="s">
        <v>1365</v>
      </c>
      <c r="V295" t="s">
        <v>1369</v>
      </c>
      <c r="W295" s="4" t="s">
        <v>1412</v>
      </c>
      <c r="X295" s="4" t="s">
        <v>1412</v>
      </c>
      <c r="Y295" t="b">
        <v>0</v>
      </c>
      <c r="Z295" t="s">
        <v>1412</v>
      </c>
      <c r="AA295" t="s">
        <v>1412</v>
      </c>
      <c r="AB295" t="s">
        <v>1412</v>
      </c>
      <c r="AC295" t="s">
        <v>1392</v>
      </c>
      <c r="AD295" t="s">
        <v>1394</v>
      </c>
      <c r="AE295" t="s">
        <v>1389</v>
      </c>
    </row>
    <row r="296" spans="1:31" x14ac:dyDescent="0.3">
      <c r="A296" t="s">
        <v>443</v>
      </c>
      <c r="B296" s="4">
        <v>45477.501388888893</v>
      </c>
      <c r="C296" t="s">
        <v>444</v>
      </c>
      <c r="D296" t="s">
        <v>1157</v>
      </c>
      <c r="E296" t="s">
        <v>1158</v>
      </c>
      <c r="F296" t="str" cm="1">
        <f t="array" ref="F296">_xlfn.IFS(
E296="Ahmedabad","Gujarat",
E296="Bengaluru","Karnataka",
E296="Bhopal","Madhya Pradesh",
E296="Bhubaneswar","Odisha",
E296="Chandigarh","Chandigarh",
E296="Chennai","Tamil Nadu",
E296="Delhi","Delhi",
E296="Guwahati","Assam",
E296="Hyderabad","Telangana",
E296="Indore","Madhya Pradesh",
E296="Jaipur","Rajasthan",
E296="Kochi","Kerala",
E296="Kolkata","West Bengal",
E296="Lucknow","Uttar Pradesh",
E296="Mumbai","Maharashtra",
E296="Nagpur","Maharashtra",
E296="Patna","Bihar",
E296="Pune","Maharashtra",
E296="Raipur","Chhattisgarh",
E296="Surat","Gujarat",
TRUE,"Not Found"
)</f>
        <v>Gujarat</v>
      </c>
      <c r="G296" t="s">
        <v>1143</v>
      </c>
      <c r="H296" t="s">
        <v>1172</v>
      </c>
      <c r="I296" t="s">
        <v>1188</v>
      </c>
      <c r="J296" t="s">
        <v>1258</v>
      </c>
      <c r="K296" t="s">
        <v>1259</v>
      </c>
      <c r="L296">
        <v>2</v>
      </c>
      <c r="M296">
        <v>8955</v>
      </c>
      <c r="N296">
        <v>0.1</v>
      </c>
      <c r="O296">
        <v>8059.5</v>
      </c>
      <c r="P296">
        <v>0.05</v>
      </c>
      <c r="Q296">
        <v>16119</v>
      </c>
      <c r="R296">
        <v>805.95</v>
      </c>
      <c r="S296">
        <v>16924.95</v>
      </c>
      <c r="T296">
        <f>ROUND(Table2[[#This Row],[TotalAmount]],0)</f>
        <v>16925</v>
      </c>
      <c r="U296" t="s">
        <v>1362</v>
      </c>
      <c r="V296" t="s">
        <v>1361</v>
      </c>
      <c r="W296" s="4">
        <v>45477</v>
      </c>
      <c r="X296" s="4">
        <v>45482</v>
      </c>
      <c r="Y296" t="b">
        <v>0</v>
      </c>
      <c r="Z296" t="s">
        <v>1412</v>
      </c>
      <c r="AA296" t="s">
        <v>1412</v>
      </c>
      <c r="AB296" t="s">
        <v>1412</v>
      </c>
      <c r="AC296" t="s">
        <v>1384</v>
      </c>
      <c r="AD296" t="s">
        <v>1385</v>
      </c>
      <c r="AE296" t="s">
        <v>1383</v>
      </c>
    </row>
    <row r="297" spans="1:31" x14ac:dyDescent="0.3">
      <c r="A297" t="s">
        <v>445</v>
      </c>
      <c r="B297" s="4">
        <v>45584.369444444441</v>
      </c>
      <c r="C297" t="s">
        <v>211</v>
      </c>
      <c r="D297" t="s">
        <v>1157</v>
      </c>
      <c r="E297" t="s">
        <v>1181</v>
      </c>
      <c r="F297" t="str" cm="1">
        <f t="array" ref="F297">_xlfn.IFS(
E297="Ahmedabad","Gujarat",
E297="Bengaluru","Karnataka",
E297="Bhopal","Madhya Pradesh",
E297="Bhubaneswar","Odisha",
E297="Chandigarh","Chandigarh",
E297="Chennai","Tamil Nadu",
E297="Delhi","Delhi",
E297="Guwahati","Assam",
E297="Hyderabad","Telangana",
E297="Indore","Madhya Pradesh",
E297="Jaipur","Rajasthan",
E297="Kochi","Kerala",
E297="Kolkata","West Bengal",
E297="Lucknow","Uttar Pradesh",
E297="Mumbai","Maharashtra",
E297="Nagpur","Maharashtra",
E297="Patna","Bihar",
E297="Pune","Maharashtra",
E297="Raipur","Chhattisgarh",
E297="Surat","Gujarat",
TRUE,"Not Found"
)</f>
        <v>Gujarat</v>
      </c>
      <c r="G297" t="s">
        <v>1143</v>
      </c>
      <c r="H297" t="s">
        <v>1172</v>
      </c>
      <c r="I297" t="s">
        <v>1229</v>
      </c>
      <c r="J297" t="s">
        <v>1230</v>
      </c>
      <c r="K297" t="s">
        <v>1231</v>
      </c>
      <c r="L297">
        <v>4</v>
      </c>
      <c r="M297">
        <v>4478</v>
      </c>
      <c r="N297">
        <v>0.15</v>
      </c>
      <c r="O297">
        <v>3806.3</v>
      </c>
      <c r="P297">
        <v>0.12</v>
      </c>
      <c r="Q297">
        <v>15225.2</v>
      </c>
      <c r="R297">
        <v>1827.0239999999999</v>
      </c>
      <c r="S297">
        <v>17052.223999999998</v>
      </c>
      <c r="T297">
        <f>ROUND(Table2[[#This Row],[TotalAmount]],0)</f>
        <v>17052</v>
      </c>
      <c r="U297" t="s">
        <v>1365</v>
      </c>
      <c r="V297" t="s">
        <v>1368</v>
      </c>
      <c r="W297" s="4">
        <v>45584</v>
      </c>
      <c r="X297" s="4" t="s">
        <v>1412</v>
      </c>
      <c r="Y297" t="b">
        <v>0</v>
      </c>
      <c r="Z297" t="s">
        <v>1412</v>
      </c>
      <c r="AA297" t="s">
        <v>1412</v>
      </c>
      <c r="AB297" t="s">
        <v>1412</v>
      </c>
      <c r="AC297" t="s">
        <v>1386</v>
      </c>
      <c r="AD297" t="s">
        <v>1400</v>
      </c>
      <c r="AE297" t="s">
        <v>1391</v>
      </c>
    </row>
    <row r="298" spans="1:31" x14ac:dyDescent="0.3">
      <c r="A298" t="s">
        <v>446</v>
      </c>
      <c r="B298" s="4">
        <v>45455.615277777782</v>
      </c>
      <c r="C298" t="s">
        <v>267</v>
      </c>
      <c r="D298" t="s">
        <v>1148</v>
      </c>
      <c r="E298" t="s">
        <v>1217</v>
      </c>
      <c r="F298" t="str" cm="1">
        <f t="array" ref="F298">_xlfn.IFS(
E298="Ahmedabad","Gujarat",
E298="Bengaluru","Karnataka",
E298="Bhopal","Madhya Pradesh",
E298="Bhubaneswar","Odisha",
E298="Chandigarh","Chandigarh",
E298="Chennai","Tamil Nadu",
E298="Delhi","Delhi",
E298="Guwahati","Assam",
E298="Hyderabad","Telangana",
E298="Indore","Madhya Pradesh",
E298="Jaipur","Rajasthan",
E298="Kochi","Kerala",
E298="Kolkata","West Bengal",
E298="Lucknow","Uttar Pradesh",
E298="Mumbai","Maharashtra",
E298="Nagpur","Maharashtra",
E298="Patna","Bihar",
E298="Pune","Maharashtra",
E298="Raipur","Chhattisgarh",
E298="Surat","Gujarat",
TRUE,"Not Found"
)</f>
        <v>Delhi</v>
      </c>
      <c r="G298" t="s">
        <v>1143</v>
      </c>
      <c r="H298" t="s">
        <v>1172</v>
      </c>
      <c r="I298" t="s">
        <v>1198</v>
      </c>
      <c r="J298" t="s">
        <v>1199</v>
      </c>
      <c r="K298" t="s">
        <v>1200</v>
      </c>
      <c r="L298">
        <v>1</v>
      </c>
      <c r="M298">
        <v>5329</v>
      </c>
      <c r="N298">
        <v>0.15</v>
      </c>
      <c r="O298">
        <v>4529.6499999999996</v>
      </c>
      <c r="P298">
        <v>0.18</v>
      </c>
      <c r="Q298">
        <v>4529.6499999999996</v>
      </c>
      <c r="R298">
        <v>815.33699999999988</v>
      </c>
      <c r="S298">
        <v>5344.9869999999992</v>
      </c>
      <c r="T298">
        <f>ROUND(Table2[[#This Row],[TotalAmount]],0)</f>
        <v>5345</v>
      </c>
      <c r="U298" t="s">
        <v>1360</v>
      </c>
      <c r="V298" t="s">
        <v>1361</v>
      </c>
      <c r="W298" s="4">
        <v>45456</v>
      </c>
      <c r="X298" s="4">
        <v>45459</v>
      </c>
      <c r="Y298" t="b">
        <v>0</v>
      </c>
      <c r="Z298" t="s">
        <v>1412</v>
      </c>
      <c r="AA298" t="s">
        <v>1412</v>
      </c>
      <c r="AB298" t="s">
        <v>1412</v>
      </c>
      <c r="AC298" t="s">
        <v>1392</v>
      </c>
      <c r="AD298" t="s">
        <v>1400</v>
      </c>
      <c r="AE298" t="s">
        <v>1383</v>
      </c>
    </row>
    <row r="299" spans="1:31" x14ac:dyDescent="0.3">
      <c r="A299" t="s">
        <v>447</v>
      </c>
      <c r="B299" s="4">
        <v>45632.529861111107</v>
      </c>
      <c r="C299" t="s">
        <v>158</v>
      </c>
      <c r="D299" t="s">
        <v>1182</v>
      </c>
      <c r="E299" t="s">
        <v>1257</v>
      </c>
      <c r="F299" t="str" cm="1">
        <f t="array" ref="F299">_xlfn.IFS(
E299="Ahmedabad","Gujarat",
E299="Bengaluru","Karnataka",
E299="Bhopal","Madhya Pradesh",
E299="Bhubaneswar","Odisha",
E299="Chandigarh","Chandigarh",
E299="Chennai","Tamil Nadu",
E299="Delhi","Delhi",
E299="Guwahati","Assam",
E299="Hyderabad","Telangana",
E299="Indore","Madhya Pradesh",
E299="Jaipur","Rajasthan",
E299="Kochi","Kerala",
E299="Kolkata","West Bengal",
E299="Lucknow","Uttar Pradesh",
E299="Mumbai","Maharashtra",
E299="Nagpur","Maharashtra",
E299="Patna","Bihar",
E299="Pune","Maharashtra",
E299="Raipur","Chhattisgarh",
E299="Surat","Gujarat",
TRUE,"Not Found"
)</f>
        <v>Kerala</v>
      </c>
      <c r="G299" t="s">
        <v>1143</v>
      </c>
      <c r="H299" t="s">
        <v>1163</v>
      </c>
      <c r="I299" t="s">
        <v>1240</v>
      </c>
      <c r="J299" t="s">
        <v>1241</v>
      </c>
      <c r="K299" t="s">
        <v>1242</v>
      </c>
      <c r="L299">
        <v>2</v>
      </c>
      <c r="M299">
        <v>627</v>
      </c>
      <c r="N299">
        <v>0</v>
      </c>
      <c r="O299">
        <v>627</v>
      </c>
      <c r="P299">
        <v>0.18</v>
      </c>
      <c r="Q299">
        <v>1254</v>
      </c>
      <c r="R299">
        <v>225.72</v>
      </c>
      <c r="S299">
        <v>1479.72</v>
      </c>
      <c r="T299">
        <f>ROUND(Table2[[#This Row],[TotalAmount]],0)</f>
        <v>1480</v>
      </c>
      <c r="U299" t="s">
        <v>1360</v>
      </c>
      <c r="V299" t="s">
        <v>1361</v>
      </c>
      <c r="W299" s="4">
        <v>45632</v>
      </c>
      <c r="X299" s="4">
        <v>45635</v>
      </c>
      <c r="Y299" t="b">
        <v>0</v>
      </c>
      <c r="Z299" t="s">
        <v>1412</v>
      </c>
      <c r="AA299" t="s">
        <v>1412</v>
      </c>
      <c r="AB299" t="s">
        <v>1412</v>
      </c>
      <c r="AC299" t="s">
        <v>1392</v>
      </c>
      <c r="AD299" t="s">
        <v>1397</v>
      </c>
      <c r="AE299" t="s">
        <v>1391</v>
      </c>
    </row>
    <row r="300" spans="1:31" x14ac:dyDescent="0.3">
      <c r="A300" t="s">
        <v>448</v>
      </c>
      <c r="B300" s="4">
        <v>45626.561805555553</v>
      </c>
      <c r="C300" t="s">
        <v>183</v>
      </c>
      <c r="D300" t="s">
        <v>1182</v>
      </c>
      <c r="E300" t="s">
        <v>1256</v>
      </c>
      <c r="F300" t="str" cm="1">
        <f t="array" ref="F300">_xlfn.IFS(
E300="Ahmedabad","Gujarat",
E300="Bengaluru","Karnataka",
E300="Bhopal","Madhya Pradesh",
E300="Bhubaneswar","Odisha",
E300="Chandigarh","Chandigarh",
E300="Chennai","Tamil Nadu",
E300="Delhi","Delhi",
E300="Guwahati","Assam",
E300="Hyderabad","Telangana",
E300="Indore","Madhya Pradesh",
E300="Jaipur","Rajasthan",
E300="Kochi","Kerala",
E300="Kolkata","West Bengal",
E300="Lucknow","Uttar Pradesh",
E300="Mumbai","Maharashtra",
E300="Nagpur","Maharashtra",
E300="Patna","Bihar",
E300="Pune","Maharashtra",
E300="Raipur","Chhattisgarh",
E300="Surat","Gujarat",
TRUE,"Not Found"
)</f>
        <v>Karnataka</v>
      </c>
      <c r="G300" t="s">
        <v>1143</v>
      </c>
      <c r="H300" t="s">
        <v>1163</v>
      </c>
      <c r="I300" t="s">
        <v>1240</v>
      </c>
      <c r="J300" t="s">
        <v>1281</v>
      </c>
      <c r="K300" t="s">
        <v>1282</v>
      </c>
      <c r="L300">
        <v>2</v>
      </c>
      <c r="M300">
        <v>575</v>
      </c>
      <c r="N300">
        <v>0</v>
      </c>
      <c r="O300">
        <v>575</v>
      </c>
      <c r="P300">
        <v>0.12</v>
      </c>
      <c r="Q300">
        <v>1150</v>
      </c>
      <c r="R300">
        <v>138</v>
      </c>
      <c r="S300">
        <v>1288</v>
      </c>
      <c r="T300">
        <f>ROUND(Table2[[#This Row],[TotalAmount]],0)</f>
        <v>1288</v>
      </c>
      <c r="U300" t="s">
        <v>1362</v>
      </c>
      <c r="V300" t="s">
        <v>1361</v>
      </c>
      <c r="W300" s="4">
        <v>45626</v>
      </c>
      <c r="X300" s="4">
        <v>45631</v>
      </c>
      <c r="Y300" t="b">
        <v>0</v>
      </c>
      <c r="Z300" t="s">
        <v>1412</v>
      </c>
      <c r="AA300" t="s">
        <v>1412</v>
      </c>
      <c r="AB300" t="s">
        <v>1412</v>
      </c>
      <c r="AC300" t="s">
        <v>1376</v>
      </c>
      <c r="AD300" t="s">
        <v>1397</v>
      </c>
      <c r="AE300" t="s">
        <v>1393</v>
      </c>
    </row>
    <row r="301" spans="1:31" x14ac:dyDescent="0.3">
      <c r="A301" t="s">
        <v>449</v>
      </c>
      <c r="B301" s="4">
        <v>45359.534722222219</v>
      </c>
      <c r="C301" t="s">
        <v>45</v>
      </c>
      <c r="D301" t="s">
        <v>1141</v>
      </c>
      <c r="E301" t="s">
        <v>1142</v>
      </c>
      <c r="F301" t="str" cm="1">
        <f t="array" ref="F301">_xlfn.IFS(
E301="Ahmedabad","Gujarat",
E301="Bengaluru","Karnataka",
E301="Bhopal","Madhya Pradesh",
E301="Bhubaneswar","Odisha",
E301="Chandigarh","Chandigarh",
E301="Chennai","Tamil Nadu",
E301="Delhi","Delhi",
E301="Guwahati","Assam",
E301="Hyderabad","Telangana",
E301="Indore","Madhya Pradesh",
E301="Jaipur","Rajasthan",
E301="Kochi","Kerala",
E301="Kolkata","West Bengal",
E301="Lucknow","Uttar Pradesh",
E301="Mumbai","Maharashtra",
E301="Nagpur","Maharashtra",
E301="Patna","Bihar",
E301="Pune","Maharashtra",
E301="Raipur","Chhattisgarh",
E301="Surat","Gujarat",
TRUE,"Not Found"
)</f>
        <v>West Bengal</v>
      </c>
      <c r="G301" t="s">
        <v>1143</v>
      </c>
      <c r="H301" t="s">
        <v>1167</v>
      </c>
      <c r="I301" t="s">
        <v>1208</v>
      </c>
      <c r="J301" t="s">
        <v>1322</v>
      </c>
      <c r="K301" t="s">
        <v>1323</v>
      </c>
      <c r="L301">
        <v>2</v>
      </c>
      <c r="M301">
        <v>16421</v>
      </c>
      <c r="N301">
        <v>0.1</v>
      </c>
      <c r="O301">
        <v>14778.9</v>
      </c>
      <c r="P301">
        <v>0.12</v>
      </c>
      <c r="Q301">
        <v>29557.8</v>
      </c>
      <c r="R301">
        <v>3546.9360000000001</v>
      </c>
      <c r="S301">
        <v>33104.735999999997</v>
      </c>
      <c r="T301">
        <f>ROUND(Table2[[#This Row],[TotalAmount]],0)</f>
        <v>33105</v>
      </c>
      <c r="U301" t="s">
        <v>1360</v>
      </c>
      <c r="V301" t="s">
        <v>1361</v>
      </c>
      <c r="W301" s="4">
        <v>45361</v>
      </c>
      <c r="X301" s="4">
        <v>45365</v>
      </c>
      <c r="Y301" t="b">
        <v>0</v>
      </c>
      <c r="Z301" t="s">
        <v>1412</v>
      </c>
      <c r="AA301" t="s">
        <v>1412</v>
      </c>
      <c r="AB301" t="s">
        <v>1412</v>
      </c>
      <c r="AC301" t="s">
        <v>1382</v>
      </c>
      <c r="AD301" t="s">
        <v>1399</v>
      </c>
      <c r="AE301" t="s">
        <v>1380</v>
      </c>
    </row>
    <row r="302" spans="1:31" x14ac:dyDescent="0.3">
      <c r="A302" t="s">
        <v>450</v>
      </c>
      <c r="B302" s="4">
        <v>45744.547222222223</v>
      </c>
      <c r="C302" t="s">
        <v>273</v>
      </c>
      <c r="D302" t="s">
        <v>1157</v>
      </c>
      <c r="E302" t="s">
        <v>1158</v>
      </c>
      <c r="F302" t="str" cm="1">
        <f t="array" ref="F302">_xlfn.IFS(
E302="Ahmedabad","Gujarat",
E302="Bengaluru","Karnataka",
E302="Bhopal","Madhya Pradesh",
E302="Bhubaneswar","Odisha",
E302="Chandigarh","Chandigarh",
E302="Chennai","Tamil Nadu",
E302="Delhi","Delhi",
E302="Guwahati","Assam",
E302="Hyderabad","Telangana",
E302="Indore","Madhya Pradesh",
E302="Jaipur","Rajasthan",
E302="Kochi","Kerala",
E302="Kolkata","West Bengal",
E302="Lucknow","Uttar Pradesh",
E302="Mumbai","Maharashtra",
E302="Nagpur","Maharashtra",
E302="Patna","Bihar",
E302="Pune","Maharashtra",
E302="Raipur","Chhattisgarh",
E302="Surat","Gujarat",
TRUE,"Not Found"
)</f>
        <v>Gujarat</v>
      </c>
      <c r="G302" t="s">
        <v>1143</v>
      </c>
      <c r="H302" t="s">
        <v>1167</v>
      </c>
      <c r="I302" t="s">
        <v>1168</v>
      </c>
      <c r="J302" t="s">
        <v>1314</v>
      </c>
      <c r="K302" t="s">
        <v>1315</v>
      </c>
      <c r="L302">
        <v>1</v>
      </c>
      <c r="M302">
        <v>27520</v>
      </c>
      <c r="N302">
        <v>0</v>
      </c>
      <c r="O302">
        <v>27520</v>
      </c>
      <c r="P302">
        <v>0.12</v>
      </c>
      <c r="Q302">
        <v>27520</v>
      </c>
      <c r="R302">
        <v>3302.4</v>
      </c>
      <c r="S302">
        <v>30822.400000000001</v>
      </c>
      <c r="T302">
        <f>ROUND(Table2[[#This Row],[TotalAmount]],0)</f>
        <v>30822</v>
      </c>
      <c r="U302" t="s">
        <v>1366</v>
      </c>
      <c r="V302" t="s">
        <v>1361</v>
      </c>
      <c r="W302" s="4">
        <v>45745</v>
      </c>
      <c r="X302" s="4">
        <v>45750</v>
      </c>
      <c r="Y302" t="b">
        <v>0</v>
      </c>
      <c r="Z302" t="s">
        <v>1412</v>
      </c>
      <c r="AA302" t="s">
        <v>1412</v>
      </c>
      <c r="AB302" t="s">
        <v>1412</v>
      </c>
      <c r="AC302" t="s">
        <v>1396</v>
      </c>
      <c r="AD302" t="s">
        <v>1397</v>
      </c>
      <c r="AE302" t="s">
        <v>1383</v>
      </c>
    </row>
    <row r="303" spans="1:31" x14ac:dyDescent="0.3">
      <c r="A303" t="s">
        <v>451</v>
      </c>
      <c r="B303" s="4">
        <v>45332.570138888892</v>
      </c>
      <c r="C303" t="s">
        <v>275</v>
      </c>
      <c r="D303" t="s">
        <v>1141</v>
      </c>
      <c r="E303" t="s">
        <v>1227</v>
      </c>
      <c r="F303" t="str" cm="1">
        <f t="array" ref="F303">_xlfn.IFS(
E303="Ahmedabad","Gujarat",
E303="Bengaluru","Karnataka",
E303="Bhopal","Madhya Pradesh",
E303="Bhubaneswar","Odisha",
E303="Chandigarh","Chandigarh",
E303="Chennai","Tamil Nadu",
E303="Delhi","Delhi",
E303="Guwahati","Assam",
E303="Hyderabad","Telangana",
E303="Indore","Madhya Pradesh",
E303="Jaipur","Rajasthan",
E303="Kochi","Kerala",
E303="Kolkata","West Bengal",
E303="Lucknow","Uttar Pradesh",
E303="Mumbai","Maharashtra",
E303="Nagpur","Maharashtra",
E303="Patna","Bihar",
E303="Pune","Maharashtra",
E303="Raipur","Chhattisgarh",
E303="Surat","Gujarat",
TRUE,"Not Found"
)</f>
        <v>Bihar</v>
      </c>
      <c r="G303" t="s">
        <v>1143</v>
      </c>
      <c r="H303" t="s">
        <v>1172</v>
      </c>
      <c r="I303" t="s">
        <v>1188</v>
      </c>
      <c r="J303" t="s">
        <v>1232</v>
      </c>
      <c r="K303" t="s">
        <v>1233</v>
      </c>
      <c r="L303">
        <v>1</v>
      </c>
      <c r="M303">
        <v>2178</v>
      </c>
      <c r="N303">
        <v>0.1</v>
      </c>
      <c r="O303">
        <v>1960.2</v>
      </c>
      <c r="P303">
        <v>0.12</v>
      </c>
      <c r="Q303">
        <v>1960.2</v>
      </c>
      <c r="R303">
        <v>235.22399999999999</v>
      </c>
      <c r="S303">
        <v>2195.424</v>
      </c>
      <c r="T303">
        <f>ROUND(Table2[[#This Row],[TotalAmount]],0)</f>
        <v>2195</v>
      </c>
      <c r="U303" t="s">
        <v>1360</v>
      </c>
      <c r="V303" t="s">
        <v>1368</v>
      </c>
      <c r="W303" s="4">
        <v>45334</v>
      </c>
      <c r="X303" s="4" t="s">
        <v>1412</v>
      </c>
      <c r="Y303" t="b">
        <v>0</v>
      </c>
      <c r="Z303" t="s">
        <v>1412</v>
      </c>
      <c r="AA303" t="s">
        <v>1412</v>
      </c>
      <c r="AB303" t="s">
        <v>1412</v>
      </c>
      <c r="AC303" t="s">
        <v>1390</v>
      </c>
      <c r="AD303" t="s">
        <v>1387</v>
      </c>
      <c r="AE303" t="s">
        <v>1378</v>
      </c>
    </row>
    <row r="304" spans="1:31" x14ac:dyDescent="0.3">
      <c r="A304" t="s">
        <v>452</v>
      </c>
      <c r="B304" s="4">
        <v>45306.616666666669</v>
      </c>
      <c r="C304" t="s">
        <v>176</v>
      </c>
      <c r="D304" t="s">
        <v>1148</v>
      </c>
      <c r="E304" t="s">
        <v>1262</v>
      </c>
      <c r="F304" t="str" cm="1">
        <f t="array" ref="F304">_xlfn.IFS(
E304="Ahmedabad","Gujarat",
E304="Bengaluru","Karnataka",
E304="Bhopal","Madhya Pradesh",
E304="Bhubaneswar","Odisha",
E304="Chandigarh","Chandigarh",
E304="Chennai","Tamil Nadu",
E304="Delhi","Delhi",
E304="Guwahati","Assam",
E304="Hyderabad","Telangana",
E304="Indore","Madhya Pradesh",
E304="Jaipur","Rajasthan",
E304="Kochi","Kerala",
E304="Kolkata","West Bengal",
E304="Lucknow","Uttar Pradesh",
E304="Mumbai","Maharashtra",
E304="Nagpur","Maharashtra",
E304="Patna","Bihar",
E304="Pune","Maharashtra",
E304="Raipur","Chhattisgarh",
E304="Surat","Gujarat",
TRUE,"Not Found"
)</f>
        <v>Rajasthan</v>
      </c>
      <c r="G304" t="s">
        <v>1228</v>
      </c>
      <c r="H304" t="s">
        <v>1167</v>
      </c>
      <c r="I304" t="s">
        <v>1208</v>
      </c>
      <c r="J304" t="s">
        <v>1291</v>
      </c>
      <c r="K304" t="s">
        <v>1292</v>
      </c>
      <c r="L304">
        <v>2</v>
      </c>
      <c r="M304">
        <v>17694</v>
      </c>
      <c r="N304">
        <v>0.1</v>
      </c>
      <c r="O304">
        <v>15924.6</v>
      </c>
      <c r="P304">
        <v>0.05</v>
      </c>
      <c r="Q304">
        <v>31849.200000000001</v>
      </c>
      <c r="R304">
        <v>1592.46</v>
      </c>
      <c r="S304">
        <v>33441.660000000003</v>
      </c>
      <c r="T304">
        <f>ROUND(Table2[[#This Row],[TotalAmount]],0)</f>
        <v>33442</v>
      </c>
      <c r="U304" t="s">
        <v>1360</v>
      </c>
      <c r="V304" t="s">
        <v>1361</v>
      </c>
      <c r="W304" s="4">
        <v>45307</v>
      </c>
      <c r="X304" s="4">
        <v>45308</v>
      </c>
      <c r="Y304" t="b">
        <v>0</v>
      </c>
      <c r="Z304" t="s">
        <v>1412</v>
      </c>
      <c r="AA304" t="s">
        <v>1412</v>
      </c>
      <c r="AB304" t="s">
        <v>1412</v>
      </c>
      <c r="AC304" t="s">
        <v>1388</v>
      </c>
      <c r="AD304" t="s">
        <v>1377</v>
      </c>
      <c r="AE304" t="s">
        <v>1391</v>
      </c>
    </row>
    <row r="305" spans="1:31" x14ac:dyDescent="0.3">
      <c r="A305" t="s">
        <v>453</v>
      </c>
      <c r="B305" s="4">
        <v>45401.491666666669</v>
      </c>
      <c r="C305" t="s">
        <v>216</v>
      </c>
      <c r="D305" t="s">
        <v>1157</v>
      </c>
      <c r="E305" t="s">
        <v>1201</v>
      </c>
      <c r="F305" t="str" cm="1">
        <f t="array" ref="F305">_xlfn.IFS(
E305="Ahmedabad","Gujarat",
E305="Bengaluru","Karnataka",
E305="Bhopal","Madhya Pradesh",
E305="Bhubaneswar","Odisha",
E305="Chandigarh","Chandigarh",
E305="Chennai","Tamil Nadu",
E305="Delhi","Delhi",
E305="Guwahati","Assam",
E305="Hyderabad","Telangana",
E305="Indore","Madhya Pradesh",
E305="Jaipur","Rajasthan",
E305="Kochi","Kerala",
E305="Kolkata","West Bengal",
E305="Lucknow","Uttar Pradesh",
E305="Mumbai","Maharashtra",
E305="Nagpur","Maharashtra",
E305="Patna","Bihar",
E305="Pune","Maharashtra",
E305="Raipur","Chhattisgarh",
E305="Surat","Gujarat",
TRUE,"Not Found"
)</f>
        <v>Maharashtra</v>
      </c>
      <c r="G305" t="s">
        <v>1150</v>
      </c>
      <c r="H305" t="s">
        <v>1163</v>
      </c>
      <c r="I305" t="s">
        <v>1224</v>
      </c>
      <c r="J305" t="s">
        <v>1316</v>
      </c>
      <c r="K305" t="s">
        <v>1317</v>
      </c>
      <c r="L305">
        <v>1</v>
      </c>
      <c r="M305">
        <v>360</v>
      </c>
      <c r="N305">
        <v>0.05</v>
      </c>
      <c r="O305">
        <v>342</v>
      </c>
      <c r="P305">
        <v>0.18</v>
      </c>
      <c r="Q305">
        <v>342</v>
      </c>
      <c r="R305">
        <v>61.56</v>
      </c>
      <c r="S305">
        <v>403.56</v>
      </c>
      <c r="T305">
        <f>ROUND(Table2[[#This Row],[TotalAmount]],0)</f>
        <v>404</v>
      </c>
      <c r="U305" t="s">
        <v>1360</v>
      </c>
      <c r="V305" t="s">
        <v>1361</v>
      </c>
      <c r="W305" s="4">
        <v>45403</v>
      </c>
      <c r="X305" s="4">
        <v>45408</v>
      </c>
      <c r="Y305" t="b">
        <v>0</v>
      </c>
      <c r="Z305" t="s">
        <v>1412</v>
      </c>
      <c r="AA305" t="s">
        <v>1412</v>
      </c>
      <c r="AB305" t="s">
        <v>1412</v>
      </c>
      <c r="AC305" t="s">
        <v>1398</v>
      </c>
      <c r="AD305" t="s">
        <v>1387</v>
      </c>
      <c r="AE305" t="s">
        <v>1389</v>
      </c>
    </row>
    <row r="306" spans="1:31" x14ac:dyDescent="0.3">
      <c r="A306" t="s">
        <v>454</v>
      </c>
      <c r="B306" s="4">
        <v>45566.478472222218</v>
      </c>
      <c r="C306" t="s">
        <v>251</v>
      </c>
      <c r="D306" t="s">
        <v>1148</v>
      </c>
      <c r="E306" t="s">
        <v>1171</v>
      </c>
      <c r="F306" t="str" cm="1">
        <f t="array" ref="F306">_xlfn.IFS(
E306="Ahmedabad","Gujarat",
E306="Bengaluru","Karnataka",
E306="Bhopal","Madhya Pradesh",
E306="Bhubaneswar","Odisha",
E306="Chandigarh","Chandigarh",
E306="Chennai","Tamil Nadu",
E306="Delhi","Delhi",
E306="Guwahati","Assam",
E306="Hyderabad","Telangana",
E306="Indore","Madhya Pradesh",
E306="Jaipur","Rajasthan",
E306="Kochi","Kerala",
E306="Kolkata","West Bengal",
E306="Lucknow","Uttar Pradesh",
E306="Mumbai","Maharashtra",
E306="Nagpur","Maharashtra",
E306="Patna","Bihar",
E306="Pune","Maharashtra",
E306="Raipur","Chhattisgarh",
E306="Surat","Gujarat",
TRUE,"Not Found"
)</f>
        <v>Chandigarh</v>
      </c>
      <c r="G306" t="s">
        <v>1143</v>
      </c>
      <c r="H306" t="s">
        <v>1144</v>
      </c>
      <c r="I306" t="s">
        <v>1214</v>
      </c>
      <c r="J306" t="s">
        <v>1320</v>
      </c>
      <c r="K306" t="s">
        <v>1321</v>
      </c>
      <c r="L306">
        <v>2</v>
      </c>
      <c r="M306">
        <v>8246</v>
      </c>
      <c r="N306">
        <v>0</v>
      </c>
      <c r="O306">
        <v>8246</v>
      </c>
      <c r="P306">
        <v>0.12</v>
      </c>
      <c r="Q306">
        <v>16492</v>
      </c>
      <c r="R306">
        <v>1979.04</v>
      </c>
      <c r="S306">
        <v>18471.04</v>
      </c>
      <c r="T306">
        <f>ROUND(Table2[[#This Row],[TotalAmount]],0)</f>
        <v>18471</v>
      </c>
      <c r="U306" t="s">
        <v>1363</v>
      </c>
      <c r="V306" t="s">
        <v>1361</v>
      </c>
      <c r="W306" s="4">
        <v>45566</v>
      </c>
      <c r="X306" s="4">
        <v>45571</v>
      </c>
      <c r="Y306" t="b">
        <v>0</v>
      </c>
      <c r="Z306" t="s">
        <v>1412</v>
      </c>
      <c r="AA306" t="s">
        <v>1412</v>
      </c>
      <c r="AB306" t="s">
        <v>1412</v>
      </c>
      <c r="AC306" t="s">
        <v>1384</v>
      </c>
      <c r="AD306" t="s">
        <v>1377</v>
      </c>
      <c r="AE306" t="s">
        <v>1389</v>
      </c>
    </row>
    <row r="307" spans="1:31" x14ac:dyDescent="0.3">
      <c r="A307" t="s">
        <v>455</v>
      </c>
      <c r="B307" s="4">
        <v>45477.52847222222</v>
      </c>
      <c r="C307" t="s">
        <v>61</v>
      </c>
      <c r="D307" t="s">
        <v>1153</v>
      </c>
      <c r="E307" t="s">
        <v>1176</v>
      </c>
      <c r="F307" t="str" cm="1">
        <f t="array" ref="F307">_xlfn.IFS(
E307="Ahmedabad","Gujarat",
E307="Bengaluru","Karnataka",
E307="Bhopal","Madhya Pradesh",
E307="Bhubaneswar","Odisha",
E307="Chandigarh","Chandigarh",
E307="Chennai","Tamil Nadu",
E307="Delhi","Delhi",
E307="Guwahati","Assam",
E307="Hyderabad","Telangana",
E307="Indore","Madhya Pradesh",
E307="Jaipur","Rajasthan",
E307="Kochi","Kerala",
E307="Kolkata","West Bengal",
E307="Lucknow","Uttar Pradesh",
E307="Mumbai","Maharashtra",
E307="Nagpur","Maharashtra",
E307="Patna","Bihar",
E307="Pune","Maharashtra",
E307="Raipur","Chhattisgarh",
E307="Surat","Gujarat",
TRUE,"Not Found"
)</f>
        <v>Chhattisgarh</v>
      </c>
      <c r="G307" t="s">
        <v>1228</v>
      </c>
      <c r="H307" t="s">
        <v>1177</v>
      </c>
      <c r="I307" t="s">
        <v>1309</v>
      </c>
      <c r="J307" t="s">
        <v>1328</v>
      </c>
      <c r="K307" t="s">
        <v>1329</v>
      </c>
      <c r="L307">
        <v>2</v>
      </c>
      <c r="M307">
        <v>1663</v>
      </c>
      <c r="N307">
        <v>0.15</v>
      </c>
      <c r="O307">
        <v>1413.55</v>
      </c>
      <c r="P307">
        <v>0.12</v>
      </c>
      <c r="Q307">
        <v>2827.1</v>
      </c>
      <c r="R307">
        <v>339.25200000000001</v>
      </c>
      <c r="S307">
        <v>3166.3519999999999</v>
      </c>
      <c r="T307">
        <f>ROUND(Table2[[#This Row],[TotalAmount]],0)</f>
        <v>3166</v>
      </c>
      <c r="U307" t="s">
        <v>1365</v>
      </c>
      <c r="V307" t="s">
        <v>1361</v>
      </c>
      <c r="W307" s="4">
        <v>45478</v>
      </c>
      <c r="X307" s="4">
        <v>45482</v>
      </c>
      <c r="Y307" t="b">
        <v>0</v>
      </c>
      <c r="Z307" t="s">
        <v>1412</v>
      </c>
      <c r="AA307" t="s">
        <v>1412</v>
      </c>
      <c r="AB307" t="s">
        <v>1412</v>
      </c>
      <c r="AC307" t="s">
        <v>1396</v>
      </c>
      <c r="AD307" t="s">
        <v>1394</v>
      </c>
      <c r="AE307" t="s">
        <v>1395</v>
      </c>
    </row>
    <row r="308" spans="1:31" x14ac:dyDescent="0.3">
      <c r="A308" t="s">
        <v>456</v>
      </c>
      <c r="B308" s="4">
        <v>45465.597916666673</v>
      </c>
      <c r="C308" t="s">
        <v>457</v>
      </c>
      <c r="D308" t="s">
        <v>1157</v>
      </c>
      <c r="E308" t="s">
        <v>1158</v>
      </c>
      <c r="F308" t="str" cm="1">
        <f t="array" ref="F308">_xlfn.IFS(
E308="Ahmedabad","Gujarat",
E308="Bengaluru","Karnataka",
E308="Bhopal","Madhya Pradesh",
E308="Bhubaneswar","Odisha",
E308="Chandigarh","Chandigarh",
E308="Chennai","Tamil Nadu",
E308="Delhi","Delhi",
E308="Guwahati","Assam",
E308="Hyderabad","Telangana",
E308="Indore","Madhya Pradesh",
E308="Jaipur","Rajasthan",
E308="Kochi","Kerala",
E308="Kolkata","West Bengal",
E308="Lucknow","Uttar Pradesh",
E308="Mumbai","Maharashtra",
E308="Nagpur","Maharashtra",
E308="Patna","Bihar",
E308="Pune","Maharashtra",
E308="Raipur","Chhattisgarh",
E308="Surat","Gujarat",
TRUE,"Not Found"
)</f>
        <v>Gujarat</v>
      </c>
      <c r="G308" t="s">
        <v>1150</v>
      </c>
      <c r="H308" t="s">
        <v>1172</v>
      </c>
      <c r="I308" t="s">
        <v>1198</v>
      </c>
      <c r="J308" t="s">
        <v>1303</v>
      </c>
      <c r="K308" t="s">
        <v>1304</v>
      </c>
      <c r="L308">
        <v>4</v>
      </c>
      <c r="M308">
        <v>5411</v>
      </c>
      <c r="N308">
        <v>0.2</v>
      </c>
      <c r="O308">
        <v>4328.8</v>
      </c>
      <c r="P308">
        <v>0.12</v>
      </c>
      <c r="Q308">
        <v>17315.2</v>
      </c>
      <c r="R308">
        <v>2077.8240000000001</v>
      </c>
      <c r="S308">
        <v>19393.024000000001</v>
      </c>
      <c r="T308">
        <f>ROUND(Table2[[#This Row],[TotalAmount]],0)</f>
        <v>19393</v>
      </c>
      <c r="U308" t="s">
        <v>1363</v>
      </c>
      <c r="V308" t="s">
        <v>1361</v>
      </c>
      <c r="W308" s="4">
        <v>45467</v>
      </c>
      <c r="X308" s="4">
        <v>45470</v>
      </c>
      <c r="Y308" t="b">
        <v>0</v>
      </c>
      <c r="Z308" t="s">
        <v>1412</v>
      </c>
      <c r="AA308" t="s">
        <v>1412</v>
      </c>
      <c r="AB308" t="s">
        <v>1412</v>
      </c>
      <c r="AC308" t="s">
        <v>1392</v>
      </c>
      <c r="AD308" t="s">
        <v>1394</v>
      </c>
      <c r="AE308" t="s">
        <v>1391</v>
      </c>
    </row>
    <row r="309" spans="1:31" x14ac:dyDescent="0.3">
      <c r="A309" t="s">
        <v>458</v>
      </c>
      <c r="B309" s="4">
        <v>45558.549305555563</v>
      </c>
      <c r="C309" t="s">
        <v>146</v>
      </c>
      <c r="D309" t="s">
        <v>1148</v>
      </c>
      <c r="E309" t="s">
        <v>1149</v>
      </c>
      <c r="F309" t="str" cm="1">
        <f t="array" ref="F309">_xlfn.IFS(
E309="Ahmedabad","Gujarat",
E309="Bengaluru","Karnataka",
E309="Bhopal","Madhya Pradesh",
E309="Bhubaneswar","Odisha",
E309="Chandigarh","Chandigarh",
E309="Chennai","Tamil Nadu",
E309="Delhi","Delhi",
E309="Guwahati","Assam",
E309="Hyderabad","Telangana",
E309="Indore","Madhya Pradesh",
E309="Jaipur","Rajasthan",
E309="Kochi","Kerala",
E309="Kolkata","West Bengal",
E309="Lucknow","Uttar Pradesh",
E309="Mumbai","Maharashtra",
E309="Nagpur","Maharashtra",
E309="Patna","Bihar",
E309="Pune","Maharashtra",
E309="Raipur","Chhattisgarh",
E309="Surat","Gujarat",
TRUE,"Not Found"
)</f>
        <v>Uttar Pradesh</v>
      </c>
      <c r="G309" t="s">
        <v>1143</v>
      </c>
      <c r="H309" t="s">
        <v>1163</v>
      </c>
      <c r="I309" t="s">
        <v>1164</v>
      </c>
      <c r="J309" t="s">
        <v>1324</v>
      </c>
      <c r="K309" t="s">
        <v>1325</v>
      </c>
      <c r="L309">
        <v>2</v>
      </c>
      <c r="M309">
        <v>1033</v>
      </c>
      <c r="N309">
        <v>0.05</v>
      </c>
      <c r="O309">
        <v>981.34999999999991</v>
      </c>
      <c r="P309">
        <v>0.12</v>
      </c>
      <c r="Q309">
        <v>1962.7</v>
      </c>
      <c r="R309">
        <v>235.524</v>
      </c>
      <c r="S309">
        <v>2198.2240000000002</v>
      </c>
      <c r="T309">
        <f>ROUND(Table2[[#This Row],[TotalAmount]],0)</f>
        <v>2198</v>
      </c>
      <c r="U309" t="s">
        <v>1366</v>
      </c>
      <c r="V309" t="s">
        <v>1361</v>
      </c>
      <c r="W309" s="4">
        <v>45560</v>
      </c>
      <c r="X309" s="4">
        <v>45563</v>
      </c>
      <c r="Y309" t="b">
        <v>0</v>
      </c>
      <c r="Z309" t="s">
        <v>1412</v>
      </c>
      <c r="AA309" t="s">
        <v>1412</v>
      </c>
      <c r="AB309" t="s">
        <v>1412</v>
      </c>
      <c r="AC309" t="s">
        <v>1376</v>
      </c>
      <c r="AD309" t="s">
        <v>1394</v>
      </c>
      <c r="AE309" t="s">
        <v>1378</v>
      </c>
    </row>
    <row r="310" spans="1:31" x14ac:dyDescent="0.3">
      <c r="A310" t="s">
        <v>459</v>
      </c>
      <c r="B310" s="4">
        <v>45532.697916666657</v>
      </c>
      <c r="C310" t="s">
        <v>460</v>
      </c>
      <c r="D310" t="s">
        <v>1182</v>
      </c>
      <c r="E310" t="s">
        <v>1256</v>
      </c>
      <c r="F310" t="str" cm="1">
        <f t="array" ref="F310">_xlfn.IFS(
E310="Ahmedabad","Gujarat",
E310="Bengaluru","Karnataka",
E310="Bhopal","Madhya Pradesh",
E310="Bhubaneswar","Odisha",
E310="Chandigarh","Chandigarh",
E310="Chennai","Tamil Nadu",
E310="Delhi","Delhi",
E310="Guwahati","Assam",
E310="Hyderabad","Telangana",
E310="Indore","Madhya Pradesh",
E310="Jaipur","Rajasthan",
E310="Kochi","Kerala",
E310="Kolkata","West Bengal",
E310="Lucknow","Uttar Pradesh",
E310="Mumbai","Maharashtra",
E310="Nagpur","Maharashtra",
E310="Patna","Bihar",
E310="Pune","Maharashtra",
E310="Raipur","Chhattisgarh",
E310="Surat","Gujarat",
TRUE,"Not Found"
)</f>
        <v>Karnataka</v>
      </c>
      <c r="G310" t="s">
        <v>1143</v>
      </c>
      <c r="H310" t="s">
        <v>1167</v>
      </c>
      <c r="I310" t="s">
        <v>1288</v>
      </c>
      <c r="J310" t="s">
        <v>1336</v>
      </c>
      <c r="K310" t="s">
        <v>1337</v>
      </c>
      <c r="L310">
        <v>3</v>
      </c>
      <c r="M310">
        <v>4320</v>
      </c>
      <c r="N310">
        <v>0.05</v>
      </c>
      <c r="O310">
        <v>4104</v>
      </c>
      <c r="P310">
        <v>0.05</v>
      </c>
      <c r="Q310">
        <v>12312</v>
      </c>
      <c r="R310">
        <v>615.6</v>
      </c>
      <c r="S310">
        <v>12927.6</v>
      </c>
      <c r="T310">
        <f>ROUND(Table2[[#This Row],[TotalAmount]],0)</f>
        <v>12928</v>
      </c>
      <c r="U310" t="s">
        <v>1366</v>
      </c>
      <c r="V310" t="s">
        <v>1361</v>
      </c>
      <c r="W310" s="4">
        <v>45533</v>
      </c>
      <c r="X310" s="4">
        <v>45538</v>
      </c>
      <c r="Y310" t="b">
        <v>0</v>
      </c>
      <c r="Z310" t="s">
        <v>1412</v>
      </c>
      <c r="AA310" t="s">
        <v>1412</v>
      </c>
      <c r="AB310" t="s">
        <v>1412</v>
      </c>
      <c r="AC310" t="s">
        <v>1398</v>
      </c>
      <c r="AD310" t="s">
        <v>1387</v>
      </c>
      <c r="AE310" t="s">
        <v>1395</v>
      </c>
    </row>
    <row r="311" spans="1:31" x14ac:dyDescent="0.3">
      <c r="A311" t="s">
        <v>461</v>
      </c>
      <c r="B311" s="4">
        <v>45644.54791666667</v>
      </c>
      <c r="C311" t="s">
        <v>462</v>
      </c>
      <c r="D311" t="s">
        <v>1148</v>
      </c>
      <c r="E311" t="s">
        <v>1149</v>
      </c>
      <c r="F311" t="str" cm="1">
        <f t="array" ref="F311">_xlfn.IFS(
E311="Ahmedabad","Gujarat",
E311="Bengaluru","Karnataka",
E311="Bhopal","Madhya Pradesh",
E311="Bhubaneswar","Odisha",
E311="Chandigarh","Chandigarh",
E311="Chennai","Tamil Nadu",
E311="Delhi","Delhi",
E311="Guwahati","Assam",
E311="Hyderabad","Telangana",
E311="Indore","Madhya Pradesh",
E311="Jaipur","Rajasthan",
E311="Kochi","Kerala",
E311="Kolkata","West Bengal",
E311="Lucknow","Uttar Pradesh",
E311="Mumbai","Maharashtra",
E311="Nagpur","Maharashtra",
E311="Patna","Bihar",
E311="Pune","Maharashtra",
E311="Raipur","Chhattisgarh",
E311="Surat","Gujarat",
TRUE,"Not Found"
)</f>
        <v>Uttar Pradesh</v>
      </c>
      <c r="G311" t="s">
        <v>1143</v>
      </c>
      <c r="H311" t="s">
        <v>1163</v>
      </c>
      <c r="I311" t="s">
        <v>1164</v>
      </c>
      <c r="J311" t="s">
        <v>1324</v>
      </c>
      <c r="K311" t="s">
        <v>1325</v>
      </c>
      <c r="L311">
        <v>4</v>
      </c>
      <c r="M311">
        <v>211</v>
      </c>
      <c r="N311">
        <v>0</v>
      </c>
      <c r="O311">
        <v>211</v>
      </c>
      <c r="P311">
        <v>0.12</v>
      </c>
      <c r="Q311">
        <v>844</v>
      </c>
      <c r="R311">
        <v>101.28</v>
      </c>
      <c r="S311">
        <v>945.28</v>
      </c>
      <c r="T311">
        <f>ROUND(Table2[[#This Row],[TotalAmount]],0)</f>
        <v>945</v>
      </c>
      <c r="U311" t="s">
        <v>1363</v>
      </c>
      <c r="V311" t="s">
        <v>1361</v>
      </c>
      <c r="W311" s="4">
        <v>45646</v>
      </c>
      <c r="X311" s="4">
        <v>45649</v>
      </c>
      <c r="Y311" t="b">
        <v>0</v>
      </c>
      <c r="Z311" t="s">
        <v>1412</v>
      </c>
      <c r="AA311" t="s">
        <v>1412</v>
      </c>
      <c r="AB311" t="s">
        <v>1412</v>
      </c>
      <c r="AC311" t="s">
        <v>1398</v>
      </c>
      <c r="AD311" t="s">
        <v>1397</v>
      </c>
      <c r="AE311" t="s">
        <v>1380</v>
      </c>
    </row>
    <row r="312" spans="1:31" x14ac:dyDescent="0.3">
      <c r="A312" t="s">
        <v>463</v>
      </c>
      <c r="B312" s="4">
        <v>45675.467361111107</v>
      </c>
      <c r="C312" t="s">
        <v>267</v>
      </c>
      <c r="D312" t="s">
        <v>1148</v>
      </c>
      <c r="E312" t="s">
        <v>1217</v>
      </c>
      <c r="F312" t="str" cm="1">
        <f t="array" ref="F312">_xlfn.IFS(
E312="Ahmedabad","Gujarat",
E312="Bengaluru","Karnataka",
E312="Bhopal","Madhya Pradesh",
E312="Bhubaneswar","Odisha",
E312="Chandigarh","Chandigarh",
E312="Chennai","Tamil Nadu",
E312="Delhi","Delhi",
E312="Guwahati","Assam",
E312="Hyderabad","Telangana",
E312="Indore","Madhya Pradesh",
E312="Jaipur","Rajasthan",
E312="Kochi","Kerala",
E312="Kolkata","West Bengal",
E312="Lucknow","Uttar Pradesh",
E312="Mumbai","Maharashtra",
E312="Nagpur","Maharashtra",
E312="Patna","Bihar",
E312="Pune","Maharashtra",
E312="Raipur","Chhattisgarh",
E312="Surat","Gujarat",
TRUE,"Not Found"
)</f>
        <v>Delhi</v>
      </c>
      <c r="G312" t="s">
        <v>1143</v>
      </c>
      <c r="H312" t="s">
        <v>1144</v>
      </c>
      <c r="I312" t="s">
        <v>1159</v>
      </c>
      <c r="J312" t="s">
        <v>1160</v>
      </c>
      <c r="K312" t="s">
        <v>1161</v>
      </c>
      <c r="L312">
        <v>1</v>
      </c>
      <c r="M312">
        <v>2455</v>
      </c>
      <c r="N312">
        <v>0.2</v>
      </c>
      <c r="O312">
        <v>1964</v>
      </c>
      <c r="P312">
        <v>0.12</v>
      </c>
      <c r="Q312">
        <v>1964</v>
      </c>
      <c r="R312">
        <v>235.68</v>
      </c>
      <c r="S312">
        <v>2199.6799999999998</v>
      </c>
      <c r="T312">
        <f>ROUND(Table2[[#This Row],[TotalAmount]],0)</f>
        <v>2200</v>
      </c>
      <c r="U312" t="s">
        <v>1360</v>
      </c>
      <c r="V312" t="s">
        <v>1361</v>
      </c>
      <c r="W312" s="4">
        <v>45675</v>
      </c>
      <c r="X312" s="4">
        <v>45679</v>
      </c>
      <c r="Y312" t="b">
        <v>0</v>
      </c>
      <c r="Z312" t="s">
        <v>1412</v>
      </c>
      <c r="AA312" t="s">
        <v>1412</v>
      </c>
      <c r="AB312" t="s">
        <v>1412</v>
      </c>
      <c r="AC312" t="s">
        <v>1384</v>
      </c>
      <c r="AD312" t="s">
        <v>1394</v>
      </c>
      <c r="AE312" t="s">
        <v>1380</v>
      </c>
    </row>
    <row r="313" spans="1:31" x14ac:dyDescent="0.3">
      <c r="A313" t="s">
        <v>464</v>
      </c>
      <c r="B313" s="4">
        <v>45666.496527777781</v>
      </c>
      <c r="C313" t="s">
        <v>218</v>
      </c>
      <c r="D313" t="s">
        <v>1153</v>
      </c>
      <c r="E313" t="s">
        <v>1191</v>
      </c>
      <c r="F313" t="str" cm="1">
        <f t="array" ref="F313">_xlfn.IFS(
E313="Ahmedabad","Gujarat",
E313="Bengaluru","Karnataka",
E313="Bhopal","Madhya Pradesh",
E313="Bhubaneswar","Odisha",
E313="Chandigarh","Chandigarh",
E313="Chennai","Tamil Nadu",
E313="Delhi","Delhi",
E313="Guwahati","Assam",
E313="Hyderabad","Telangana",
E313="Indore","Madhya Pradesh",
E313="Jaipur","Rajasthan",
E313="Kochi","Kerala",
E313="Kolkata","West Bengal",
E313="Lucknow","Uttar Pradesh",
E313="Mumbai","Maharashtra",
E313="Nagpur","Maharashtra",
E313="Patna","Bihar",
E313="Pune","Maharashtra",
E313="Raipur","Chhattisgarh",
E313="Surat","Gujarat",
TRUE,"Not Found"
)</f>
        <v>Madhya Pradesh</v>
      </c>
      <c r="G313" t="s">
        <v>1150</v>
      </c>
      <c r="H313" t="s">
        <v>1144</v>
      </c>
      <c r="I313" t="s">
        <v>1145</v>
      </c>
      <c r="J313" t="s">
        <v>1146</v>
      </c>
      <c r="K313" t="s">
        <v>1147</v>
      </c>
      <c r="L313">
        <v>1</v>
      </c>
      <c r="M313">
        <v>3770</v>
      </c>
      <c r="N313">
        <v>0.15</v>
      </c>
      <c r="O313">
        <v>3204.5</v>
      </c>
      <c r="P313">
        <v>0.12</v>
      </c>
      <c r="Q313">
        <v>3204.5</v>
      </c>
      <c r="R313">
        <v>384.54</v>
      </c>
      <c r="S313">
        <v>3589.04</v>
      </c>
      <c r="T313">
        <f>ROUND(Table2[[#This Row],[TotalAmount]],0)</f>
        <v>3589</v>
      </c>
      <c r="U313" t="s">
        <v>1362</v>
      </c>
      <c r="V313" t="s">
        <v>1361</v>
      </c>
      <c r="W313" s="4">
        <v>45667</v>
      </c>
      <c r="X313" s="4">
        <v>45669</v>
      </c>
      <c r="Y313" t="b">
        <v>0</v>
      </c>
      <c r="Z313" t="s">
        <v>1412</v>
      </c>
      <c r="AA313" t="s">
        <v>1412</v>
      </c>
      <c r="AB313" t="s">
        <v>1412</v>
      </c>
      <c r="AC313" t="s">
        <v>1384</v>
      </c>
      <c r="AD313" t="s">
        <v>1394</v>
      </c>
      <c r="AE313" t="s">
        <v>1391</v>
      </c>
    </row>
    <row r="314" spans="1:31" x14ac:dyDescent="0.3">
      <c r="A314" t="s">
        <v>465</v>
      </c>
      <c r="B314" s="4">
        <v>45668.666666666657</v>
      </c>
      <c r="C314" t="s">
        <v>88</v>
      </c>
      <c r="D314" t="s">
        <v>1148</v>
      </c>
      <c r="E314" t="s">
        <v>1262</v>
      </c>
      <c r="F314" t="str" cm="1">
        <f t="array" ref="F314">_xlfn.IFS(
E314="Ahmedabad","Gujarat",
E314="Bengaluru","Karnataka",
E314="Bhopal","Madhya Pradesh",
E314="Bhubaneswar","Odisha",
E314="Chandigarh","Chandigarh",
E314="Chennai","Tamil Nadu",
E314="Delhi","Delhi",
E314="Guwahati","Assam",
E314="Hyderabad","Telangana",
E314="Indore","Madhya Pradesh",
E314="Jaipur","Rajasthan",
E314="Kochi","Kerala",
E314="Kolkata","West Bengal",
E314="Lucknow","Uttar Pradesh",
E314="Mumbai","Maharashtra",
E314="Nagpur","Maharashtra",
E314="Patna","Bihar",
E314="Pune","Maharashtra",
E314="Raipur","Chhattisgarh",
E314="Surat","Gujarat",
TRUE,"Not Found"
)</f>
        <v>Rajasthan</v>
      </c>
      <c r="G314" t="s">
        <v>1143</v>
      </c>
      <c r="H314" t="s">
        <v>1177</v>
      </c>
      <c r="I314" t="s">
        <v>1195</v>
      </c>
      <c r="J314" t="s">
        <v>1196</v>
      </c>
      <c r="K314" t="s">
        <v>1197</v>
      </c>
      <c r="L314">
        <v>1</v>
      </c>
      <c r="M314">
        <v>1925</v>
      </c>
      <c r="N314">
        <v>0.05</v>
      </c>
      <c r="O314">
        <v>1828.75</v>
      </c>
      <c r="P314">
        <v>0.12</v>
      </c>
      <c r="Q314">
        <v>1828.75</v>
      </c>
      <c r="R314">
        <v>219.45</v>
      </c>
      <c r="S314">
        <v>2048.1999999999998</v>
      </c>
      <c r="T314">
        <f>ROUND(Table2[[#This Row],[TotalAmount]],0)</f>
        <v>2048</v>
      </c>
      <c r="U314" t="s">
        <v>1360</v>
      </c>
      <c r="V314" t="s">
        <v>1361</v>
      </c>
      <c r="W314" s="4">
        <v>45669</v>
      </c>
      <c r="X314" s="4">
        <v>45670</v>
      </c>
      <c r="Y314" t="b">
        <v>0</v>
      </c>
      <c r="Z314" t="s">
        <v>1412</v>
      </c>
      <c r="AA314" t="s">
        <v>1412</v>
      </c>
      <c r="AB314" t="s">
        <v>1412</v>
      </c>
      <c r="AC314" t="s">
        <v>1392</v>
      </c>
      <c r="AD314" t="s">
        <v>1387</v>
      </c>
      <c r="AE314" t="s">
        <v>1378</v>
      </c>
    </row>
    <row r="315" spans="1:31" x14ac:dyDescent="0.3">
      <c r="A315" t="s">
        <v>466</v>
      </c>
      <c r="B315" s="4">
        <v>45566.501388888893</v>
      </c>
      <c r="C315" t="s">
        <v>146</v>
      </c>
      <c r="D315" t="s">
        <v>1148</v>
      </c>
      <c r="E315" t="s">
        <v>1149</v>
      </c>
      <c r="F315" t="str" cm="1">
        <f t="array" ref="F315">_xlfn.IFS(
E315="Ahmedabad","Gujarat",
E315="Bengaluru","Karnataka",
E315="Bhopal","Madhya Pradesh",
E315="Bhubaneswar","Odisha",
E315="Chandigarh","Chandigarh",
E315="Chennai","Tamil Nadu",
E315="Delhi","Delhi",
E315="Guwahati","Assam",
E315="Hyderabad","Telangana",
E315="Indore","Madhya Pradesh",
E315="Jaipur","Rajasthan",
E315="Kochi","Kerala",
E315="Kolkata","West Bengal",
E315="Lucknow","Uttar Pradesh",
E315="Mumbai","Maharashtra",
E315="Nagpur","Maharashtra",
E315="Patna","Bihar",
E315="Pune","Maharashtra",
E315="Raipur","Chhattisgarh",
E315="Surat","Gujarat",
TRUE,"Not Found"
)</f>
        <v>Uttar Pradesh</v>
      </c>
      <c r="G315" t="s">
        <v>1143</v>
      </c>
      <c r="H315" t="s">
        <v>1167</v>
      </c>
      <c r="I315" t="s">
        <v>1208</v>
      </c>
      <c r="J315" t="s">
        <v>1291</v>
      </c>
      <c r="K315" t="s">
        <v>1292</v>
      </c>
      <c r="L315">
        <v>3</v>
      </c>
      <c r="M315">
        <v>4226</v>
      </c>
      <c r="N315">
        <v>0</v>
      </c>
      <c r="O315">
        <v>4226</v>
      </c>
      <c r="P315">
        <v>0.18</v>
      </c>
      <c r="Q315">
        <v>12678</v>
      </c>
      <c r="R315">
        <v>2282.04</v>
      </c>
      <c r="S315">
        <v>14960.04</v>
      </c>
      <c r="T315">
        <f>ROUND(Table2[[#This Row],[TotalAmount]],0)</f>
        <v>14960</v>
      </c>
      <c r="U315" t="s">
        <v>1362</v>
      </c>
      <c r="V315" t="s">
        <v>1361</v>
      </c>
      <c r="W315" s="4">
        <v>45568</v>
      </c>
      <c r="X315" s="4">
        <v>45571</v>
      </c>
      <c r="Y315" t="b">
        <v>0</v>
      </c>
      <c r="Z315" t="s">
        <v>1412</v>
      </c>
      <c r="AA315" t="s">
        <v>1412</v>
      </c>
      <c r="AB315" t="s">
        <v>1412</v>
      </c>
      <c r="AC315" t="s">
        <v>1376</v>
      </c>
      <c r="AD315" t="s">
        <v>1399</v>
      </c>
      <c r="AE315" t="s">
        <v>1383</v>
      </c>
    </row>
    <row r="316" spans="1:31" x14ac:dyDescent="0.3">
      <c r="A316" t="s">
        <v>467</v>
      </c>
      <c r="B316" s="4">
        <v>45736.477083333331</v>
      </c>
      <c r="C316" t="s">
        <v>227</v>
      </c>
      <c r="D316" t="s">
        <v>1153</v>
      </c>
      <c r="E316" t="s">
        <v>1154</v>
      </c>
      <c r="F316" t="str" cm="1">
        <f t="array" ref="F316">_xlfn.IFS(
E316="Ahmedabad","Gujarat",
E316="Bengaluru","Karnataka",
E316="Bhopal","Madhya Pradesh",
E316="Bhubaneswar","Odisha",
E316="Chandigarh","Chandigarh",
E316="Chennai","Tamil Nadu",
E316="Delhi","Delhi",
E316="Guwahati","Assam",
E316="Hyderabad","Telangana",
E316="Indore","Madhya Pradesh",
E316="Jaipur","Rajasthan",
E316="Kochi","Kerala",
E316="Kolkata","West Bengal",
E316="Lucknow","Uttar Pradesh",
E316="Mumbai","Maharashtra",
E316="Nagpur","Maharashtra",
E316="Patna","Bihar",
E316="Pune","Maharashtra",
E316="Raipur","Chhattisgarh",
E316="Surat","Gujarat",
TRUE,"Not Found"
)</f>
        <v>Maharashtra</v>
      </c>
      <c r="G316" t="s">
        <v>1143</v>
      </c>
      <c r="H316" t="s">
        <v>1163</v>
      </c>
      <c r="I316" t="s">
        <v>1184</v>
      </c>
      <c r="J316" t="s">
        <v>1185</v>
      </c>
      <c r="K316" t="s">
        <v>1186</v>
      </c>
      <c r="L316">
        <v>1</v>
      </c>
      <c r="M316">
        <v>839</v>
      </c>
      <c r="N316">
        <v>0.05</v>
      </c>
      <c r="O316">
        <v>797.05</v>
      </c>
      <c r="P316">
        <v>0.05</v>
      </c>
      <c r="Q316">
        <v>797.05</v>
      </c>
      <c r="R316">
        <v>39.852499999999999</v>
      </c>
      <c r="S316">
        <v>836.90249999999992</v>
      </c>
      <c r="T316">
        <f>ROUND(Table2[[#This Row],[TotalAmount]],0)</f>
        <v>837</v>
      </c>
      <c r="U316" t="s">
        <v>1363</v>
      </c>
      <c r="V316" t="s">
        <v>1361</v>
      </c>
      <c r="W316" s="4">
        <v>45736</v>
      </c>
      <c r="X316" s="4">
        <v>45740</v>
      </c>
      <c r="Y316" t="b">
        <v>0</v>
      </c>
      <c r="Z316" t="s">
        <v>1412</v>
      </c>
      <c r="AA316" t="s">
        <v>1412</v>
      </c>
      <c r="AB316" t="s">
        <v>1412</v>
      </c>
      <c r="AC316" t="s">
        <v>1396</v>
      </c>
      <c r="AD316" t="s">
        <v>1400</v>
      </c>
      <c r="AE316" t="s">
        <v>1393</v>
      </c>
    </row>
    <row r="317" spans="1:31" x14ac:dyDescent="0.3">
      <c r="A317" t="s">
        <v>468</v>
      </c>
      <c r="B317" s="4">
        <v>45324.536805555559</v>
      </c>
      <c r="C317" t="s">
        <v>469</v>
      </c>
      <c r="D317" t="s">
        <v>1153</v>
      </c>
      <c r="E317" t="s">
        <v>1176</v>
      </c>
      <c r="F317" t="str" cm="1">
        <f t="array" ref="F317">_xlfn.IFS(
E317="Ahmedabad","Gujarat",
E317="Bengaluru","Karnataka",
E317="Bhopal","Madhya Pradesh",
E317="Bhubaneswar","Odisha",
E317="Chandigarh","Chandigarh",
E317="Chennai","Tamil Nadu",
E317="Delhi","Delhi",
E317="Guwahati","Assam",
E317="Hyderabad","Telangana",
E317="Indore","Madhya Pradesh",
E317="Jaipur","Rajasthan",
E317="Kochi","Kerala",
E317="Kolkata","West Bengal",
E317="Lucknow","Uttar Pradesh",
E317="Mumbai","Maharashtra",
E317="Nagpur","Maharashtra",
E317="Patna","Bihar",
E317="Pune","Maharashtra",
E317="Raipur","Chhattisgarh",
E317="Surat","Gujarat",
TRUE,"Not Found"
)</f>
        <v>Chhattisgarh</v>
      </c>
      <c r="G317" t="s">
        <v>1143</v>
      </c>
      <c r="H317" t="s">
        <v>1172</v>
      </c>
      <c r="I317" t="s">
        <v>1198</v>
      </c>
      <c r="J317" t="s">
        <v>1250</v>
      </c>
      <c r="K317" t="s">
        <v>1251</v>
      </c>
      <c r="L317">
        <v>3</v>
      </c>
      <c r="M317">
        <v>1210</v>
      </c>
      <c r="N317">
        <v>0</v>
      </c>
      <c r="O317">
        <v>1210</v>
      </c>
      <c r="P317">
        <v>0.12</v>
      </c>
      <c r="Q317">
        <v>3630</v>
      </c>
      <c r="R317">
        <v>435.6</v>
      </c>
      <c r="S317">
        <v>4065.6</v>
      </c>
      <c r="T317">
        <f>ROUND(Table2[[#This Row],[TotalAmount]],0)</f>
        <v>4066</v>
      </c>
      <c r="U317" t="s">
        <v>1360</v>
      </c>
      <c r="V317" t="s">
        <v>1361</v>
      </c>
      <c r="W317" s="4">
        <v>45325</v>
      </c>
      <c r="X317" s="4">
        <v>45329</v>
      </c>
      <c r="Y317" t="b">
        <v>0</v>
      </c>
      <c r="Z317" t="s">
        <v>1412</v>
      </c>
      <c r="AA317" t="s">
        <v>1412</v>
      </c>
      <c r="AB317" t="s">
        <v>1412</v>
      </c>
      <c r="AC317" t="s">
        <v>1384</v>
      </c>
      <c r="AD317" t="s">
        <v>1394</v>
      </c>
      <c r="AE317" t="s">
        <v>1383</v>
      </c>
    </row>
    <row r="318" spans="1:31" x14ac:dyDescent="0.3">
      <c r="A318" t="s">
        <v>470</v>
      </c>
      <c r="B318" s="4">
        <v>45373.436111111107</v>
      </c>
      <c r="C318" t="s">
        <v>374</v>
      </c>
      <c r="D318" t="s">
        <v>1153</v>
      </c>
      <c r="E318" t="s">
        <v>1162</v>
      </c>
      <c r="F318" t="str" cm="1">
        <f t="array" ref="F318">_xlfn.IFS(
E318="Ahmedabad","Gujarat",
E318="Bengaluru","Karnataka",
E318="Bhopal","Madhya Pradesh",
E318="Bhubaneswar","Odisha",
E318="Chandigarh","Chandigarh",
E318="Chennai","Tamil Nadu",
E318="Delhi","Delhi",
E318="Guwahati","Assam",
E318="Hyderabad","Telangana",
E318="Indore","Madhya Pradesh",
E318="Jaipur","Rajasthan",
E318="Kochi","Kerala",
E318="Kolkata","West Bengal",
E318="Lucknow","Uttar Pradesh",
E318="Mumbai","Maharashtra",
E318="Nagpur","Maharashtra",
E318="Patna","Bihar",
E318="Pune","Maharashtra",
E318="Raipur","Chhattisgarh",
E318="Surat","Gujarat",
TRUE,"Not Found"
)</f>
        <v>Madhya Pradesh</v>
      </c>
      <c r="G318" t="s">
        <v>1143</v>
      </c>
      <c r="H318" t="s">
        <v>1144</v>
      </c>
      <c r="I318" t="s">
        <v>1214</v>
      </c>
      <c r="J318" t="s">
        <v>1320</v>
      </c>
      <c r="K318" t="s">
        <v>1321</v>
      </c>
      <c r="L318">
        <v>1</v>
      </c>
      <c r="M318">
        <v>11133</v>
      </c>
      <c r="N318">
        <v>0.05</v>
      </c>
      <c r="O318">
        <v>10576.35</v>
      </c>
      <c r="P318">
        <v>0.18</v>
      </c>
      <c r="Q318">
        <v>10576.35</v>
      </c>
      <c r="R318">
        <v>1903.7429999999999</v>
      </c>
      <c r="S318">
        <v>12480.093000000001</v>
      </c>
      <c r="T318">
        <f>ROUND(Table2[[#This Row],[TotalAmount]],0)</f>
        <v>12480</v>
      </c>
      <c r="U318" t="s">
        <v>1363</v>
      </c>
      <c r="V318" t="s">
        <v>1361</v>
      </c>
      <c r="W318" s="4">
        <v>45374</v>
      </c>
      <c r="X318" s="4">
        <v>45375</v>
      </c>
      <c r="Y318" t="b">
        <v>0</v>
      </c>
      <c r="Z318" t="s">
        <v>1412</v>
      </c>
      <c r="AA318" t="s">
        <v>1412</v>
      </c>
      <c r="AB318" t="s">
        <v>1412</v>
      </c>
      <c r="AC318" t="s">
        <v>1396</v>
      </c>
      <c r="AD318" t="s">
        <v>1394</v>
      </c>
      <c r="AE318" t="s">
        <v>1380</v>
      </c>
    </row>
    <row r="319" spans="1:31" x14ac:dyDescent="0.3">
      <c r="A319" t="s">
        <v>471</v>
      </c>
      <c r="B319" s="4">
        <v>45654.394444444442</v>
      </c>
      <c r="C319" t="s">
        <v>378</v>
      </c>
      <c r="D319" t="s">
        <v>1157</v>
      </c>
      <c r="E319" t="s">
        <v>1158</v>
      </c>
      <c r="F319" t="str" cm="1">
        <f t="array" ref="F319">_xlfn.IFS(
E319="Ahmedabad","Gujarat",
E319="Bengaluru","Karnataka",
E319="Bhopal","Madhya Pradesh",
E319="Bhubaneswar","Odisha",
E319="Chandigarh","Chandigarh",
E319="Chennai","Tamil Nadu",
E319="Delhi","Delhi",
E319="Guwahati","Assam",
E319="Hyderabad","Telangana",
E319="Indore","Madhya Pradesh",
E319="Jaipur","Rajasthan",
E319="Kochi","Kerala",
E319="Kolkata","West Bengal",
E319="Lucknow","Uttar Pradesh",
E319="Mumbai","Maharashtra",
E319="Nagpur","Maharashtra",
E319="Patna","Bihar",
E319="Pune","Maharashtra",
E319="Raipur","Chhattisgarh",
E319="Surat","Gujarat",
TRUE,"Not Found"
)</f>
        <v>Gujarat</v>
      </c>
      <c r="G319" t="s">
        <v>1228</v>
      </c>
      <c r="H319" t="s">
        <v>1167</v>
      </c>
      <c r="I319" t="s">
        <v>1208</v>
      </c>
      <c r="J319" t="s">
        <v>1291</v>
      </c>
      <c r="K319" t="s">
        <v>1292</v>
      </c>
      <c r="L319">
        <v>1</v>
      </c>
      <c r="M319">
        <v>54414</v>
      </c>
      <c r="N319">
        <v>0</v>
      </c>
      <c r="O319">
        <v>54414</v>
      </c>
      <c r="P319">
        <v>0.12</v>
      </c>
      <c r="Q319">
        <v>54414</v>
      </c>
      <c r="R319">
        <v>6529.6799999999994</v>
      </c>
      <c r="S319">
        <v>60943.68</v>
      </c>
      <c r="T319">
        <f>ROUND(Table2[[#This Row],[TotalAmount]],0)</f>
        <v>60944</v>
      </c>
      <c r="U319" t="s">
        <v>1362</v>
      </c>
      <c r="V319" t="s">
        <v>1361</v>
      </c>
      <c r="W319" s="4">
        <v>45655</v>
      </c>
      <c r="X319" s="4">
        <v>45656</v>
      </c>
      <c r="Y319" t="b">
        <v>0</v>
      </c>
      <c r="Z319" t="s">
        <v>1412</v>
      </c>
      <c r="AA319" t="s">
        <v>1412</v>
      </c>
      <c r="AB319" t="s">
        <v>1412</v>
      </c>
      <c r="AC319" t="s">
        <v>1392</v>
      </c>
      <c r="AD319" t="s">
        <v>1397</v>
      </c>
      <c r="AE319" t="s">
        <v>1380</v>
      </c>
    </row>
    <row r="320" spans="1:31" x14ac:dyDescent="0.3">
      <c r="A320" t="s">
        <v>472</v>
      </c>
      <c r="B320" s="4">
        <v>45315.654861111107</v>
      </c>
      <c r="C320" t="s">
        <v>30</v>
      </c>
      <c r="D320" t="s">
        <v>1153</v>
      </c>
      <c r="E320" t="s">
        <v>1162</v>
      </c>
      <c r="F320" t="str" cm="1">
        <f t="array" ref="F320">_xlfn.IFS(
E320="Ahmedabad","Gujarat",
E320="Bengaluru","Karnataka",
E320="Bhopal","Madhya Pradesh",
E320="Bhubaneswar","Odisha",
E320="Chandigarh","Chandigarh",
E320="Chennai","Tamil Nadu",
E320="Delhi","Delhi",
E320="Guwahati","Assam",
E320="Hyderabad","Telangana",
E320="Indore","Madhya Pradesh",
E320="Jaipur","Rajasthan",
E320="Kochi","Kerala",
E320="Kolkata","West Bengal",
E320="Lucknow","Uttar Pradesh",
E320="Mumbai","Maharashtra",
E320="Nagpur","Maharashtra",
E320="Patna","Bihar",
E320="Pune","Maharashtra",
E320="Raipur","Chhattisgarh",
E320="Surat","Gujarat",
TRUE,"Not Found"
)</f>
        <v>Madhya Pradesh</v>
      </c>
      <c r="G320" t="s">
        <v>1143</v>
      </c>
      <c r="H320" t="s">
        <v>1172</v>
      </c>
      <c r="I320" t="s">
        <v>1188</v>
      </c>
      <c r="J320" t="s">
        <v>1232</v>
      </c>
      <c r="K320" t="s">
        <v>1233</v>
      </c>
      <c r="L320">
        <v>4</v>
      </c>
      <c r="M320">
        <v>8405</v>
      </c>
      <c r="N320">
        <v>0.1</v>
      </c>
      <c r="O320">
        <v>7564.5</v>
      </c>
      <c r="P320">
        <v>0.12</v>
      </c>
      <c r="Q320">
        <v>30258</v>
      </c>
      <c r="R320">
        <v>3630.96</v>
      </c>
      <c r="S320">
        <v>33888.959999999999</v>
      </c>
      <c r="T320">
        <f>ROUND(Table2[[#This Row],[TotalAmount]],0)</f>
        <v>33889</v>
      </c>
      <c r="U320" t="s">
        <v>1363</v>
      </c>
      <c r="V320" t="s">
        <v>1361</v>
      </c>
      <c r="W320" s="4">
        <v>45315</v>
      </c>
      <c r="X320" s="4">
        <v>45316</v>
      </c>
      <c r="Y320" t="b">
        <v>0</v>
      </c>
      <c r="Z320" t="s">
        <v>1412</v>
      </c>
      <c r="AA320" t="s">
        <v>1412</v>
      </c>
      <c r="AB320" t="s">
        <v>1412</v>
      </c>
      <c r="AC320" t="s">
        <v>1392</v>
      </c>
      <c r="AD320" t="s">
        <v>1397</v>
      </c>
      <c r="AE320" t="s">
        <v>1378</v>
      </c>
    </row>
    <row r="321" spans="1:31" x14ac:dyDescent="0.3">
      <c r="A321" t="s">
        <v>473</v>
      </c>
      <c r="B321" s="4">
        <v>45341.543055555558</v>
      </c>
      <c r="C321" t="s">
        <v>128</v>
      </c>
      <c r="D321" t="s">
        <v>1182</v>
      </c>
      <c r="E321" t="s">
        <v>1183</v>
      </c>
      <c r="F321" t="str" cm="1">
        <f t="array" ref="F321">_xlfn.IFS(
E321="Ahmedabad","Gujarat",
E321="Bengaluru","Karnataka",
E321="Bhopal","Madhya Pradesh",
E321="Bhubaneswar","Odisha",
E321="Chandigarh","Chandigarh",
E321="Chennai","Tamil Nadu",
E321="Delhi","Delhi",
E321="Guwahati","Assam",
E321="Hyderabad","Telangana",
E321="Indore","Madhya Pradesh",
E321="Jaipur","Rajasthan",
E321="Kochi","Kerala",
E321="Kolkata","West Bengal",
E321="Lucknow","Uttar Pradesh",
E321="Mumbai","Maharashtra",
E321="Nagpur","Maharashtra",
E321="Patna","Bihar",
E321="Pune","Maharashtra",
E321="Raipur","Chhattisgarh",
E321="Surat","Gujarat",
TRUE,"Not Found"
)</f>
        <v>Telangana</v>
      </c>
      <c r="G321" t="s">
        <v>1143</v>
      </c>
      <c r="H321" t="s">
        <v>1163</v>
      </c>
      <c r="I321" t="s">
        <v>1184</v>
      </c>
      <c r="J321" t="s">
        <v>1260</v>
      </c>
      <c r="K321" t="s">
        <v>1261</v>
      </c>
      <c r="L321">
        <v>1</v>
      </c>
      <c r="M321">
        <v>1077</v>
      </c>
      <c r="N321">
        <v>0.2</v>
      </c>
      <c r="O321">
        <v>861.6</v>
      </c>
      <c r="P321">
        <v>0.18</v>
      </c>
      <c r="Q321">
        <v>861.6</v>
      </c>
      <c r="R321">
        <v>155.08799999999999</v>
      </c>
      <c r="S321">
        <v>1016.688</v>
      </c>
      <c r="T321">
        <f>ROUND(Table2[[#This Row],[TotalAmount]],0)</f>
        <v>1017</v>
      </c>
      <c r="U321" t="s">
        <v>1363</v>
      </c>
      <c r="V321" t="s">
        <v>1361</v>
      </c>
      <c r="W321" s="4">
        <v>45342</v>
      </c>
      <c r="X321" s="4">
        <v>45346</v>
      </c>
      <c r="Y321" t="b">
        <v>0</v>
      </c>
      <c r="Z321" t="s">
        <v>1412</v>
      </c>
      <c r="AA321" t="s">
        <v>1412</v>
      </c>
      <c r="AB321" t="s">
        <v>1412</v>
      </c>
      <c r="AC321" t="s">
        <v>1386</v>
      </c>
      <c r="AD321" t="s">
        <v>1385</v>
      </c>
      <c r="AE321" t="s">
        <v>1389</v>
      </c>
    </row>
    <row r="322" spans="1:31" x14ac:dyDescent="0.3">
      <c r="A322" t="s">
        <v>474</v>
      </c>
      <c r="B322" s="4">
        <v>45636.613194444442</v>
      </c>
      <c r="C322" t="s">
        <v>77</v>
      </c>
      <c r="D322" t="s">
        <v>1182</v>
      </c>
      <c r="E322" t="s">
        <v>1256</v>
      </c>
      <c r="F322" t="str" cm="1">
        <f t="array" ref="F322">_xlfn.IFS(
E322="Ahmedabad","Gujarat",
E322="Bengaluru","Karnataka",
E322="Bhopal","Madhya Pradesh",
E322="Bhubaneswar","Odisha",
E322="Chandigarh","Chandigarh",
E322="Chennai","Tamil Nadu",
E322="Delhi","Delhi",
E322="Guwahati","Assam",
E322="Hyderabad","Telangana",
E322="Indore","Madhya Pradesh",
E322="Jaipur","Rajasthan",
E322="Kochi","Kerala",
E322="Kolkata","West Bengal",
E322="Lucknow","Uttar Pradesh",
E322="Mumbai","Maharashtra",
E322="Nagpur","Maharashtra",
E322="Patna","Bihar",
E322="Pune","Maharashtra",
E322="Raipur","Chhattisgarh",
E322="Surat","Gujarat",
TRUE,"Not Found"
)</f>
        <v>Karnataka</v>
      </c>
      <c r="G322" t="s">
        <v>1143</v>
      </c>
      <c r="H322" t="s">
        <v>1172</v>
      </c>
      <c r="I322" t="s">
        <v>1204</v>
      </c>
      <c r="J322" t="s">
        <v>1205</v>
      </c>
      <c r="K322" t="s">
        <v>1206</v>
      </c>
      <c r="L322">
        <v>2</v>
      </c>
      <c r="M322">
        <v>1839</v>
      </c>
      <c r="N322">
        <v>0</v>
      </c>
      <c r="O322">
        <v>1839</v>
      </c>
      <c r="P322">
        <v>0.12</v>
      </c>
      <c r="Q322">
        <v>3678</v>
      </c>
      <c r="R322">
        <v>441.36</v>
      </c>
      <c r="S322">
        <v>4119.3599999999997</v>
      </c>
      <c r="T322">
        <f>ROUND(Table2[[#This Row],[TotalAmount]],0)</f>
        <v>4119</v>
      </c>
      <c r="U322" t="s">
        <v>1362</v>
      </c>
      <c r="V322" t="s">
        <v>1361</v>
      </c>
      <c r="W322" s="4">
        <v>45638</v>
      </c>
      <c r="X322" s="4">
        <v>45642</v>
      </c>
      <c r="Y322" t="b">
        <v>0</v>
      </c>
      <c r="Z322" t="s">
        <v>1412</v>
      </c>
      <c r="AA322" t="s">
        <v>1412</v>
      </c>
      <c r="AB322" t="s">
        <v>1412</v>
      </c>
      <c r="AC322" t="s">
        <v>1388</v>
      </c>
      <c r="AD322" t="s">
        <v>1397</v>
      </c>
      <c r="AE322" t="s">
        <v>1389</v>
      </c>
    </row>
    <row r="323" spans="1:31" x14ac:dyDescent="0.3">
      <c r="A323" t="s">
        <v>475</v>
      </c>
      <c r="B323" s="4">
        <v>45317.462500000001</v>
      </c>
      <c r="C323" t="s">
        <v>65</v>
      </c>
      <c r="D323" t="s">
        <v>1141</v>
      </c>
      <c r="E323" t="s">
        <v>1142</v>
      </c>
      <c r="F323" t="str" cm="1">
        <f t="array" ref="F323">_xlfn.IFS(
E323="Ahmedabad","Gujarat",
E323="Bengaluru","Karnataka",
E323="Bhopal","Madhya Pradesh",
E323="Bhubaneswar","Odisha",
E323="Chandigarh","Chandigarh",
E323="Chennai","Tamil Nadu",
E323="Delhi","Delhi",
E323="Guwahati","Assam",
E323="Hyderabad","Telangana",
E323="Indore","Madhya Pradesh",
E323="Jaipur","Rajasthan",
E323="Kochi","Kerala",
E323="Kolkata","West Bengal",
E323="Lucknow","Uttar Pradesh",
E323="Mumbai","Maharashtra",
E323="Nagpur","Maharashtra",
E323="Patna","Bihar",
E323="Pune","Maharashtra",
E323="Raipur","Chhattisgarh",
E323="Surat","Gujarat",
TRUE,"Not Found"
)</f>
        <v>West Bengal</v>
      </c>
      <c r="G323" t="s">
        <v>1150</v>
      </c>
      <c r="H323" t="s">
        <v>1144</v>
      </c>
      <c r="I323" t="s">
        <v>1269</v>
      </c>
      <c r="J323" t="s">
        <v>1270</v>
      </c>
      <c r="K323" t="s">
        <v>1271</v>
      </c>
      <c r="L323">
        <v>3</v>
      </c>
      <c r="M323">
        <v>12490</v>
      </c>
      <c r="N323">
        <v>0.1</v>
      </c>
      <c r="O323">
        <v>11241</v>
      </c>
      <c r="P323">
        <v>0.18</v>
      </c>
      <c r="Q323">
        <v>33723</v>
      </c>
      <c r="R323">
        <v>6070.1399999999994</v>
      </c>
      <c r="S323">
        <v>39793.14</v>
      </c>
      <c r="T323">
        <f>ROUND(Table2[[#This Row],[TotalAmount]],0)</f>
        <v>39793</v>
      </c>
      <c r="U323" t="s">
        <v>1365</v>
      </c>
      <c r="V323" t="s">
        <v>1361</v>
      </c>
      <c r="W323" s="4">
        <v>45318</v>
      </c>
      <c r="X323" s="4">
        <v>45319</v>
      </c>
      <c r="Y323" t="b">
        <v>0</v>
      </c>
      <c r="Z323" t="s">
        <v>1412</v>
      </c>
      <c r="AA323" t="s">
        <v>1412</v>
      </c>
      <c r="AB323" t="s">
        <v>1412</v>
      </c>
      <c r="AC323" t="s">
        <v>1388</v>
      </c>
      <c r="AD323" t="s">
        <v>1400</v>
      </c>
      <c r="AE323" t="s">
        <v>1383</v>
      </c>
    </row>
    <row r="324" spans="1:31" x14ac:dyDescent="0.3">
      <c r="A324" t="s">
        <v>476</v>
      </c>
      <c r="B324" s="4">
        <v>45706.504861111112</v>
      </c>
      <c r="C324" t="s">
        <v>32</v>
      </c>
      <c r="D324" t="s">
        <v>1157</v>
      </c>
      <c r="E324" t="s">
        <v>1201</v>
      </c>
      <c r="F324" t="str" cm="1">
        <f t="array" ref="F324">_xlfn.IFS(
E324="Ahmedabad","Gujarat",
E324="Bengaluru","Karnataka",
E324="Bhopal","Madhya Pradesh",
E324="Bhubaneswar","Odisha",
E324="Chandigarh","Chandigarh",
E324="Chennai","Tamil Nadu",
E324="Delhi","Delhi",
E324="Guwahati","Assam",
E324="Hyderabad","Telangana",
E324="Indore","Madhya Pradesh",
E324="Jaipur","Rajasthan",
E324="Kochi","Kerala",
E324="Kolkata","West Bengal",
E324="Lucknow","Uttar Pradesh",
E324="Mumbai","Maharashtra",
E324="Nagpur","Maharashtra",
E324="Patna","Bihar",
E324="Pune","Maharashtra",
E324="Raipur","Chhattisgarh",
E324="Surat","Gujarat",
TRUE,"Not Found"
)</f>
        <v>Maharashtra</v>
      </c>
      <c r="G324" t="s">
        <v>1187</v>
      </c>
      <c r="H324" t="s">
        <v>1163</v>
      </c>
      <c r="I324" t="s">
        <v>1224</v>
      </c>
      <c r="J324" t="s">
        <v>1316</v>
      </c>
      <c r="K324" t="s">
        <v>1317</v>
      </c>
      <c r="L324">
        <v>4</v>
      </c>
      <c r="M324">
        <v>922</v>
      </c>
      <c r="N324">
        <v>0</v>
      </c>
      <c r="O324">
        <v>922</v>
      </c>
      <c r="P324">
        <v>0.18</v>
      </c>
      <c r="Q324">
        <v>3688</v>
      </c>
      <c r="R324">
        <v>663.84</v>
      </c>
      <c r="S324">
        <v>4351.84</v>
      </c>
      <c r="T324">
        <f>ROUND(Table2[[#This Row],[TotalAmount]],0)</f>
        <v>4352</v>
      </c>
      <c r="U324" t="s">
        <v>1360</v>
      </c>
      <c r="V324" t="s">
        <v>1361</v>
      </c>
      <c r="W324" s="4">
        <v>45706</v>
      </c>
      <c r="X324" s="4">
        <v>45711</v>
      </c>
      <c r="Y324" t="b">
        <v>0</v>
      </c>
      <c r="Z324" t="s">
        <v>1412</v>
      </c>
      <c r="AA324" t="s">
        <v>1412</v>
      </c>
      <c r="AB324" t="s">
        <v>1412</v>
      </c>
      <c r="AC324" t="s">
        <v>1386</v>
      </c>
      <c r="AD324" t="s">
        <v>1385</v>
      </c>
      <c r="AE324" t="s">
        <v>1395</v>
      </c>
    </row>
    <row r="325" spans="1:31" x14ac:dyDescent="0.3">
      <c r="A325" t="s">
        <v>477</v>
      </c>
      <c r="B325" s="4">
        <v>45333.420138888891</v>
      </c>
      <c r="C325" t="s">
        <v>171</v>
      </c>
      <c r="D325" t="s">
        <v>1182</v>
      </c>
      <c r="E325" t="s">
        <v>1207</v>
      </c>
      <c r="F325" t="str" cm="1">
        <f t="array" ref="F325">_xlfn.IFS(
E325="Ahmedabad","Gujarat",
E325="Bengaluru","Karnataka",
E325="Bhopal","Madhya Pradesh",
E325="Bhubaneswar","Odisha",
E325="Chandigarh","Chandigarh",
E325="Chennai","Tamil Nadu",
E325="Delhi","Delhi",
E325="Guwahati","Assam",
E325="Hyderabad","Telangana",
E325="Indore","Madhya Pradesh",
E325="Jaipur","Rajasthan",
E325="Kochi","Kerala",
E325="Kolkata","West Bengal",
E325="Lucknow","Uttar Pradesh",
E325="Mumbai","Maharashtra",
E325="Nagpur","Maharashtra",
E325="Patna","Bihar",
E325="Pune","Maharashtra",
E325="Raipur","Chhattisgarh",
E325="Surat","Gujarat",
TRUE,"Not Found"
)</f>
        <v>Tamil Nadu</v>
      </c>
      <c r="G325" t="s">
        <v>1150</v>
      </c>
      <c r="H325" t="s">
        <v>1172</v>
      </c>
      <c r="I325" t="s">
        <v>1204</v>
      </c>
      <c r="J325" t="s">
        <v>1234</v>
      </c>
      <c r="K325" t="s">
        <v>1235</v>
      </c>
      <c r="L325">
        <v>1</v>
      </c>
      <c r="M325">
        <v>9120</v>
      </c>
      <c r="N325">
        <v>0</v>
      </c>
      <c r="O325">
        <v>9120</v>
      </c>
      <c r="P325">
        <v>0.12</v>
      </c>
      <c r="Q325">
        <v>9120</v>
      </c>
      <c r="R325">
        <v>1094.4000000000001</v>
      </c>
      <c r="S325">
        <v>10214.4</v>
      </c>
      <c r="T325">
        <f>ROUND(Table2[[#This Row],[TotalAmount]],0)</f>
        <v>10214</v>
      </c>
      <c r="U325" t="s">
        <v>1362</v>
      </c>
      <c r="V325" t="s">
        <v>1361</v>
      </c>
      <c r="W325" s="4">
        <v>45333</v>
      </c>
      <c r="X325" s="4">
        <v>45334</v>
      </c>
      <c r="Y325" t="b">
        <v>0</v>
      </c>
      <c r="Z325" t="s">
        <v>1412</v>
      </c>
      <c r="AA325" t="s">
        <v>1412</v>
      </c>
      <c r="AB325" t="s">
        <v>1412</v>
      </c>
      <c r="AC325" t="s">
        <v>1398</v>
      </c>
      <c r="AD325" t="s">
        <v>1400</v>
      </c>
      <c r="AE325" t="s">
        <v>1393</v>
      </c>
    </row>
    <row r="326" spans="1:31" x14ac:dyDescent="0.3">
      <c r="A326" t="s">
        <v>478</v>
      </c>
      <c r="B326" s="4">
        <v>45452.587500000001</v>
      </c>
      <c r="C326" t="s">
        <v>26</v>
      </c>
      <c r="D326" t="s">
        <v>1153</v>
      </c>
      <c r="E326" t="s">
        <v>1191</v>
      </c>
      <c r="F326" t="str" cm="1">
        <f t="array" ref="F326">_xlfn.IFS(
E326="Ahmedabad","Gujarat",
E326="Bengaluru","Karnataka",
E326="Bhopal","Madhya Pradesh",
E326="Bhubaneswar","Odisha",
E326="Chandigarh","Chandigarh",
E326="Chennai","Tamil Nadu",
E326="Delhi","Delhi",
E326="Guwahati","Assam",
E326="Hyderabad","Telangana",
E326="Indore","Madhya Pradesh",
E326="Jaipur","Rajasthan",
E326="Kochi","Kerala",
E326="Kolkata","West Bengal",
E326="Lucknow","Uttar Pradesh",
E326="Mumbai","Maharashtra",
E326="Nagpur","Maharashtra",
E326="Patna","Bihar",
E326="Pune","Maharashtra",
E326="Raipur","Chhattisgarh",
E326="Surat","Gujarat",
TRUE,"Not Found"
)</f>
        <v>Madhya Pradesh</v>
      </c>
      <c r="G326" t="s">
        <v>1143</v>
      </c>
      <c r="H326" t="s">
        <v>1167</v>
      </c>
      <c r="I326" t="s">
        <v>1288</v>
      </c>
      <c r="J326" t="s">
        <v>1293</v>
      </c>
      <c r="K326" t="s">
        <v>1294</v>
      </c>
      <c r="L326">
        <v>3</v>
      </c>
      <c r="M326">
        <v>35804</v>
      </c>
      <c r="N326">
        <v>0.05</v>
      </c>
      <c r="O326">
        <v>34013.800000000003</v>
      </c>
      <c r="P326">
        <v>0.12</v>
      </c>
      <c r="Q326">
        <v>102041.4</v>
      </c>
      <c r="R326">
        <v>12244.968000000001</v>
      </c>
      <c r="S326">
        <v>114286.368</v>
      </c>
      <c r="T326">
        <f>ROUND(Table2[[#This Row],[TotalAmount]],0)</f>
        <v>114286</v>
      </c>
      <c r="U326" t="s">
        <v>1360</v>
      </c>
      <c r="V326" t="s">
        <v>1361</v>
      </c>
      <c r="W326" s="4">
        <v>45454</v>
      </c>
      <c r="X326" s="4">
        <v>45457</v>
      </c>
      <c r="Y326" t="b">
        <v>0</v>
      </c>
      <c r="Z326" t="s">
        <v>1412</v>
      </c>
      <c r="AA326" t="s">
        <v>1412</v>
      </c>
      <c r="AB326" t="s">
        <v>1412</v>
      </c>
      <c r="AC326" t="s">
        <v>1398</v>
      </c>
      <c r="AD326" t="s">
        <v>1387</v>
      </c>
      <c r="AE326" t="s">
        <v>1383</v>
      </c>
    </row>
    <row r="327" spans="1:31" x14ac:dyDescent="0.3">
      <c r="A327" t="s">
        <v>479</v>
      </c>
      <c r="B327" s="4">
        <v>45563.560416666667</v>
      </c>
      <c r="C327" t="s">
        <v>119</v>
      </c>
      <c r="D327" t="s">
        <v>1148</v>
      </c>
      <c r="E327" t="s">
        <v>1149</v>
      </c>
      <c r="F327" t="str" cm="1">
        <f t="array" ref="F327">_xlfn.IFS(
E327="Ahmedabad","Gujarat",
E327="Bengaluru","Karnataka",
E327="Bhopal","Madhya Pradesh",
E327="Bhubaneswar","Odisha",
E327="Chandigarh","Chandigarh",
E327="Chennai","Tamil Nadu",
E327="Delhi","Delhi",
E327="Guwahati","Assam",
E327="Hyderabad","Telangana",
E327="Indore","Madhya Pradesh",
E327="Jaipur","Rajasthan",
E327="Kochi","Kerala",
E327="Kolkata","West Bengal",
E327="Lucknow","Uttar Pradesh",
E327="Mumbai","Maharashtra",
E327="Nagpur","Maharashtra",
E327="Patna","Bihar",
E327="Pune","Maharashtra",
E327="Raipur","Chhattisgarh",
E327="Surat","Gujarat",
TRUE,"Not Found"
)</f>
        <v>Uttar Pradesh</v>
      </c>
      <c r="G327" t="s">
        <v>1143</v>
      </c>
      <c r="H327" t="s">
        <v>1144</v>
      </c>
      <c r="I327" t="s">
        <v>1276</v>
      </c>
      <c r="J327" t="s">
        <v>1307</v>
      </c>
      <c r="K327" t="s">
        <v>1308</v>
      </c>
      <c r="L327">
        <v>2</v>
      </c>
      <c r="M327">
        <v>2165</v>
      </c>
      <c r="N327">
        <v>0.1</v>
      </c>
      <c r="O327">
        <v>1948.5</v>
      </c>
      <c r="P327">
        <v>0.12</v>
      </c>
      <c r="Q327">
        <v>3897</v>
      </c>
      <c r="R327">
        <v>467.64</v>
      </c>
      <c r="S327">
        <v>4364.6400000000003</v>
      </c>
      <c r="T327">
        <f>ROUND(Table2[[#This Row],[TotalAmount]],0)</f>
        <v>4365</v>
      </c>
      <c r="U327" t="s">
        <v>1365</v>
      </c>
      <c r="V327" t="s">
        <v>1361</v>
      </c>
      <c r="W327" s="4">
        <v>45565</v>
      </c>
      <c r="X327" s="4">
        <v>45570</v>
      </c>
      <c r="Y327" t="b">
        <v>0</v>
      </c>
      <c r="Z327" t="s">
        <v>1412</v>
      </c>
      <c r="AA327" t="s">
        <v>1412</v>
      </c>
      <c r="AB327" t="s">
        <v>1412</v>
      </c>
      <c r="AC327" t="s">
        <v>1396</v>
      </c>
      <c r="AD327" t="s">
        <v>1394</v>
      </c>
      <c r="AE327" t="s">
        <v>1395</v>
      </c>
    </row>
    <row r="328" spans="1:31" x14ac:dyDescent="0.3">
      <c r="A328" t="s">
        <v>480</v>
      </c>
      <c r="B328" s="4">
        <v>45344.493055555547</v>
      </c>
      <c r="C328" t="s">
        <v>155</v>
      </c>
      <c r="D328" t="s">
        <v>1157</v>
      </c>
      <c r="E328" t="s">
        <v>1158</v>
      </c>
      <c r="F328" t="str" cm="1">
        <f t="array" ref="F328">_xlfn.IFS(
E328="Ahmedabad","Gujarat",
E328="Bengaluru","Karnataka",
E328="Bhopal","Madhya Pradesh",
E328="Bhubaneswar","Odisha",
E328="Chandigarh","Chandigarh",
E328="Chennai","Tamil Nadu",
E328="Delhi","Delhi",
E328="Guwahati","Assam",
E328="Hyderabad","Telangana",
E328="Indore","Madhya Pradesh",
E328="Jaipur","Rajasthan",
E328="Kochi","Kerala",
E328="Kolkata","West Bengal",
E328="Lucknow","Uttar Pradesh",
E328="Mumbai","Maharashtra",
E328="Nagpur","Maharashtra",
E328="Patna","Bihar",
E328="Pune","Maharashtra",
E328="Raipur","Chhattisgarh",
E328="Surat","Gujarat",
TRUE,"Not Found"
)</f>
        <v>Gujarat</v>
      </c>
      <c r="G328" t="s">
        <v>1143</v>
      </c>
      <c r="H328" t="s">
        <v>1163</v>
      </c>
      <c r="I328" t="s">
        <v>1164</v>
      </c>
      <c r="J328" t="s">
        <v>1318</v>
      </c>
      <c r="K328" t="s">
        <v>1319</v>
      </c>
      <c r="L328">
        <v>1</v>
      </c>
      <c r="M328">
        <v>1088</v>
      </c>
      <c r="N328">
        <v>0</v>
      </c>
      <c r="O328">
        <v>1088</v>
      </c>
      <c r="P328">
        <v>0.18</v>
      </c>
      <c r="Q328">
        <v>1088</v>
      </c>
      <c r="R328">
        <v>195.84</v>
      </c>
      <c r="S328">
        <v>1283.8399999999999</v>
      </c>
      <c r="T328">
        <f>ROUND(Table2[[#This Row],[TotalAmount]],0)</f>
        <v>1284</v>
      </c>
      <c r="U328" t="s">
        <v>1360</v>
      </c>
      <c r="V328" t="s">
        <v>1361</v>
      </c>
      <c r="W328" s="4">
        <v>45345</v>
      </c>
      <c r="X328" s="4">
        <v>45346</v>
      </c>
      <c r="Y328" t="b">
        <v>0</v>
      </c>
      <c r="Z328" t="s">
        <v>1412</v>
      </c>
      <c r="AA328" t="s">
        <v>1412</v>
      </c>
      <c r="AB328" t="s">
        <v>1412</v>
      </c>
      <c r="AC328" t="s">
        <v>1379</v>
      </c>
      <c r="AD328" t="s">
        <v>1377</v>
      </c>
      <c r="AE328" t="s">
        <v>1391</v>
      </c>
    </row>
    <row r="329" spans="1:31" x14ac:dyDescent="0.3">
      <c r="A329" t="s">
        <v>481</v>
      </c>
      <c r="B329" s="4">
        <v>45336.43472222222</v>
      </c>
      <c r="C329" t="s">
        <v>288</v>
      </c>
      <c r="D329" t="s">
        <v>1148</v>
      </c>
      <c r="E329" t="s">
        <v>1262</v>
      </c>
      <c r="F329" t="str" cm="1">
        <f t="array" ref="F329">_xlfn.IFS(
E329="Ahmedabad","Gujarat",
E329="Bengaluru","Karnataka",
E329="Bhopal","Madhya Pradesh",
E329="Bhubaneswar","Odisha",
E329="Chandigarh","Chandigarh",
E329="Chennai","Tamil Nadu",
E329="Delhi","Delhi",
E329="Guwahati","Assam",
E329="Hyderabad","Telangana",
E329="Indore","Madhya Pradesh",
E329="Jaipur","Rajasthan",
E329="Kochi","Kerala",
E329="Kolkata","West Bengal",
E329="Lucknow","Uttar Pradesh",
E329="Mumbai","Maharashtra",
E329="Nagpur","Maharashtra",
E329="Patna","Bihar",
E329="Pune","Maharashtra",
E329="Raipur","Chhattisgarh",
E329="Surat","Gujarat",
TRUE,"Not Found"
)</f>
        <v>Rajasthan</v>
      </c>
      <c r="G329" t="s">
        <v>1143</v>
      </c>
      <c r="H329" t="s">
        <v>1172</v>
      </c>
      <c r="I329" t="s">
        <v>1188</v>
      </c>
      <c r="J329" t="s">
        <v>1258</v>
      </c>
      <c r="K329" t="s">
        <v>1259</v>
      </c>
      <c r="L329">
        <v>2</v>
      </c>
      <c r="M329">
        <v>4021</v>
      </c>
      <c r="N329">
        <v>0.2</v>
      </c>
      <c r="O329">
        <v>3216.8</v>
      </c>
      <c r="P329">
        <v>0.18</v>
      </c>
      <c r="Q329">
        <v>6433.6</v>
      </c>
      <c r="R329">
        <v>1158.048</v>
      </c>
      <c r="S329">
        <v>7591.6480000000001</v>
      </c>
      <c r="T329">
        <f>ROUND(Table2[[#This Row],[TotalAmount]],0)</f>
        <v>7592</v>
      </c>
      <c r="U329" t="s">
        <v>1360</v>
      </c>
      <c r="V329" t="s">
        <v>1361</v>
      </c>
      <c r="W329" s="4">
        <v>45337</v>
      </c>
      <c r="X329" s="4">
        <v>45341</v>
      </c>
      <c r="Y329" t="b">
        <v>0</v>
      </c>
      <c r="Z329" t="s">
        <v>1412</v>
      </c>
      <c r="AA329" t="s">
        <v>1412</v>
      </c>
      <c r="AB329" t="s">
        <v>1412</v>
      </c>
      <c r="AC329" t="s">
        <v>1396</v>
      </c>
      <c r="AD329" t="s">
        <v>1385</v>
      </c>
      <c r="AE329" t="s">
        <v>1391</v>
      </c>
    </row>
    <row r="330" spans="1:31" x14ac:dyDescent="0.3">
      <c r="A330" t="s">
        <v>482</v>
      </c>
      <c r="B330" s="4">
        <v>45377.61041666667</v>
      </c>
      <c r="C330" t="s">
        <v>444</v>
      </c>
      <c r="D330" t="s">
        <v>1157</v>
      </c>
      <c r="E330" t="s">
        <v>1158</v>
      </c>
      <c r="F330" t="str" cm="1">
        <f t="array" ref="F330">_xlfn.IFS(
E330="Ahmedabad","Gujarat",
E330="Bengaluru","Karnataka",
E330="Bhopal","Madhya Pradesh",
E330="Bhubaneswar","Odisha",
E330="Chandigarh","Chandigarh",
E330="Chennai","Tamil Nadu",
E330="Delhi","Delhi",
E330="Guwahati","Assam",
E330="Hyderabad","Telangana",
E330="Indore","Madhya Pradesh",
E330="Jaipur","Rajasthan",
E330="Kochi","Kerala",
E330="Kolkata","West Bengal",
E330="Lucknow","Uttar Pradesh",
E330="Mumbai","Maharashtra",
E330="Nagpur","Maharashtra",
E330="Patna","Bihar",
E330="Pune","Maharashtra",
E330="Raipur","Chhattisgarh",
E330="Surat","Gujarat",
TRUE,"Not Found"
)</f>
        <v>Gujarat</v>
      </c>
      <c r="G330" t="s">
        <v>1143</v>
      </c>
      <c r="H330" t="s">
        <v>1163</v>
      </c>
      <c r="I330" t="s">
        <v>1184</v>
      </c>
      <c r="J330" t="s">
        <v>1185</v>
      </c>
      <c r="K330" t="s">
        <v>1186</v>
      </c>
      <c r="L330">
        <v>1</v>
      </c>
      <c r="M330">
        <v>462</v>
      </c>
      <c r="N330">
        <v>0.15</v>
      </c>
      <c r="O330">
        <v>392.7</v>
      </c>
      <c r="P330">
        <v>0.12</v>
      </c>
      <c r="Q330">
        <v>392.7</v>
      </c>
      <c r="R330">
        <v>47.124000000000002</v>
      </c>
      <c r="S330">
        <v>439.82400000000001</v>
      </c>
      <c r="T330">
        <f>ROUND(Table2[[#This Row],[TotalAmount]],0)</f>
        <v>440</v>
      </c>
      <c r="U330" t="s">
        <v>1360</v>
      </c>
      <c r="V330" t="s">
        <v>1361</v>
      </c>
      <c r="W330" s="4">
        <v>45378</v>
      </c>
      <c r="X330" s="4">
        <v>45382</v>
      </c>
      <c r="Y330" t="b">
        <v>0</v>
      </c>
      <c r="Z330" t="s">
        <v>1412</v>
      </c>
      <c r="AA330" t="s">
        <v>1412</v>
      </c>
      <c r="AB330" t="s">
        <v>1412</v>
      </c>
      <c r="AC330" t="s">
        <v>1390</v>
      </c>
      <c r="AD330" t="s">
        <v>1397</v>
      </c>
      <c r="AE330" t="s">
        <v>1380</v>
      </c>
    </row>
    <row r="331" spans="1:31" x14ac:dyDescent="0.3">
      <c r="A331" t="s">
        <v>483</v>
      </c>
      <c r="B331" s="4">
        <v>45345.525000000001</v>
      </c>
      <c r="C331" t="s">
        <v>181</v>
      </c>
      <c r="D331" t="s">
        <v>1153</v>
      </c>
      <c r="E331" t="s">
        <v>1191</v>
      </c>
      <c r="F331" t="str" cm="1">
        <f t="array" ref="F331">_xlfn.IFS(
E331="Ahmedabad","Gujarat",
E331="Bengaluru","Karnataka",
E331="Bhopal","Madhya Pradesh",
E331="Bhubaneswar","Odisha",
E331="Chandigarh","Chandigarh",
E331="Chennai","Tamil Nadu",
E331="Delhi","Delhi",
E331="Guwahati","Assam",
E331="Hyderabad","Telangana",
E331="Indore","Madhya Pradesh",
E331="Jaipur","Rajasthan",
E331="Kochi","Kerala",
E331="Kolkata","West Bengal",
E331="Lucknow","Uttar Pradesh",
E331="Mumbai","Maharashtra",
E331="Nagpur","Maharashtra",
E331="Patna","Bihar",
E331="Pune","Maharashtra",
E331="Raipur","Chhattisgarh",
E331="Surat","Gujarat",
TRUE,"Not Found"
)</f>
        <v>Madhya Pradesh</v>
      </c>
      <c r="G331" t="s">
        <v>1228</v>
      </c>
      <c r="H331" t="s">
        <v>1172</v>
      </c>
      <c r="I331" t="s">
        <v>1204</v>
      </c>
      <c r="J331" t="s">
        <v>1297</v>
      </c>
      <c r="K331" t="s">
        <v>1298</v>
      </c>
      <c r="L331">
        <v>2</v>
      </c>
      <c r="M331">
        <v>1875</v>
      </c>
      <c r="N331">
        <v>0</v>
      </c>
      <c r="O331">
        <v>1875</v>
      </c>
      <c r="P331">
        <v>0.12</v>
      </c>
      <c r="Q331">
        <v>3750</v>
      </c>
      <c r="R331">
        <v>450</v>
      </c>
      <c r="S331">
        <v>4200</v>
      </c>
      <c r="T331">
        <f>ROUND(Table2[[#This Row],[TotalAmount]],0)</f>
        <v>4200</v>
      </c>
      <c r="U331" t="s">
        <v>1362</v>
      </c>
      <c r="V331" t="s">
        <v>1368</v>
      </c>
      <c r="W331" s="4">
        <v>45347</v>
      </c>
      <c r="X331" s="4" t="s">
        <v>1412</v>
      </c>
      <c r="Y331" t="b">
        <v>0</v>
      </c>
      <c r="Z331" t="s">
        <v>1412</v>
      </c>
      <c r="AA331" t="s">
        <v>1412</v>
      </c>
      <c r="AB331" t="s">
        <v>1412</v>
      </c>
      <c r="AC331" t="s">
        <v>1388</v>
      </c>
      <c r="AD331" t="s">
        <v>1399</v>
      </c>
      <c r="AE331" t="s">
        <v>1395</v>
      </c>
    </row>
    <row r="332" spans="1:31" x14ac:dyDescent="0.3">
      <c r="A332" t="s">
        <v>484</v>
      </c>
      <c r="B332" s="4">
        <v>45394.584027777782</v>
      </c>
      <c r="C332" t="s">
        <v>169</v>
      </c>
      <c r="D332" t="s">
        <v>1148</v>
      </c>
      <c r="E332" t="s">
        <v>1149</v>
      </c>
      <c r="F332" t="str" cm="1">
        <f t="array" ref="F332">_xlfn.IFS(
E332="Ahmedabad","Gujarat",
E332="Bengaluru","Karnataka",
E332="Bhopal","Madhya Pradesh",
E332="Bhubaneswar","Odisha",
E332="Chandigarh","Chandigarh",
E332="Chennai","Tamil Nadu",
E332="Delhi","Delhi",
E332="Guwahati","Assam",
E332="Hyderabad","Telangana",
E332="Indore","Madhya Pradesh",
E332="Jaipur","Rajasthan",
E332="Kochi","Kerala",
E332="Kolkata","West Bengal",
E332="Lucknow","Uttar Pradesh",
E332="Mumbai","Maharashtra",
E332="Nagpur","Maharashtra",
E332="Patna","Bihar",
E332="Pune","Maharashtra",
E332="Raipur","Chhattisgarh",
E332="Surat","Gujarat",
TRUE,"Not Found"
)</f>
        <v>Uttar Pradesh</v>
      </c>
      <c r="G332" t="s">
        <v>1143</v>
      </c>
      <c r="H332" t="s">
        <v>1177</v>
      </c>
      <c r="I332" t="s">
        <v>1309</v>
      </c>
      <c r="J332" t="s">
        <v>1328</v>
      </c>
      <c r="K332" t="s">
        <v>1329</v>
      </c>
      <c r="L332">
        <v>1</v>
      </c>
      <c r="M332">
        <v>2084</v>
      </c>
      <c r="N332">
        <v>0.05</v>
      </c>
      <c r="O332">
        <v>1979.8</v>
      </c>
      <c r="P332">
        <v>0.18</v>
      </c>
      <c r="Q332">
        <v>1979.8</v>
      </c>
      <c r="R332">
        <v>356.36399999999998</v>
      </c>
      <c r="S332">
        <v>2336.1640000000002</v>
      </c>
      <c r="T332">
        <f>ROUND(Table2[[#This Row],[TotalAmount]],0)</f>
        <v>2336</v>
      </c>
      <c r="U332" t="s">
        <v>1360</v>
      </c>
      <c r="V332" t="s">
        <v>1361</v>
      </c>
      <c r="W332" s="4">
        <v>45396</v>
      </c>
      <c r="X332" s="4">
        <v>45397</v>
      </c>
      <c r="Y332" t="b">
        <v>0</v>
      </c>
      <c r="Z332" t="s">
        <v>1412</v>
      </c>
      <c r="AA332" t="s">
        <v>1412</v>
      </c>
      <c r="AB332" t="s">
        <v>1412</v>
      </c>
      <c r="AC332" t="s">
        <v>1396</v>
      </c>
      <c r="AD332" t="s">
        <v>1400</v>
      </c>
      <c r="AE332" t="s">
        <v>1391</v>
      </c>
    </row>
    <row r="333" spans="1:31" x14ac:dyDescent="0.3">
      <c r="A333" t="s">
        <v>485</v>
      </c>
      <c r="B333" s="4">
        <v>45545.426388888889</v>
      </c>
      <c r="C333" t="s">
        <v>40</v>
      </c>
      <c r="D333" t="s">
        <v>1141</v>
      </c>
      <c r="E333" t="s">
        <v>1142</v>
      </c>
      <c r="F333" t="str" cm="1">
        <f t="array" ref="F333">_xlfn.IFS(
E333="Ahmedabad","Gujarat",
E333="Bengaluru","Karnataka",
E333="Bhopal","Madhya Pradesh",
E333="Bhubaneswar","Odisha",
E333="Chandigarh","Chandigarh",
E333="Chennai","Tamil Nadu",
E333="Delhi","Delhi",
E333="Guwahati","Assam",
E333="Hyderabad","Telangana",
E333="Indore","Madhya Pradesh",
E333="Jaipur","Rajasthan",
E333="Kochi","Kerala",
E333="Kolkata","West Bengal",
E333="Lucknow","Uttar Pradesh",
E333="Mumbai","Maharashtra",
E333="Nagpur","Maharashtra",
E333="Patna","Bihar",
E333="Pune","Maharashtra",
E333="Raipur","Chhattisgarh",
E333="Surat","Gujarat",
TRUE,"Not Found"
)</f>
        <v>West Bengal</v>
      </c>
      <c r="G333" t="s">
        <v>1228</v>
      </c>
      <c r="H333" t="s">
        <v>1172</v>
      </c>
      <c r="I333" t="s">
        <v>1188</v>
      </c>
      <c r="J333" t="s">
        <v>1258</v>
      </c>
      <c r="K333" t="s">
        <v>1259</v>
      </c>
      <c r="L333">
        <v>1</v>
      </c>
      <c r="M333">
        <v>9719</v>
      </c>
      <c r="N333">
        <v>0.15</v>
      </c>
      <c r="O333">
        <v>8261.15</v>
      </c>
      <c r="P333">
        <v>0.05</v>
      </c>
      <c r="Q333">
        <v>8261.15</v>
      </c>
      <c r="R333">
        <v>413.0575</v>
      </c>
      <c r="S333">
        <v>8674.2075000000004</v>
      </c>
      <c r="T333">
        <f>ROUND(Table2[[#This Row],[TotalAmount]],0)</f>
        <v>8674</v>
      </c>
      <c r="U333" t="s">
        <v>1360</v>
      </c>
      <c r="V333" t="s">
        <v>1361</v>
      </c>
      <c r="W333" s="4">
        <v>45545</v>
      </c>
      <c r="X333" s="4">
        <v>45550</v>
      </c>
      <c r="Y333" t="b">
        <v>0</v>
      </c>
      <c r="Z333" t="s">
        <v>1412</v>
      </c>
      <c r="AA333" t="s">
        <v>1412</v>
      </c>
      <c r="AB333" t="s">
        <v>1412</v>
      </c>
      <c r="AC333" t="s">
        <v>1390</v>
      </c>
      <c r="AD333" t="s">
        <v>1400</v>
      </c>
      <c r="AE333" t="s">
        <v>1393</v>
      </c>
    </row>
    <row r="334" spans="1:31" x14ac:dyDescent="0.3">
      <c r="A334" t="s">
        <v>486</v>
      </c>
      <c r="B334" s="4">
        <v>45768.444444444453</v>
      </c>
      <c r="C334" t="s">
        <v>153</v>
      </c>
      <c r="D334" t="s">
        <v>1141</v>
      </c>
      <c r="E334" t="s">
        <v>1239</v>
      </c>
      <c r="F334" t="str" cm="1">
        <f t="array" ref="F334">_xlfn.IFS(
E334="Ahmedabad","Gujarat",
E334="Bengaluru","Karnataka",
E334="Bhopal","Madhya Pradesh",
E334="Bhubaneswar","Odisha",
E334="Chandigarh","Chandigarh",
E334="Chennai","Tamil Nadu",
E334="Delhi","Delhi",
E334="Guwahati","Assam",
E334="Hyderabad","Telangana",
E334="Indore","Madhya Pradesh",
E334="Jaipur","Rajasthan",
E334="Kochi","Kerala",
E334="Kolkata","West Bengal",
E334="Lucknow","Uttar Pradesh",
E334="Mumbai","Maharashtra",
E334="Nagpur","Maharashtra",
E334="Patna","Bihar",
E334="Pune","Maharashtra",
E334="Raipur","Chhattisgarh",
E334="Surat","Gujarat",
TRUE,"Not Found"
)</f>
        <v>Odisha</v>
      </c>
      <c r="G334" t="s">
        <v>1150</v>
      </c>
      <c r="H334" t="s">
        <v>1167</v>
      </c>
      <c r="I334" t="s">
        <v>1211</v>
      </c>
      <c r="J334" t="s">
        <v>1299</v>
      </c>
      <c r="K334" t="s">
        <v>1300</v>
      </c>
      <c r="L334">
        <v>3</v>
      </c>
      <c r="M334">
        <v>30248</v>
      </c>
      <c r="N334">
        <v>0</v>
      </c>
      <c r="O334">
        <v>30248</v>
      </c>
      <c r="P334">
        <v>0.18</v>
      </c>
      <c r="Q334">
        <v>90744</v>
      </c>
      <c r="R334">
        <v>16333.92</v>
      </c>
      <c r="S334">
        <v>107077.92</v>
      </c>
      <c r="T334">
        <f>ROUND(Table2[[#This Row],[TotalAmount]],0)</f>
        <v>107078</v>
      </c>
      <c r="U334" t="s">
        <v>1365</v>
      </c>
      <c r="V334" t="s">
        <v>1364</v>
      </c>
      <c r="W334" s="4">
        <v>45770</v>
      </c>
      <c r="X334" s="4" t="s">
        <v>1412</v>
      </c>
      <c r="Y334" t="b">
        <v>1</v>
      </c>
      <c r="Z334" s="1">
        <v>45787</v>
      </c>
      <c r="AA334" s="1">
        <v>45787</v>
      </c>
      <c r="AB334" t="s">
        <v>1381</v>
      </c>
      <c r="AC334" t="s">
        <v>1382</v>
      </c>
      <c r="AD334" t="s">
        <v>1400</v>
      </c>
      <c r="AE334" t="s">
        <v>1395</v>
      </c>
    </row>
    <row r="335" spans="1:31" x14ac:dyDescent="0.3">
      <c r="A335" t="s">
        <v>487</v>
      </c>
      <c r="B335" s="4">
        <v>45745.662499999999</v>
      </c>
      <c r="C335" t="s">
        <v>330</v>
      </c>
      <c r="D335" t="s">
        <v>1153</v>
      </c>
      <c r="E335" t="s">
        <v>1162</v>
      </c>
      <c r="F335" t="str" cm="1">
        <f t="array" ref="F335">_xlfn.IFS(
E335="Ahmedabad","Gujarat",
E335="Bengaluru","Karnataka",
E335="Bhopal","Madhya Pradesh",
E335="Bhubaneswar","Odisha",
E335="Chandigarh","Chandigarh",
E335="Chennai","Tamil Nadu",
E335="Delhi","Delhi",
E335="Guwahati","Assam",
E335="Hyderabad","Telangana",
E335="Indore","Madhya Pradesh",
E335="Jaipur","Rajasthan",
E335="Kochi","Kerala",
E335="Kolkata","West Bengal",
E335="Lucknow","Uttar Pradesh",
E335="Mumbai","Maharashtra",
E335="Nagpur","Maharashtra",
E335="Patna","Bihar",
E335="Pune","Maharashtra",
E335="Raipur","Chhattisgarh",
E335="Surat","Gujarat",
TRUE,"Not Found"
)</f>
        <v>Madhya Pradesh</v>
      </c>
      <c r="G335" t="s">
        <v>1150</v>
      </c>
      <c r="H335" t="s">
        <v>1163</v>
      </c>
      <c r="I335" t="s">
        <v>1164</v>
      </c>
      <c r="J335" t="s">
        <v>1165</v>
      </c>
      <c r="K335" t="s">
        <v>1166</v>
      </c>
      <c r="L335">
        <v>1</v>
      </c>
      <c r="M335">
        <v>996</v>
      </c>
      <c r="N335">
        <v>0.15</v>
      </c>
      <c r="O335">
        <v>846.6</v>
      </c>
      <c r="P335">
        <v>0.18</v>
      </c>
      <c r="Q335">
        <v>846.6</v>
      </c>
      <c r="R335">
        <v>152.38800000000001</v>
      </c>
      <c r="S335">
        <v>998.98800000000006</v>
      </c>
      <c r="T335">
        <f>ROUND(Table2[[#This Row],[TotalAmount]],0)</f>
        <v>999</v>
      </c>
      <c r="U335" t="s">
        <v>1363</v>
      </c>
      <c r="V335" t="s">
        <v>1367</v>
      </c>
      <c r="W335" s="4">
        <v>45745</v>
      </c>
      <c r="X335" s="4" t="s">
        <v>1412</v>
      </c>
      <c r="Y335" t="b">
        <v>0</v>
      </c>
      <c r="Z335" t="s">
        <v>1412</v>
      </c>
      <c r="AA335" t="s">
        <v>1412</v>
      </c>
      <c r="AB335" t="s">
        <v>1412</v>
      </c>
      <c r="AC335" t="s">
        <v>1396</v>
      </c>
      <c r="AD335" t="s">
        <v>1387</v>
      </c>
      <c r="AE335" t="s">
        <v>1380</v>
      </c>
    </row>
    <row r="336" spans="1:31" x14ac:dyDescent="0.3">
      <c r="A336" t="s">
        <v>488</v>
      </c>
      <c r="B336" s="4">
        <v>45460.465277777781</v>
      </c>
      <c r="C336" t="s">
        <v>235</v>
      </c>
      <c r="D336" t="s">
        <v>1157</v>
      </c>
      <c r="E336" t="s">
        <v>1158</v>
      </c>
      <c r="F336" t="str" cm="1">
        <f t="array" ref="F336">_xlfn.IFS(
E336="Ahmedabad","Gujarat",
E336="Bengaluru","Karnataka",
E336="Bhopal","Madhya Pradesh",
E336="Bhubaneswar","Odisha",
E336="Chandigarh","Chandigarh",
E336="Chennai","Tamil Nadu",
E336="Delhi","Delhi",
E336="Guwahati","Assam",
E336="Hyderabad","Telangana",
E336="Indore","Madhya Pradesh",
E336="Jaipur","Rajasthan",
E336="Kochi","Kerala",
E336="Kolkata","West Bengal",
E336="Lucknow","Uttar Pradesh",
E336="Mumbai","Maharashtra",
E336="Nagpur","Maharashtra",
E336="Patna","Bihar",
E336="Pune","Maharashtra",
E336="Raipur","Chhattisgarh",
E336="Surat","Gujarat",
TRUE,"Not Found"
)</f>
        <v>Gujarat</v>
      </c>
      <c r="G336" t="s">
        <v>1150</v>
      </c>
      <c r="H336" t="s">
        <v>1177</v>
      </c>
      <c r="I336" t="s">
        <v>1192</v>
      </c>
      <c r="J336" t="s">
        <v>1283</v>
      </c>
      <c r="K336" t="s">
        <v>1284</v>
      </c>
      <c r="L336">
        <v>3</v>
      </c>
      <c r="M336">
        <v>2205</v>
      </c>
      <c r="N336">
        <v>0.05</v>
      </c>
      <c r="O336">
        <v>2094.75</v>
      </c>
      <c r="P336">
        <v>0.12</v>
      </c>
      <c r="Q336">
        <v>6284.25</v>
      </c>
      <c r="R336">
        <v>754.11</v>
      </c>
      <c r="S336">
        <v>7038.36</v>
      </c>
      <c r="T336">
        <f>ROUND(Table2[[#This Row],[TotalAmount]],0)</f>
        <v>7038</v>
      </c>
      <c r="U336" t="s">
        <v>1363</v>
      </c>
      <c r="V336" t="s">
        <v>1367</v>
      </c>
      <c r="W336" s="4">
        <v>45462</v>
      </c>
      <c r="X336" s="4" t="s">
        <v>1412</v>
      </c>
      <c r="Y336" t="b">
        <v>0</v>
      </c>
      <c r="Z336" t="s">
        <v>1412</v>
      </c>
      <c r="AA336" t="s">
        <v>1412</v>
      </c>
      <c r="AB336" t="s">
        <v>1412</v>
      </c>
      <c r="AC336" t="s">
        <v>1388</v>
      </c>
      <c r="AD336" t="s">
        <v>1385</v>
      </c>
      <c r="AE336" t="s">
        <v>1395</v>
      </c>
    </row>
    <row r="337" spans="1:31" x14ac:dyDescent="0.3">
      <c r="A337" t="s">
        <v>489</v>
      </c>
      <c r="B337" s="4">
        <v>45582.53402777778</v>
      </c>
      <c r="C337" t="s">
        <v>83</v>
      </c>
      <c r="D337" t="s">
        <v>1141</v>
      </c>
      <c r="E337" t="s">
        <v>1239</v>
      </c>
      <c r="F337" t="str" cm="1">
        <f t="array" ref="F337">_xlfn.IFS(
E337="Ahmedabad","Gujarat",
E337="Bengaluru","Karnataka",
E337="Bhopal","Madhya Pradesh",
E337="Bhubaneswar","Odisha",
E337="Chandigarh","Chandigarh",
E337="Chennai","Tamil Nadu",
E337="Delhi","Delhi",
E337="Guwahati","Assam",
E337="Hyderabad","Telangana",
E337="Indore","Madhya Pradesh",
E337="Jaipur","Rajasthan",
E337="Kochi","Kerala",
E337="Kolkata","West Bengal",
E337="Lucknow","Uttar Pradesh",
E337="Mumbai","Maharashtra",
E337="Nagpur","Maharashtra",
E337="Patna","Bihar",
E337="Pune","Maharashtra",
E337="Raipur","Chhattisgarh",
E337="Surat","Gujarat",
TRUE,"Not Found"
)</f>
        <v>Odisha</v>
      </c>
      <c r="G337" t="s">
        <v>1228</v>
      </c>
      <c r="H337" t="s">
        <v>1177</v>
      </c>
      <c r="I337" t="s">
        <v>1192</v>
      </c>
      <c r="J337" t="s">
        <v>1193</v>
      </c>
      <c r="K337" t="s">
        <v>1194</v>
      </c>
      <c r="L337">
        <v>1</v>
      </c>
      <c r="M337">
        <v>2144</v>
      </c>
      <c r="N337">
        <v>0</v>
      </c>
      <c r="O337">
        <v>2144</v>
      </c>
      <c r="P337">
        <v>0.12</v>
      </c>
      <c r="Q337">
        <v>2144</v>
      </c>
      <c r="R337">
        <v>257.27999999999997</v>
      </c>
      <c r="S337">
        <v>2401.2800000000002</v>
      </c>
      <c r="T337">
        <f>ROUND(Table2[[#This Row],[TotalAmount]],0)</f>
        <v>2401</v>
      </c>
      <c r="U337" t="s">
        <v>1366</v>
      </c>
      <c r="V337" t="s">
        <v>1361</v>
      </c>
      <c r="W337" s="4">
        <v>45583</v>
      </c>
      <c r="X337" s="4">
        <v>45587</v>
      </c>
      <c r="Y337" t="b">
        <v>0</v>
      </c>
      <c r="Z337" t="s">
        <v>1412</v>
      </c>
      <c r="AA337" t="s">
        <v>1412</v>
      </c>
      <c r="AB337" t="s">
        <v>1412</v>
      </c>
      <c r="AC337" t="s">
        <v>1386</v>
      </c>
      <c r="AD337" t="s">
        <v>1394</v>
      </c>
      <c r="AE337" t="s">
        <v>1391</v>
      </c>
    </row>
    <row r="338" spans="1:31" x14ac:dyDescent="0.3">
      <c r="A338" t="s">
        <v>490</v>
      </c>
      <c r="B338" s="4">
        <v>45509.507638888892</v>
      </c>
      <c r="C338" t="s">
        <v>491</v>
      </c>
      <c r="D338" t="s">
        <v>1148</v>
      </c>
      <c r="E338" t="s">
        <v>1149</v>
      </c>
      <c r="F338" t="str" cm="1">
        <f t="array" ref="F338">_xlfn.IFS(
E338="Ahmedabad","Gujarat",
E338="Bengaluru","Karnataka",
E338="Bhopal","Madhya Pradesh",
E338="Bhubaneswar","Odisha",
E338="Chandigarh","Chandigarh",
E338="Chennai","Tamil Nadu",
E338="Delhi","Delhi",
E338="Guwahati","Assam",
E338="Hyderabad","Telangana",
E338="Indore","Madhya Pradesh",
E338="Jaipur","Rajasthan",
E338="Kochi","Kerala",
E338="Kolkata","West Bengal",
E338="Lucknow","Uttar Pradesh",
E338="Mumbai","Maharashtra",
E338="Nagpur","Maharashtra",
E338="Patna","Bihar",
E338="Pune","Maharashtra",
E338="Raipur","Chhattisgarh",
E338="Surat","Gujarat",
TRUE,"Not Found"
)</f>
        <v>Uttar Pradesh</v>
      </c>
      <c r="G338" t="s">
        <v>1143</v>
      </c>
      <c r="H338" t="s">
        <v>1172</v>
      </c>
      <c r="I338" t="s">
        <v>1188</v>
      </c>
      <c r="J338" t="s">
        <v>1232</v>
      </c>
      <c r="K338" t="s">
        <v>1233</v>
      </c>
      <c r="L338">
        <v>4</v>
      </c>
      <c r="M338">
        <v>2845</v>
      </c>
      <c r="N338">
        <v>0.1</v>
      </c>
      <c r="O338">
        <v>2560.5</v>
      </c>
      <c r="P338">
        <v>0.12</v>
      </c>
      <c r="Q338">
        <v>10242</v>
      </c>
      <c r="R338">
        <v>1229.04</v>
      </c>
      <c r="S338">
        <v>11471.04</v>
      </c>
      <c r="T338">
        <f>ROUND(Table2[[#This Row],[TotalAmount]],0)</f>
        <v>11471</v>
      </c>
      <c r="U338" t="s">
        <v>1360</v>
      </c>
      <c r="V338" t="s">
        <v>1361</v>
      </c>
      <c r="W338" s="4">
        <v>45510</v>
      </c>
      <c r="X338" s="4">
        <v>45511</v>
      </c>
      <c r="Y338" t="b">
        <v>0</v>
      </c>
      <c r="Z338" t="s">
        <v>1412</v>
      </c>
      <c r="AA338" t="s">
        <v>1412</v>
      </c>
      <c r="AB338" t="s">
        <v>1412</v>
      </c>
      <c r="AC338" t="s">
        <v>1384</v>
      </c>
      <c r="AD338" t="s">
        <v>1399</v>
      </c>
      <c r="AE338" t="s">
        <v>1395</v>
      </c>
    </row>
    <row r="339" spans="1:31" x14ac:dyDescent="0.3">
      <c r="A339" t="s">
        <v>492</v>
      </c>
      <c r="B339" s="4">
        <v>45451.625694444447</v>
      </c>
      <c r="C339" t="s">
        <v>98</v>
      </c>
      <c r="D339" t="s">
        <v>1148</v>
      </c>
      <c r="E339" t="s">
        <v>1171</v>
      </c>
      <c r="F339" t="str" cm="1">
        <f t="array" ref="F339">_xlfn.IFS(
E339="Ahmedabad","Gujarat",
E339="Bengaluru","Karnataka",
E339="Bhopal","Madhya Pradesh",
E339="Bhubaneswar","Odisha",
E339="Chandigarh","Chandigarh",
E339="Chennai","Tamil Nadu",
E339="Delhi","Delhi",
E339="Guwahati","Assam",
E339="Hyderabad","Telangana",
E339="Indore","Madhya Pradesh",
E339="Jaipur","Rajasthan",
E339="Kochi","Kerala",
E339="Kolkata","West Bengal",
E339="Lucknow","Uttar Pradesh",
E339="Mumbai","Maharashtra",
E339="Nagpur","Maharashtra",
E339="Patna","Bihar",
E339="Pune","Maharashtra",
E339="Raipur","Chhattisgarh",
E339="Surat","Gujarat",
TRUE,"Not Found"
)</f>
        <v>Chandigarh</v>
      </c>
      <c r="G339" t="s">
        <v>1228</v>
      </c>
      <c r="H339" t="s">
        <v>1177</v>
      </c>
      <c r="I339" t="s">
        <v>1195</v>
      </c>
      <c r="J339" t="s">
        <v>1202</v>
      </c>
      <c r="K339" t="s">
        <v>1203</v>
      </c>
      <c r="L339">
        <v>2</v>
      </c>
      <c r="M339">
        <v>2373</v>
      </c>
      <c r="N339">
        <v>0</v>
      </c>
      <c r="O339">
        <v>2373</v>
      </c>
      <c r="P339">
        <v>0.18</v>
      </c>
      <c r="Q339">
        <v>4746</v>
      </c>
      <c r="R339">
        <v>854.28</v>
      </c>
      <c r="S339">
        <v>5600.28</v>
      </c>
      <c r="T339">
        <f>ROUND(Table2[[#This Row],[TotalAmount]],0)</f>
        <v>5600</v>
      </c>
      <c r="U339" t="s">
        <v>1362</v>
      </c>
      <c r="V339" t="s">
        <v>1361</v>
      </c>
      <c r="W339" s="4">
        <v>45453</v>
      </c>
      <c r="X339" s="4">
        <v>45454</v>
      </c>
      <c r="Y339" t="b">
        <v>0</v>
      </c>
      <c r="Z339" t="s">
        <v>1412</v>
      </c>
      <c r="AA339" t="s">
        <v>1412</v>
      </c>
      <c r="AB339" t="s">
        <v>1412</v>
      </c>
      <c r="AC339" t="s">
        <v>1392</v>
      </c>
      <c r="AD339" t="s">
        <v>1377</v>
      </c>
      <c r="AE339" t="s">
        <v>1378</v>
      </c>
    </row>
    <row r="340" spans="1:31" x14ac:dyDescent="0.3">
      <c r="A340" t="s">
        <v>493</v>
      </c>
      <c r="B340" s="4">
        <v>45489.508333333331</v>
      </c>
      <c r="C340" t="s">
        <v>494</v>
      </c>
      <c r="D340" t="s">
        <v>1153</v>
      </c>
      <c r="E340" t="s">
        <v>1191</v>
      </c>
      <c r="F340" t="str" cm="1">
        <f t="array" ref="F340">_xlfn.IFS(
E340="Ahmedabad","Gujarat",
E340="Bengaluru","Karnataka",
E340="Bhopal","Madhya Pradesh",
E340="Bhubaneswar","Odisha",
E340="Chandigarh","Chandigarh",
E340="Chennai","Tamil Nadu",
E340="Delhi","Delhi",
E340="Guwahati","Assam",
E340="Hyderabad","Telangana",
E340="Indore","Madhya Pradesh",
E340="Jaipur","Rajasthan",
E340="Kochi","Kerala",
E340="Kolkata","West Bengal",
E340="Lucknow","Uttar Pradesh",
E340="Mumbai","Maharashtra",
E340="Nagpur","Maharashtra",
E340="Patna","Bihar",
E340="Pune","Maharashtra",
E340="Raipur","Chhattisgarh",
E340="Surat","Gujarat",
TRUE,"Not Found"
)</f>
        <v>Madhya Pradesh</v>
      </c>
      <c r="G340" t="s">
        <v>1143</v>
      </c>
      <c r="H340" t="s">
        <v>1163</v>
      </c>
      <c r="I340" t="s">
        <v>1266</v>
      </c>
      <c r="J340" t="s">
        <v>1267</v>
      </c>
      <c r="K340" t="s">
        <v>1268</v>
      </c>
      <c r="L340">
        <v>1</v>
      </c>
      <c r="M340">
        <v>495</v>
      </c>
      <c r="N340">
        <v>0.15</v>
      </c>
      <c r="O340">
        <v>420.75</v>
      </c>
      <c r="P340">
        <v>0.12</v>
      </c>
      <c r="Q340">
        <v>420.75</v>
      </c>
      <c r="R340">
        <v>50.489999999999988</v>
      </c>
      <c r="S340">
        <v>471.24</v>
      </c>
      <c r="T340">
        <f>ROUND(Table2[[#This Row],[TotalAmount]],0)</f>
        <v>471</v>
      </c>
      <c r="U340" t="s">
        <v>1360</v>
      </c>
      <c r="V340" t="s">
        <v>1368</v>
      </c>
      <c r="W340" s="4">
        <v>45489</v>
      </c>
      <c r="X340" s="4" t="s">
        <v>1412</v>
      </c>
      <c r="Y340" t="b">
        <v>0</v>
      </c>
      <c r="Z340" t="s">
        <v>1412</v>
      </c>
      <c r="AA340" t="s">
        <v>1412</v>
      </c>
      <c r="AB340" t="s">
        <v>1412</v>
      </c>
      <c r="AC340" t="s">
        <v>1386</v>
      </c>
      <c r="AD340" t="s">
        <v>1377</v>
      </c>
      <c r="AE340" t="s">
        <v>1395</v>
      </c>
    </row>
    <row r="341" spans="1:31" x14ac:dyDescent="0.3">
      <c r="A341" t="s">
        <v>495</v>
      </c>
      <c r="B341" s="4">
        <v>45533.541666666657</v>
      </c>
      <c r="C341" t="s">
        <v>460</v>
      </c>
      <c r="D341" t="s">
        <v>1182</v>
      </c>
      <c r="E341" t="s">
        <v>1256</v>
      </c>
      <c r="F341" t="str" cm="1">
        <f t="array" ref="F341">_xlfn.IFS(
E341="Ahmedabad","Gujarat",
E341="Bengaluru","Karnataka",
E341="Bhopal","Madhya Pradesh",
E341="Bhubaneswar","Odisha",
E341="Chandigarh","Chandigarh",
E341="Chennai","Tamil Nadu",
E341="Delhi","Delhi",
E341="Guwahati","Assam",
E341="Hyderabad","Telangana",
E341="Indore","Madhya Pradesh",
E341="Jaipur","Rajasthan",
E341="Kochi","Kerala",
E341="Kolkata","West Bengal",
E341="Lucknow","Uttar Pradesh",
E341="Mumbai","Maharashtra",
E341="Nagpur","Maharashtra",
E341="Patna","Bihar",
E341="Pune","Maharashtra",
E341="Raipur","Chhattisgarh",
E341="Surat","Gujarat",
TRUE,"Not Found"
)</f>
        <v>Karnataka</v>
      </c>
      <c r="G341" t="s">
        <v>1228</v>
      </c>
      <c r="H341" t="s">
        <v>1177</v>
      </c>
      <c r="I341" t="s">
        <v>1195</v>
      </c>
      <c r="J341" t="s">
        <v>1202</v>
      </c>
      <c r="K341" t="s">
        <v>1203</v>
      </c>
      <c r="L341">
        <v>3</v>
      </c>
      <c r="M341">
        <v>2793</v>
      </c>
      <c r="N341">
        <v>0.05</v>
      </c>
      <c r="O341">
        <v>2653.35</v>
      </c>
      <c r="P341">
        <v>0.05</v>
      </c>
      <c r="Q341">
        <v>7960.0499999999993</v>
      </c>
      <c r="R341">
        <v>398.0025</v>
      </c>
      <c r="S341">
        <v>8358.0524999999998</v>
      </c>
      <c r="T341">
        <f>ROUND(Table2[[#This Row],[TotalAmount]],0)</f>
        <v>8358</v>
      </c>
      <c r="U341" t="s">
        <v>1366</v>
      </c>
      <c r="V341" t="s">
        <v>1367</v>
      </c>
      <c r="W341" s="4">
        <v>45534</v>
      </c>
      <c r="X341" s="4" t="s">
        <v>1412</v>
      </c>
      <c r="Y341" t="b">
        <v>0</v>
      </c>
      <c r="Z341" t="s">
        <v>1412</v>
      </c>
      <c r="AA341" t="s">
        <v>1412</v>
      </c>
      <c r="AB341" t="s">
        <v>1412</v>
      </c>
      <c r="AC341" t="s">
        <v>1392</v>
      </c>
      <c r="AD341" t="s">
        <v>1387</v>
      </c>
      <c r="AE341" t="s">
        <v>1378</v>
      </c>
    </row>
    <row r="342" spans="1:31" x14ac:dyDescent="0.3">
      <c r="A342" t="s">
        <v>496</v>
      </c>
      <c r="B342" s="4">
        <v>45424.460416666669</v>
      </c>
      <c r="C342" t="s">
        <v>227</v>
      </c>
      <c r="D342" t="s">
        <v>1153</v>
      </c>
      <c r="E342" t="s">
        <v>1154</v>
      </c>
      <c r="F342" t="str" cm="1">
        <f t="array" ref="F342">_xlfn.IFS(
E342="Ahmedabad","Gujarat",
E342="Bengaluru","Karnataka",
E342="Bhopal","Madhya Pradesh",
E342="Bhubaneswar","Odisha",
E342="Chandigarh","Chandigarh",
E342="Chennai","Tamil Nadu",
E342="Delhi","Delhi",
E342="Guwahati","Assam",
E342="Hyderabad","Telangana",
E342="Indore","Madhya Pradesh",
E342="Jaipur","Rajasthan",
E342="Kochi","Kerala",
E342="Kolkata","West Bengal",
E342="Lucknow","Uttar Pradesh",
E342="Mumbai","Maharashtra",
E342="Nagpur","Maharashtra",
E342="Patna","Bihar",
E342="Pune","Maharashtra",
E342="Raipur","Chhattisgarh",
E342="Surat","Gujarat",
TRUE,"Not Found"
)</f>
        <v>Maharashtra</v>
      </c>
      <c r="G342" t="s">
        <v>1143</v>
      </c>
      <c r="H342" t="s">
        <v>1144</v>
      </c>
      <c r="I342" t="s">
        <v>1145</v>
      </c>
      <c r="J342" t="s">
        <v>1155</v>
      </c>
      <c r="K342" t="s">
        <v>1156</v>
      </c>
      <c r="L342">
        <v>3</v>
      </c>
      <c r="M342">
        <v>11957</v>
      </c>
      <c r="N342">
        <v>0.1</v>
      </c>
      <c r="O342">
        <v>10761.3</v>
      </c>
      <c r="P342">
        <v>0.12</v>
      </c>
      <c r="Q342">
        <v>32283.9</v>
      </c>
      <c r="R342">
        <v>3874.0680000000002</v>
      </c>
      <c r="S342">
        <v>36157.968000000001</v>
      </c>
      <c r="T342">
        <f>ROUND(Table2[[#This Row],[TotalAmount]],0)</f>
        <v>36158</v>
      </c>
      <c r="U342" t="s">
        <v>1362</v>
      </c>
      <c r="V342" t="s">
        <v>1361</v>
      </c>
      <c r="W342" s="4">
        <v>45424</v>
      </c>
      <c r="X342" s="4">
        <v>45429</v>
      </c>
      <c r="Y342" t="b">
        <v>0</v>
      </c>
      <c r="Z342" t="s">
        <v>1412</v>
      </c>
      <c r="AA342" t="s">
        <v>1412</v>
      </c>
      <c r="AB342" t="s">
        <v>1412</v>
      </c>
      <c r="AC342" t="s">
        <v>1382</v>
      </c>
      <c r="AD342" t="s">
        <v>1385</v>
      </c>
      <c r="AE342" t="s">
        <v>1380</v>
      </c>
    </row>
    <row r="343" spans="1:31" x14ac:dyDescent="0.3">
      <c r="A343" t="s">
        <v>497</v>
      </c>
      <c r="B343" s="4">
        <v>45565.538194444453</v>
      </c>
      <c r="C343" t="s">
        <v>498</v>
      </c>
      <c r="D343" t="s">
        <v>1141</v>
      </c>
      <c r="E343" t="s">
        <v>1285</v>
      </c>
      <c r="F343" t="str" cm="1">
        <f t="array" ref="F343">_xlfn.IFS(
E343="Ahmedabad","Gujarat",
E343="Bengaluru","Karnataka",
E343="Bhopal","Madhya Pradesh",
E343="Bhubaneswar","Odisha",
E343="Chandigarh","Chandigarh",
E343="Chennai","Tamil Nadu",
E343="Delhi","Delhi",
E343="Guwahati","Assam",
E343="Hyderabad","Telangana",
E343="Indore","Madhya Pradesh",
E343="Jaipur","Rajasthan",
E343="Kochi","Kerala",
E343="Kolkata","West Bengal",
E343="Lucknow","Uttar Pradesh",
E343="Mumbai","Maharashtra",
E343="Nagpur","Maharashtra",
E343="Patna","Bihar",
E343="Pune","Maharashtra",
E343="Raipur","Chhattisgarh",
E343="Surat","Gujarat",
TRUE,"Not Found"
)</f>
        <v>Assam</v>
      </c>
      <c r="G343" t="s">
        <v>1143</v>
      </c>
      <c r="H343" t="s">
        <v>1167</v>
      </c>
      <c r="I343" t="s">
        <v>1211</v>
      </c>
      <c r="J343" t="s">
        <v>1279</v>
      </c>
      <c r="K343" t="s">
        <v>1280</v>
      </c>
      <c r="L343">
        <v>1</v>
      </c>
      <c r="M343">
        <v>39411</v>
      </c>
      <c r="N343">
        <v>0.05</v>
      </c>
      <c r="O343">
        <v>37440.449999999997</v>
      </c>
      <c r="P343">
        <v>0.12</v>
      </c>
      <c r="Q343">
        <v>37440.449999999997</v>
      </c>
      <c r="R343">
        <v>4492.8539999999994</v>
      </c>
      <c r="S343">
        <v>41933.303999999996</v>
      </c>
      <c r="T343">
        <f>ROUND(Table2[[#This Row],[TotalAmount]],0)</f>
        <v>41933</v>
      </c>
      <c r="U343" t="s">
        <v>1360</v>
      </c>
      <c r="V343" t="s">
        <v>1361</v>
      </c>
      <c r="W343" s="4">
        <v>45565</v>
      </c>
      <c r="X343" s="4">
        <v>45568</v>
      </c>
      <c r="Y343" t="b">
        <v>0</v>
      </c>
      <c r="Z343" t="s">
        <v>1412</v>
      </c>
      <c r="AA343" t="s">
        <v>1412</v>
      </c>
      <c r="AB343" t="s">
        <v>1412</v>
      </c>
      <c r="AC343" t="s">
        <v>1382</v>
      </c>
      <c r="AD343" t="s">
        <v>1385</v>
      </c>
      <c r="AE343" t="s">
        <v>1380</v>
      </c>
    </row>
    <row r="344" spans="1:31" x14ac:dyDescent="0.3">
      <c r="A344" t="s">
        <v>499</v>
      </c>
      <c r="B344" s="4">
        <v>45297.57708333333</v>
      </c>
      <c r="C344" t="s">
        <v>109</v>
      </c>
      <c r="D344" t="s">
        <v>1157</v>
      </c>
      <c r="E344" t="s">
        <v>1181</v>
      </c>
      <c r="F344" t="str" cm="1">
        <f t="array" ref="F344">_xlfn.IFS(
E344="Ahmedabad","Gujarat",
E344="Bengaluru","Karnataka",
E344="Bhopal","Madhya Pradesh",
E344="Bhubaneswar","Odisha",
E344="Chandigarh","Chandigarh",
E344="Chennai","Tamil Nadu",
E344="Delhi","Delhi",
E344="Guwahati","Assam",
E344="Hyderabad","Telangana",
E344="Indore","Madhya Pradesh",
E344="Jaipur","Rajasthan",
E344="Kochi","Kerala",
E344="Kolkata","West Bengal",
E344="Lucknow","Uttar Pradesh",
E344="Mumbai","Maharashtra",
E344="Nagpur","Maharashtra",
E344="Patna","Bihar",
E344="Pune","Maharashtra",
E344="Raipur","Chhattisgarh",
E344="Surat","Gujarat",
TRUE,"Not Found"
)</f>
        <v>Gujarat</v>
      </c>
      <c r="G344" t="s">
        <v>1150</v>
      </c>
      <c r="H344" t="s">
        <v>1144</v>
      </c>
      <c r="I344" t="s">
        <v>1276</v>
      </c>
      <c r="J344" t="s">
        <v>1277</v>
      </c>
      <c r="K344" t="s">
        <v>1278</v>
      </c>
      <c r="L344">
        <v>3</v>
      </c>
      <c r="M344">
        <v>4470</v>
      </c>
      <c r="N344">
        <v>0</v>
      </c>
      <c r="O344">
        <v>4470</v>
      </c>
      <c r="P344">
        <v>0.18</v>
      </c>
      <c r="Q344">
        <v>13410</v>
      </c>
      <c r="R344">
        <v>2413.8000000000002</v>
      </c>
      <c r="S344">
        <v>15823.8</v>
      </c>
      <c r="T344">
        <f>ROUND(Table2[[#This Row],[TotalAmount]],0)</f>
        <v>15824</v>
      </c>
      <c r="U344" t="s">
        <v>1366</v>
      </c>
      <c r="V344" t="s">
        <v>1361</v>
      </c>
      <c r="W344" s="4">
        <v>45297</v>
      </c>
      <c r="X344" s="4">
        <v>45301</v>
      </c>
      <c r="Y344" t="b">
        <v>0</v>
      </c>
      <c r="Z344" t="s">
        <v>1412</v>
      </c>
      <c r="AA344" t="s">
        <v>1412</v>
      </c>
      <c r="AB344" t="s">
        <v>1412</v>
      </c>
      <c r="AC344" t="s">
        <v>1384</v>
      </c>
      <c r="AD344" t="s">
        <v>1397</v>
      </c>
      <c r="AE344" t="s">
        <v>1389</v>
      </c>
    </row>
    <row r="345" spans="1:31" x14ac:dyDescent="0.3">
      <c r="A345" t="s">
        <v>500</v>
      </c>
      <c r="B345" s="4">
        <v>45303.51458333333</v>
      </c>
      <c r="C345" t="s">
        <v>341</v>
      </c>
      <c r="D345" t="s">
        <v>1141</v>
      </c>
      <c r="E345" t="s">
        <v>1142</v>
      </c>
      <c r="F345" t="str" cm="1">
        <f t="array" ref="F345">_xlfn.IFS(
E345="Ahmedabad","Gujarat",
E345="Bengaluru","Karnataka",
E345="Bhopal","Madhya Pradesh",
E345="Bhubaneswar","Odisha",
E345="Chandigarh","Chandigarh",
E345="Chennai","Tamil Nadu",
E345="Delhi","Delhi",
E345="Guwahati","Assam",
E345="Hyderabad","Telangana",
E345="Indore","Madhya Pradesh",
E345="Jaipur","Rajasthan",
E345="Kochi","Kerala",
E345="Kolkata","West Bengal",
E345="Lucknow","Uttar Pradesh",
E345="Mumbai","Maharashtra",
E345="Nagpur","Maharashtra",
E345="Patna","Bihar",
E345="Pune","Maharashtra",
E345="Raipur","Chhattisgarh",
E345="Surat","Gujarat",
TRUE,"Not Found"
)</f>
        <v>West Bengal</v>
      </c>
      <c r="G345" t="s">
        <v>1228</v>
      </c>
      <c r="H345" t="s">
        <v>1167</v>
      </c>
      <c r="I345" t="s">
        <v>1288</v>
      </c>
      <c r="J345" t="s">
        <v>1336</v>
      </c>
      <c r="K345" t="s">
        <v>1337</v>
      </c>
      <c r="L345">
        <v>1</v>
      </c>
      <c r="M345">
        <v>38826</v>
      </c>
      <c r="N345">
        <v>0</v>
      </c>
      <c r="O345">
        <v>38826</v>
      </c>
      <c r="P345">
        <v>0.05</v>
      </c>
      <c r="Q345">
        <v>38826</v>
      </c>
      <c r="R345">
        <v>1941.3</v>
      </c>
      <c r="S345">
        <v>40767.300000000003</v>
      </c>
      <c r="T345">
        <f>ROUND(Table2[[#This Row],[TotalAmount]],0)</f>
        <v>40767</v>
      </c>
      <c r="U345" t="s">
        <v>1360</v>
      </c>
      <c r="V345" t="s">
        <v>1361</v>
      </c>
      <c r="W345" s="4">
        <v>45305</v>
      </c>
      <c r="X345" s="4">
        <v>45310</v>
      </c>
      <c r="Y345" t="b">
        <v>0</v>
      </c>
      <c r="Z345" t="s">
        <v>1412</v>
      </c>
      <c r="AA345" t="s">
        <v>1412</v>
      </c>
      <c r="AB345" t="s">
        <v>1412</v>
      </c>
      <c r="AC345" t="s">
        <v>1386</v>
      </c>
      <c r="AD345" t="s">
        <v>1394</v>
      </c>
      <c r="AE345" t="s">
        <v>1383</v>
      </c>
    </row>
    <row r="346" spans="1:31" x14ac:dyDescent="0.3">
      <c r="A346" t="s">
        <v>501</v>
      </c>
      <c r="B346" s="4">
        <v>45644.519444444442</v>
      </c>
      <c r="C346" t="s">
        <v>28</v>
      </c>
      <c r="D346" t="s">
        <v>1153</v>
      </c>
      <c r="E346" t="s">
        <v>1162</v>
      </c>
      <c r="F346" t="str" cm="1">
        <f t="array" ref="F346">_xlfn.IFS(
E346="Ahmedabad","Gujarat",
E346="Bengaluru","Karnataka",
E346="Bhopal","Madhya Pradesh",
E346="Bhubaneswar","Odisha",
E346="Chandigarh","Chandigarh",
E346="Chennai","Tamil Nadu",
E346="Delhi","Delhi",
E346="Guwahati","Assam",
E346="Hyderabad","Telangana",
E346="Indore","Madhya Pradesh",
E346="Jaipur","Rajasthan",
E346="Kochi","Kerala",
E346="Kolkata","West Bengal",
E346="Lucknow","Uttar Pradesh",
E346="Mumbai","Maharashtra",
E346="Nagpur","Maharashtra",
E346="Patna","Bihar",
E346="Pune","Maharashtra",
E346="Raipur","Chhattisgarh",
E346="Surat","Gujarat",
TRUE,"Not Found"
)</f>
        <v>Madhya Pradesh</v>
      </c>
      <c r="G346" t="s">
        <v>1143</v>
      </c>
      <c r="H346" t="s">
        <v>1144</v>
      </c>
      <c r="I346" t="s">
        <v>1145</v>
      </c>
      <c r="J346" t="s">
        <v>1155</v>
      </c>
      <c r="K346" t="s">
        <v>1156</v>
      </c>
      <c r="L346">
        <v>2</v>
      </c>
      <c r="M346">
        <v>8485</v>
      </c>
      <c r="N346">
        <v>0.05</v>
      </c>
      <c r="O346">
        <v>8060.75</v>
      </c>
      <c r="P346">
        <v>0.12</v>
      </c>
      <c r="Q346">
        <v>16121.5</v>
      </c>
      <c r="R346">
        <v>1934.58</v>
      </c>
      <c r="S346">
        <v>18056.080000000002</v>
      </c>
      <c r="T346">
        <f>ROUND(Table2[[#This Row],[TotalAmount]],0)</f>
        <v>18056</v>
      </c>
      <c r="U346" t="s">
        <v>1366</v>
      </c>
      <c r="V346" t="s">
        <v>1361</v>
      </c>
      <c r="W346" s="4">
        <v>45645</v>
      </c>
      <c r="X346" s="4">
        <v>45648</v>
      </c>
      <c r="Y346" t="b">
        <v>0</v>
      </c>
      <c r="Z346" t="s">
        <v>1412</v>
      </c>
      <c r="AA346" t="s">
        <v>1412</v>
      </c>
      <c r="AB346" t="s">
        <v>1412</v>
      </c>
      <c r="AC346" t="s">
        <v>1398</v>
      </c>
      <c r="AD346" t="s">
        <v>1377</v>
      </c>
      <c r="AE346" t="s">
        <v>1391</v>
      </c>
    </row>
    <row r="347" spans="1:31" x14ac:dyDescent="0.3">
      <c r="A347" t="s">
        <v>502</v>
      </c>
      <c r="B347" s="4">
        <v>45769.440972222219</v>
      </c>
      <c r="C347" t="s">
        <v>498</v>
      </c>
      <c r="D347" t="s">
        <v>1141</v>
      </c>
      <c r="E347" t="s">
        <v>1285</v>
      </c>
      <c r="F347" t="str" cm="1">
        <f t="array" ref="F347">_xlfn.IFS(
E347="Ahmedabad","Gujarat",
E347="Bengaluru","Karnataka",
E347="Bhopal","Madhya Pradesh",
E347="Bhubaneswar","Odisha",
E347="Chandigarh","Chandigarh",
E347="Chennai","Tamil Nadu",
E347="Delhi","Delhi",
E347="Guwahati","Assam",
E347="Hyderabad","Telangana",
E347="Indore","Madhya Pradesh",
E347="Jaipur","Rajasthan",
E347="Kochi","Kerala",
E347="Kolkata","West Bengal",
E347="Lucknow","Uttar Pradesh",
E347="Mumbai","Maharashtra",
E347="Nagpur","Maharashtra",
E347="Patna","Bihar",
E347="Pune","Maharashtra",
E347="Raipur","Chhattisgarh",
E347="Surat","Gujarat",
TRUE,"Not Found"
)</f>
        <v>Assam</v>
      </c>
      <c r="G347" t="s">
        <v>1143</v>
      </c>
      <c r="H347" t="s">
        <v>1144</v>
      </c>
      <c r="I347" t="s">
        <v>1276</v>
      </c>
      <c r="J347" t="s">
        <v>1286</v>
      </c>
      <c r="K347" t="s">
        <v>1287</v>
      </c>
      <c r="L347">
        <v>1</v>
      </c>
      <c r="M347">
        <v>3293</v>
      </c>
      <c r="N347">
        <v>0</v>
      </c>
      <c r="O347">
        <v>3293</v>
      </c>
      <c r="P347">
        <v>0.18</v>
      </c>
      <c r="Q347">
        <v>3293</v>
      </c>
      <c r="R347">
        <v>592.74</v>
      </c>
      <c r="S347">
        <v>3885.74</v>
      </c>
      <c r="T347">
        <f>ROUND(Table2[[#This Row],[TotalAmount]],0)</f>
        <v>3886</v>
      </c>
      <c r="U347" t="s">
        <v>1360</v>
      </c>
      <c r="V347" t="s">
        <v>1361</v>
      </c>
      <c r="W347" s="4">
        <v>45771</v>
      </c>
      <c r="X347" s="4">
        <v>45773</v>
      </c>
      <c r="Y347" t="b">
        <v>0</v>
      </c>
      <c r="Z347" t="s">
        <v>1412</v>
      </c>
      <c r="AA347" t="s">
        <v>1412</v>
      </c>
      <c r="AB347" t="s">
        <v>1412</v>
      </c>
      <c r="AC347" t="s">
        <v>1388</v>
      </c>
      <c r="AD347" t="s">
        <v>1385</v>
      </c>
      <c r="AE347" t="s">
        <v>1380</v>
      </c>
    </row>
    <row r="348" spans="1:31" x14ac:dyDescent="0.3">
      <c r="A348" t="s">
        <v>503</v>
      </c>
      <c r="B348" s="4">
        <v>45369.554861111108</v>
      </c>
      <c r="C348" t="s">
        <v>65</v>
      </c>
      <c r="D348" t="s">
        <v>1141</v>
      </c>
      <c r="E348" t="s">
        <v>1142</v>
      </c>
      <c r="F348" t="str" cm="1">
        <f t="array" ref="F348">_xlfn.IFS(
E348="Ahmedabad","Gujarat",
E348="Bengaluru","Karnataka",
E348="Bhopal","Madhya Pradesh",
E348="Bhubaneswar","Odisha",
E348="Chandigarh","Chandigarh",
E348="Chennai","Tamil Nadu",
E348="Delhi","Delhi",
E348="Guwahati","Assam",
E348="Hyderabad","Telangana",
E348="Indore","Madhya Pradesh",
E348="Jaipur","Rajasthan",
E348="Kochi","Kerala",
E348="Kolkata","West Bengal",
E348="Lucknow","Uttar Pradesh",
E348="Mumbai","Maharashtra",
E348="Nagpur","Maharashtra",
E348="Patna","Bihar",
E348="Pune","Maharashtra",
E348="Raipur","Chhattisgarh",
E348="Surat","Gujarat",
TRUE,"Not Found"
)</f>
        <v>West Bengal</v>
      </c>
      <c r="G348" t="s">
        <v>1187</v>
      </c>
      <c r="H348" t="s">
        <v>1167</v>
      </c>
      <c r="I348" t="s">
        <v>1168</v>
      </c>
      <c r="J348" t="s">
        <v>1312</v>
      </c>
      <c r="K348" t="s">
        <v>1313</v>
      </c>
      <c r="L348">
        <v>1</v>
      </c>
      <c r="M348">
        <v>56463</v>
      </c>
      <c r="N348">
        <v>0.05</v>
      </c>
      <c r="O348">
        <v>53639.85</v>
      </c>
      <c r="P348">
        <v>0.12</v>
      </c>
      <c r="Q348">
        <v>53639.85</v>
      </c>
      <c r="R348">
        <v>6436.7819999999992</v>
      </c>
      <c r="S348">
        <v>60076.631999999998</v>
      </c>
      <c r="T348">
        <f>ROUND(Table2[[#This Row],[TotalAmount]],0)</f>
        <v>60077</v>
      </c>
      <c r="U348" t="s">
        <v>1360</v>
      </c>
      <c r="V348" t="s">
        <v>1361</v>
      </c>
      <c r="W348" s="4">
        <v>45369</v>
      </c>
      <c r="X348" s="4">
        <v>45370</v>
      </c>
      <c r="Y348" t="b">
        <v>0</v>
      </c>
      <c r="Z348" t="s">
        <v>1412</v>
      </c>
      <c r="AA348" t="s">
        <v>1412</v>
      </c>
      <c r="AB348" t="s">
        <v>1412</v>
      </c>
      <c r="AC348" t="s">
        <v>1396</v>
      </c>
      <c r="AD348" t="s">
        <v>1397</v>
      </c>
      <c r="AE348" t="s">
        <v>1378</v>
      </c>
    </row>
    <row r="349" spans="1:31" x14ac:dyDescent="0.3">
      <c r="A349" t="s">
        <v>504</v>
      </c>
      <c r="B349" s="4">
        <v>45332.462500000001</v>
      </c>
      <c r="C349" t="s">
        <v>505</v>
      </c>
      <c r="D349" t="s">
        <v>1157</v>
      </c>
      <c r="E349" t="s">
        <v>1158</v>
      </c>
      <c r="F349" t="str" cm="1">
        <f t="array" ref="F349">_xlfn.IFS(
E349="Ahmedabad","Gujarat",
E349="Bengaluru","Karnataka",
E349="Bhopal","Madhya Pradesh",
E349="Bhubaneswar","Odisha",
E349="Chandigarh","Chandigarh",
E349="Chennai","Tamil Nadu",
E349="Delhi","Delhi",
E349="Guwahati","Assam",
E349="Hyderabad","Telangana",
E349="Indore","Madhya Pradesh",
E349="Jaipur","Rajasthan",
E349="Kochi","Kerala",
E349="Kolkata","West Bengal",
E349="Lucknow","Uttar Pradesh",
E349="Mumbai","Maharashtra",
E349="Nagpur","Maharashtra",
E349="Patna","Bihar",
E349="Pune","Maharashtra",
E349="Raipur","Chhattisgarh",
E349="Surat","Gujarat",
TRUE,"Not Found"
)</f>
        <v>Gujarat</v>
      </c>
      <c r="G349" t="s">
        <v>1143</v>
      </c>
      <c r="H349" t="s">
        <v>1177</v>
      </c>
      <c r="I349" t="s">
        <v>1309</v>
      </c>
      <c r="J349" t="s">
        <v>1328</v>
      </c>
      <c r="K349" t="s">
        <v>1329</v>
      </c>
      <c r="L349">
        <v>1</v>
      </c>
      <c r="M349">
        <v>746</v>
      </c>
      <c r="N349">
        <v>0.2</v>
      </c>
      <c r="O349">
        <v>596.80000000000007</v>
      </c>
      <c r="P349">
        <v>0.12</v>
      </c>
      <c r="Q349">
        <v>596.80000000000007</v>
      </c>
      <c r="R349">
        <v>71.616</v>
      </c>
      <c r="S349">
        <v>668.41600000000005</v>
      </c>
      <c r="T349">
        <f>ROUND(Table2[[#This Row],[TotalAmount]],0)</f>
        <v>668</v>
      </c>
      <c r="U349" t="s">
        <v>1360</v>
      </c>
      <c r="V349" t="s">
        <v>1368</v>
      </c>
      <c r="W349" s="4">
        <v>45333</v>
      </c>
      <c r="X349" s="4" t="s">
        <v>1412</v>
      </c>
      <c r="Y349" t="b">
        <v>0</v>
      </c>
      <c r="Z349" t="s">
        <v>1412</v>
      </c>
      <c r="AA349" t="s">
        <v>1412</v>
      </c>
      <c r="AB349" t="s">
        <v>1412</v>
      </c>
      <c r="AC349" t="s">
        <v>1396</v>
      </c>
      <c r="AD349" t="s">
        <v>1399</v>
      </c>
      <c r="AE349" t="s">
        <v>1383</v>
      </c>
    </row>
    <row r="350" spans="1:31" x14ac:dyDescent="0.3">
      <c r="A350" t="s">
        <v>506</v>
      </c>
      <c r="B350" s="4">
        <v>45360.507638888892</v>
      </c>
      <c r="C350" t="s">
        <v>117</v>
      </c>
      <c r="D350" t="s">
        <v>1141</v>
      </c>
      <c r="E350" t="s">
        <v>1285</v>
      </c>
      <c r="F350" t="str" cm="1">
        <f t="array" ref="F350">_xlfn.IFS(
E350="Ahmedabad","Gujarat",
E350="Bengaluru","Karnataka",
E350="Bhopal","Madhya Pradesh",
E350="Bhubaneswar","Odisha",
E350="Chandigarh","Chandigarh",
E350="Chennai","Tamil Nadu",
E350="Delhi","Delhi",
E350="Guwahati","Assam",
E350="Hyderabad","Telangana",
E350="Indore","Madhya Pradesh",
E350="Jaipur","Rajasthan",
E350="Kochi","Kerala",
E350="Kolkata","West Bengal",
E350="Lucknow","Uttar Pradesh",
E350="Mumbai","Maharashtra",
E350="Nagpur","Maharashtra",
E350="Patna","Bihar",
E350="Pune","Maharashtra",
E350="Raipur","Chhattisgarh",
E350="Surat","Gujarat",
TRUE,"Not Found"
)</f>
        <v>Assam</v>
      </c>
      <c r="G350" t="s">
        <v>1143</v>
      </c>
      <c r="H350" t="s">
        <v>1172</v>
      </c>
      <c r="I350" t="s">
        <v>1173</v>
      </c>
      <c r="J350" t="s">
        <v>1222</v>
      </c>
      <c r="K350" t="s">
        <v>1223</v>
      </c>
      <c r="L350">
        <v>2</v>
      </c>
      <c r="M350">
        <v>8779</v>
      </c>
      <c r="N350">
        <v>0</v>
      </c>
      <c r="O350">
        <v>8779</v>
      </c>
      <c r="P350">
        <v>0.12</v>
      </c>
      <c r="Q350">
        <v>17558</v>
      </c>
      <c r="R350">
        <v>2106.96</v>
      </c>
      <c r="S350">
        <v>19664.96</v>
      </c>
      <c r="T350">
        <f>ROUND(Table2[[#This Row],[TotalAmount]],0)</f>
        <v>19665</v>
      </c>
      <c r="U350" t="s">
        <v>1366</v>
      </c>
      <c r="V350" t="s">
        <v>1361</v>
      </c>
      <c r="W350" s="4">
        <v>45361</v>
      </c>
      <c r="X350" s="4">
        <v>45362</v>
      </c>
      <c r="Y350" t="b">
        <v>0</v>
      </c>
      <c r="Z350" t="s">
        <v>1412</v>
      </c>
      <c r="AA350" t="s">
        <v>1412</v>
      </c>
      <c r="AB350" t="s">
        <v>1412</v>
      </c>
      <c r="AC350" t="s">
        <v>1386</v>
      </c>
      <c r="AD350" t="s">
        <v>1394</v>
      </c>
      <c r="AE350" t="s">
        <v>1378</v>
      </c>
    </row>
    <row r="351" spans="1:31" x14ac:dyDescent="0.3">
      <c r="A351" t="s">
        <v>507</v>
      </c>
      <c r="B351" s="4">
        <v>45401.526388888888</v>
      </c>
      <c r="C351" t="s">
        <v>313</v>
      </c>
      <c r="D351" t="s">
        <v>1148</v>
      </c>
      <c r="E351" t="s">
        <v>1149</v>
      </c>
      <c r="F351" t="str" cm="1">
        <f t="array" ref="F351">_xlfn.IFS(
E351="Ahmedabad","Gujarat",
E351="Bengaluru","Karnataka",
E351="Bhopal","Madhya Pradesh",
E351="Bhubaneswar","Odisha",
E351="Chandigarh","Chandigarh",
E351="Chennai","Tamil Nadu",
E351="Delhi","Delhi",
E351="Guwahati","Assam",
E351="Hyderabad","Telangana",
E351="Indore","Madhya Pradesh",
E351="Jaipur","Rajasthan",
E351="Kochi","Kerala",
E351="Kolkata","West Bengal",
E351="Lucknow","Uttar Pradesh",
E351="Mumbai","Maharashtra",
E351="Nagpur","Maharashtra",
E351="Patna","Bihar",
E351="Pune","Maharashtra",
E351="Raipur","Chhattisgarh",
E351="Surat","Gujarat",
TRUE,"Not Found"
)</f>
        <v>Uttar Pradesh</v>
      </c>
      <c r="G351" t="s">
        <v>1187</v>
      </c>
      <c r="H351" t="s">
        <v>1177</v>
      </c>
      <c r="I351" t="s">
        <v>1309</v>
      </c>
      <c r="J351" t="s">
        <v>1332</v>
      </c>
      <c r="K351" t="s">
        <v>1333</v>
      </c>
      <c r="L351">
        <v>2</v>
      </c>
      <c r="M351">
        <v>2295</v>
      </c>
      <c r="N351">
        <v>0</v>
      </c>
      <c r="O351">
        <v>2295</v>
      </c>
      <c r="P351">
        <v>0.05</v>
      </c>
      <c r="Q351">
        <v>4590</v>
      </c>
      <c r="R351">
        <v>229.5</v>
      </c>
      <c r="S351">
        <v>4819.5</v>
      </c>
      <c r="T351">
        <f>ROUND(Table2[[#This Row],[TotalAmount]],0)</f>
        <v>4820</v>
      </c>
      <c r="U351" t="s">
        <v>1360</v>
      </c>
      <c r="V351" t="s">
        <v>1361</v>
      </c>
      <c r="W351" s="4">
        <v>45403</v>
      </c>
      <c r="X351" s="4">
        <v>45405</v>
      </c>
      <c r="Y351" t="b">
        <v>0</v>
      </c>
      <c r="Z351" t="s">
        <v>1412</v>
      </c>
      <c r="AA351" t="s">
        <v>1412</v>
      </c>
      <c r="AB351" t="s">
        <v>1412</v>
      </c>
      <c r="AC351" t="s">
        <v>1398</v>
      </c>
      <c r="AD351" t="s">
        <v>1394</v>
      </c>
      <c r="AE351" t="s">
        <v>1391</v>
      </c>
    </row>
    <row r="352" spans="1:31" x14ac:dyDescent="0.3">
      <c r="A352" t="s">
        <v>508</v>
      </c>
      <c r="B352" s="4">
        <v>45444.470833333333</v>
      </c>
      <c r="C352" t="s">
        <v>24</v>
      </c>
      <c r="D352" t="s">
        <v>1153</v>
      </c>
      <c r="E352" t="s">
        <v>1154</v>
      </c>
      <c r="F352" t="str" cm="1">
        <f t="array" ref="F352">_xlfn.IFS(
E352="Ahmedabad","Gujarat",
E352="Bengaluru","Karnataka",
E352="Bhopal","Madhya Pradesh",
E352="Bhubaneswar","Odisha",
E352="Chandigarh","Chandigarh",
E352="Chennai","Tamil Nadu",
E352="Delhi","Delhi",
E352="Guwahati","Assam",
E352="Hyderabad","Telangana",
E352="Indore","Madhya Pradesh",
E352="Jaipur","Rajasthan",
E352="Kochi","Kerala",
E352="Kolkata","West Bengal",
E352="Lucknow","Uttar Pradesh",
E352="Mumbai","Maharashtra",
E352="Nagpur","Maharashtra",
E352="Patna","Bihar",
E352="Pune","Maharashtra",
E352="Raipur","Chhattisgarh",
E352="Surat","Gujarat",
TRUE,"Not Found"
)</f>
        <v>Maharashtra</v>
      </c>
      <c r="G352" t="s">
        <v>1143</v>
      </c>
      <c r="H352" t="s">
        <v>1163</v>
      </c>
      <c r="I352" t="s">
        <v>1224</v>
      </c>
      <c r="J352" t="s">
        <v>1243</v>
      </c>
      <c r="K352" t="s">
        <v>1244</v>
      </c>
      <c r="L352">
        <v>1</v>
      </c>
      <c r="M352">
        <v>134</v>
      </c>
      <c r="N352">
        <v>0</v>
      </c>
      <c r="O352">
        <v>134</v>
      </c>
      <c r="P352">
        <v>0.05</v>
      </c>
      <c r="Q352">
        <v>134</v>
      </c>
      <c r="R352">
        <v>6.7</v>
      </c>
      <c r="S352">
        <v>140.69999999999999</v>
      </c>
      <c r="T352">
        <f>ROUND(Table2[[#This Row],[TotalAmount]],0)</f>
        <v>141</v>
      </c>
      <c r="U352" t="s">
        <v>1360</v>
      </c>
      <c r="V352" t="s">
        <v>1367</v>
      </c>
      <c r="W352" s="4">
        <v>45446</v>
      </c>
      <c r="X352" s="4" t="s">
        <v>1412</v>
      </c>
      <c r="Y352" t="b">
        <v>0</v>
      </c>
      <c r="Z352" t="s">
        <v>1412</v>
      </c>
      <c r="AA352" t="s">
        <v>1412</v>
      </c>
      <c r="AB352" t="s">
        <v>1412</v>
      </c>
      <c r="AC352" t="s">
        <v>1388</v>
      </c>
      <c r="AD352" t="s">
        <v>1397</v>
      </c>
      <c r="AE352" t="s">
        <v>1378</v>
      </c>
    </row>
    <row r="353" spans="1:31" x14ac:dyDescent="0.3">
      <c r="A353" t="s">
        <v>509</v>
      </c>
      <c r="B353" s="4">
        <v>45468.515277777777</v>
      </c>
      <c r="C353" t="s">
        <v>510</v>
      </c>
      <c r="D353" t="s">
        <v>1153</v>
      </c>
      <c r="E353" t="s">
        <v>1191</v>
      </c>
      <c r="F353" t="str" cm="1">
        <f t="array" ref="F353">_xlfn.IFS(
E353="Ahmedabad","Gujarat",
E353="Bengaluru","Karnataka",
E353="Bhopal","Madhya Pradesh",
E353="Bhubaneswar","Odisha",
E353="Chandigarh","Chandigarh",
E353="Chennai","Tamil Nadu",
E353="Delhi","Delhi",
E353="Guwahati","Assam",
E353="Hyderabad","Telangana",
E353="Indore","Madhya Pradesh",
E353="Jaipur","Rajasthan",
E353="Kochi","Kerala",
E353="Kolkata","West Bengal",
E353="Lucknow","Uttar Pradesh",
E353="Mumbai","Maharashtra",
E353="Nagpur","Maharashtra",
E353="Patna","Bihar",
E353="Pune","Maharashtra",
E353="Raipur","Chhattisgarh",
E353="Surat","Gujarat",
TRUE,"Not Found"
)</f>
        <v>Madhya Pradesh</v>
      </c>
      <c r="G353" t="s">
        <v>1143</v>
      </c>
      <c r="H353" t="s">
        <v>1144</v>
      </c>
      <c r="I353" t="s">
        <v>1214</v>
      </c>
      <c r="J353" t="s">
        <v>1252</v>
      </c>
      <c r="K353" t="s">
        <v>1253</v>
      </c>
      <c r="L353">
        <v>2</v>
      </c>
      <c r="M353">
        <v>12674</v>
      </c>
      <c r="N353">
        <v>0.15</v>
      </c>
      <c r="O353">
        <v>10772.9</v>
      </c>
      <c r="P353">
        <v>0.12</v>
      </c>
      <c r="Q353">
        <v>21545.8</v>
      </c>
      <c r="R353">
        <v>2585.4960000000001</v>
      </c>
      <c r="S353">
        <v>24131.295999999998</v>
      </c>
      <c r="T353">
        <f>ROUND(Table2[[#This Row],[TotalAmount]],0)</f>
        <v>24131</v>
      </c>
      <c r="U353" t="s">
        <v>1360</v>
      </c>
      <c r="V353" t="s">
        <v>1361</v>
      </c>
      <c r="W353" s="4">
        <v>45468</v>
      </c>
      <c r="X353" s="4">
        <v>45469</v>
      </c>
      <c r="Y353" t="b">
        <v>0</v>
      </c>
      <c r="Z353" t="s">
        <v>1412</v>
      </c>
      <c r="AA353" t="s">
        <v>1412</v>
      </c>
      <c r="AB353" t="s">
        <v>1412</v>
      </c>
      <c r="AC353" t="s">
        <v>1384</v>
      </c>
      <c r="AD353" t="s">
        <v>1400</v>
      </c>
      <c r="AE353" t="s">
        <v>1393</v>
      </c>
    </row>
    <row r="354" spans="1:31" x14ac:dyDescent="0.3">
      <c r="A354" t="s">
        <v>511</v>
      </c>
      <c r="B354" s="4">
        <v>45609.590277777781</v>
      </c>
      <c r="C354" t="s">
        <v>141</v>
      </c>
      <c r="D354" t="s">
        <v>1141</v>
      </c>
      <c r="E354" t="s">
        <v>1227</v>
      </c>
      <c r="F354" t="str" cm="1">
        <f t="array" ref="F354">_xlfn.IFS(
E354="Ahmedabad","Gujarat",
E354="Bengaluru","Karnataka",
E354="Bhopal","Madhya Pradesh",
E354="Bhubaneswar","Odisha",
E354="Chandigarh","Chandigarh",
E354="Chennai","Tamil Nadu",
E354="Delhi","Delhi",
E354="Guwahati","Assam",
E354="Hyderabad","Telangana",
E354="Indore","Madhya Pradesh",
E354="Jaipur","Rajasthan",
E354="Kochi","Kerala",
E354="Kolkata","West Bengal",
E354="Lucknow","Uttar Pradesh",
E354="Mumbai","Maharashtra",
E354="Nagpur","Maharashtra",
E354="Patna","Bihar",
E354="Pune","Maharashtra",
E354="Raipur","Chhattisgarh",
E354="Surat","Gujarat",
TRUE,"Not Found"
)</f>
        <v>Bihar</v>
      </c>
      <c r="G354" t="s">
        <v>1187</v>
      </c>
      <c r="H354" t="s">
        <v>1163</v>
      </c>
      <c r="I354" t="s">
        <v>1240</v>
      </c>
      <c r="J354" t="s">
        <v>1241</v>
      </c>
      <c r="K354" t="s">
        <v>1242</v>
      </c>
      <c r="L354">
        <v>2</v>
      </c>
      <c r="M354">
        <v>644</v>
      </c>
      <c r="N354">
        <v>0</v>
      </c>
      <c r="O354">
        <v>644</v>
      </c>
      <c r="P354">
        <v>0.12</v>
      </c>
      <c r="Q354">
        <v>1288</v>
      </c>
      <c r="R354">
        <v>154.56</v>
      </c>
      <c r="S354">
        <v>1442.56</v>
      </c>
      <c r="T354">
        <f>ROUND(Table2[[#This Row],[TotalAmount]],0)</f>
        <v>1443</v>
      </c>
      <c r="U354" t="s">
        <v>1360</v>
      </c>
      <c r="V354" t="s">
        <v>1361</v>
      </c>
      <c r="W354" s="4">
        <v>45610</v>
      </c>
      <c r="X354" s="4">
        <v>45614</v>
      </c>
      <c r="Y354" t="b">
        <v>0</v>
      </c>
      <c r="Z354" t="s">
        <v>1412</v>
      </c>
      <c r="AA354" t="s">
        <v>1412</v>
      </c>
      <c r="AB354" t="s">
        <v>1412</v>
      </c>
      <c r="AC354" t="s">
        <v>1384</v>
      </c>
      <c r="AD354" t="s">
        <v>1387</v>
      </c>
      <c r="AE354" t="s">
        <v>1378</v>
      </c>
    </row>
    <row r="355" spans="1:31" x14ac:dyDescent="0.3">
      <c r="A355" t="s">
        <v>512</v>
      </c>
      <c r="B355" s="4">
        <v>45305.607638888891</v>
      </c>
      <c r="C355" t="s">
        <v>18</v>
      </c>
      <c r="D355" t="s">
        <v>1153</v>
      </c>
      <c r="E355" t="s">
        <v>1176</v>
      </c>
      <c r="F355" t="str" cm="1">
        <f t="array" ref="F355">_xlfn.IFS(
E355="Ahmedabad","Gujarat",
E355="Bengaluru","Karnataka",
E355="Bhopal","Madhya Pradesh",
E355="Bhubaneswar","Odisha",
E355="Chandigarh","Chandigarh",
E355="Chennai","Tamil Nadu",
E355="Delhi","Delhi",
E355="Guwahati","Assam",
E355="Hyderabad","Telangana",
E355="Indore","Madhya Pradesh",
E355="Jaipur","Rajasthan",
E355="Kochi","Kerala",
E355="Kolkata","West Bengal",
E355="Lucknow","Uttar Pradesh",
E355="Mumbai","Maharashtra",
E355="Nagpur","Maharashtra",
E355="Patna","Bihar",
E355="Pune","Maharashtra",
E355="Raipur","Chhattisgarh",
E355="Surat","Gujarat",
TRUE,"Not Found"
)</f>
        <v>Chhattisgarh</v>
      </c>
      <c r="G355" t="s">
        <v>1150</v>
      </c>
      <c r="H355" t="s">
        <v>1144</v>
      </c>
      <c r="I355" t="s">
        <v>1269</v>
      </c>
      <c r="J355" t="s">
        <v>1326</v>
      </c>
      <c r="K355" t="s">
        <v>1327</v>
      </c>
      <c r="L355">
        <v>2</v>
      </c>
      <c r="M355">
        <v>14538</v>
      </c>
      <c r="N355">
        <v>0.15</v>
      </c>
      <c r="O355">
        <v>12357.3</v>
      </c>
      <c r="P355">
        <v>0.05</v>
      </c>
      <c r="Q355">
        <v>24714.6</v>
      </c>
      <c r="R355">
        <v>1235.73</v>
      </c>
      <c r="S355">
        <v>25950.33</v>
      </c>
      <c r="T355">
        <f>ROUND(Table2[[#This Row],[TotalAmount]],0)</f>
        <v>25950</v>
      </c>
      <c r="U355" t="s">
        <v>1360</v>
      </c>
      <c r="V355" t="s">
        <v>1361</v>
      </c>
      <c r="W355" s="4">
        <v>45306</v>
      </c>
      <c r="X355" s="4">
        <v>45309</v>
      </c>
      <c r="Y355" t="b">
        <v>0</v>
      </c>
      <c r="Z355" t="s">
        <v>1412</v>
      </c>
      <c r="AA355" t="s">
        <v>1412</v>
      </c>
      <c r="AB355" t="s">
        <v>1412</v>
      </c>
      <c r="AC355" t="s">
        <v>1388</v>
      </c>
      <c r="AD355" t="s">
        <v>1400</v>
      </c>
      <c r="AE355" t="s">
        <v>1380</v>
      </c>
    </row>
    <row r="356" spans="1:31" x14ac:dyDescent="0.3">
      <c r="A356" t="s">
        <v>513</v>
      </c>
      <c r="B356" s="4">
        <v>45303.472222222219</v>
      </c>
      <c r="C356" t="s">
        <v>366</v>
      </c>
      <c r="D356" t="s">
        <v>1157</v>
      </c>
      <c r="E356" t="s">
        <v>1249</v>
      </c>
      <c r="F356" t="str" cm="1">
        <f t="array" ref="F356">_xlfn.IFS(
E356="Ahmedabad","Gujarat",
E356="Bengaluru","Karnataka",
E356="Bhopal","Madhya Pradesh",
E356="Bhubaneswar","Odisha",
E356="Chandigarh","Chandigarh",
E356="Chennai","Tamil Nadu",
E356="Delhi","Delhi",
E356="Guwahati","Assam",
E356="Hyderabad","Telangana",
E356="Indore","Madhya Pradesh",
E356="Jaipur","Rajasthan",
E356="Kochi","Kerala",
E356="Kolkata","West Bengal",
E356="Lucknow","Uttar Pradesh",
E356="Mumbai","Maharashtra",
E356="Nagpur","Maharashtra",
E356="Patna","Bihar",
E356="Pune","Maharashtra",
E356="Raipur","Chhattisgarh",
E356="Surat","Gujarat",
TRUE,"Not Found"
)</f>
        <v>Maharashtra</v>
      </c>
      <c r="G356" t="s">
        <v>1143</v>
      </c>
      <c r="H356" t="s">
        <v>1167</v>
      </c>
      <c r="I356" t="s">
        <v>1208</v>
      </c>
      <c r="J356" t="s">
        <v>1291</v>
      </c>
      <c r="K356" t="s">
        <v>1292</v>
      </c>
      <c r="L356">
        <v>1</v>
      </c>
      <c r="M356">
        <v>6140</v>
      </c>
      <c r="N356">
        <v>0.15</v>
      </c>
      <c r="O356">
        <v>5219</v>
      </c>
      <c r="P356">
        <v>0.12</v>
      </c>
      <c r="Q356">
        <v>5219</v>
      </c>
      <c r="R356">
        <v>626.28</v>
      </c>
      <c r="S356">
        <v>5845.28</v>
      </c>
      <c r="T356">
        <f>ROUND(Table2[[#This Row],[TotalAmount]],0)</f>
        <v>5845</v>
      </c>
      <c r="U356" t="s">
        <v>1360</v>
      </c>
      <c r="V356" t="s">
        <v>1367</v>
      </c>
      <c r="W356" s="4">
        <v>45304</v>
      </c>
      <c r="X356" s="4" t="s">
        <v>1412</v>
      </c>
      <c r="Y356" t="b">
        <v>0</v>
      </c>
      <c r="Z356" t="s">
        <v>1412</v>
      </c>
      <c r="AA356" t="s">
        <v>1412</v>
      </c>
      <c r="AB356" t="s">
        <v>1412</v>
      </c>
      <c r="AC356" t="s">
        <v>1390</v>
      </c>
      <c r="AD356" t="s">
        <v>1400</v>
      </c>
      <c r="AE356" t="s">
        <v>1389</v>
      </c>
    </row>
    <row r="357" spans="1:31" x14ac:dyDescent="0.3">
      <c r="A357" t="s">
        <v>514</v>
      </c>
      <c r="B357" s="4">
        <v>45709.534722222219</v>
      </c>
      <c r="C357" t="s">
        <v>109</v>
      </c>
      <c r="D357" t="s">
        <v>1157</v>
      </c>
      <c r="E357" t="s">
        <v>1181</v>
      </c>
      <c r="F357" t="str" cm="1">
        <f t="array" ref="F357">_xlfn.IFS(
E357="Ahmedabad","Gujarat",
E357="Bengaluru","Karnataka",
E357="Bhopal","Madhya Pradesh",
E357="Bhubaneswar","Odisha",
E357="Chandigarh","Chandigarh",
E357="Chennai","Tamil Nadu",
E357="Delhi","Delhi",
E357="Guwahati","Assam",
E357="Hyderabad","Telangana",
E357="Indore","Madhya Pradesh",
E357="Jaipur","Rajasthan",
E357="Kochi","Kerala",
E357="Kolkata","West Bengal",
E357="Lucknow","Uttar Pradesh",
E357="Mumbai","Maharashtra",
E357="Nagpur","Maharashtra",
E357="Patna","Bihar",
E357="Pune","Maharashtra",
E357="Raipur","Chhattisgarh",
E357="Surat","Gujarat",
TRUE,"Not Found"
)</f>
        <v>Gujarat</v>
      </c>
      <c r="G357" t="s">
        <v>1150</v>
      </c>
      <c r="H357" t="s">
        <v>1163</v>
      </c>
      <c r="I357" t="s">
        <v>1184</v>
      </c>
      <c r="J357" t="s">
        <v>1245</v>
      </c>
      <c r="K357" t="s">
        <v>1246</v>
      </c>
      <c r="L357">
        <v>3</v>
      </c>
      <c r="M357">
        <v>738</v>
      </c>
      <c r="N357">
        <v>0.1</v>
      </c>
      <c r="O357">
        <v>664.2</v>
      </c>
      <c r="P357">
        <v>0.12</v>
      </c>
      <c r="Q357">
        <v>1992.6</v>
      </c>
      <c r="R357">
        <v>239.11199999999999</v>
      </c>
      <c r="S357">
        <v>2231.712</v>
      </c>
      <c r="T357">
        <f>ROUND(Table2[[#This Row],[TotalAmount]],0)</f>
        <v>2232</v>
      </c>
      <c r="U357" t="s">
        <v>1360</v>
      </c>
      <c r="V357" t="s">
        <v>1361</v>
      </c>
      <c r="W357" s="4">
        <v>45711</v>
      </c>
      <c r="X357" s="4">
        <v>45714</v>
      </c>
      <c r="Y357" t="b">
        <v>0</v>
      </c>
      <c r="Z357" t="s">
        <v>1412</v>
      </c>
      <c r="AA357" t="s">
        <v>1412</v>
      </c>
      <c r="AB357" t="s">
        <v>1412</v>
      </c>
      <c r="AC357" t="s">
        <v>1386</v>
      </c>
      <c r="AD357" t="s">
        <v>1385</v>
      </c>
      <c r="AE357" t="s">
        <v>1389</v>
      </c>
    </row>
    <row r="358" spans="1:31" x14ac:dyDescent="0.3">
      <c r="A358" t="s">
        <v>515</v>
      </c>
      <c r="B358" s="4">
        <v>45682.632638888892</v>
      </c>
      <c r="C358" t="s">
        <v>346</v>
      </c>
      <c r="D358" t="s">
        <v>1153</v>
      </c>
      <c r="E358" t="s">
        <v>1162</v>
      </c>
      <c r="F358" t="str" cm="1">
        <f t="array" ref="F358">_xlfn.IFS(
E358="Ahmedabad","Gujarat",
E358="Bengaluru","Karnataka",
E358="Bhopal","Madhya Pradesh",
E358="Bhubaneswar","Odisha",
E358="Chandigarh","Chandigarh",
E358="Chennai","Tamil Nadu",
E358="Delhi","Delhi",
E358="Guwahati","Assam",
E358="Hyderabad","Telangana",
E358="Indore","Madhya Pradesh",
E358="Jaipur","Rajasthan",
E358="Kochi","Kerala",
E358="Kolkata","West Bengal",
E358="Lucknow","Uttar Pradesh",
E358="Mumbai","Maharashtra",
E358="Nagpur","Maharashtra",
E358="Patna","Bihar",
E358="Pune","Maharashtra",
E358="Raipur","Chhattisgarh",
E358="Surat","Gujarat",
TRUE,"Not Found"
)</f>
        <v>Madhya Pradesh</v>
      </c>
      <c r="G358" t="s">
        <v>1143</v>
      </c>
      <c r="H358" t="s">
        <v>1163</v>
      </c>
      <c r="I358" t="s">
        <v>1164</v>
      </c>
      <c r="J358" t="s">
        <v>1324</v>
      </c>
      <c r="K358" t="s">
        <v>1325</v>
      </c>
      <c r="L358">
        <v>1</v>
      </c>
      <c r="M358">
        <v>834</v>
      </c>
      <c r="N358">
        <v>0.1</v>
      </c>
      <c r="O358">
        <v>750.6</v>
      </c>
      <c r="P358">
        <v>0.18</v>
      </c>
      <c r="Q358">
        <v>750.6</v>
      </c>
      <c r="R358">
        <v>135.108</v>
      </c>
      <c r="S358">
        <v>885.70800000000008</v>
      </c>
      <c r="T358">
        <f>ROUND(Table2[[#This Row],[TotalAmount]],0)</f>
        <v>886</v>
      </c>
      <c r="U358" t="s">
        <v>1360</v>
      </c>
      <c r="V358" t="s">
        <v>1369</v>
      </c>
      <c r="W358" s="4" t="s">
        <v>1412</v>
      </c>
      <c r="X358" s="4" t="s">
        <v>1412</v>
      </c>
      <c r="Y358" t="b">
        <v>0</v>
      </c>
      <c r="Z358" t="s">
        <v>1412</v>
      </c>
      <c r="AA358" t="s">
        <v>1412</v>
      </c>
      <c r="AB358" t="s">
        <v>1412</v>
      </c>
      <c r="AC358" t="s">
        <v>1392</v>
      </c>
      <c r="AD358" t="s">
        <v>1394</v>
      </c>
      <c r="AE358" t="s">
        <v>1391</v>
      </c>
    </row>
    <row r="359" spans="1:31" x14ac:dyDescent="0.3">
      <c r="A359" t="s">
        <v>516</v>
      </c>
      <c r="B359" s="4">
        <v>45434.442361111112</v>
      </c>
      <c r="C359" t="s">
        <v>264</v>
      </c>
      <c r="D359" t="s">
        <v>1153</v>
      </c>
      <c r="E359" t="s">
        <v>1162</v>
      </c>
      <c r="F359" t="str" cm="1">
        <f t="array" ref="F359">_xlfn.IFS(
E359="Ahmedabad","Gujarat",
E359="Bengaluru","Karnataka",
E359="Bhopal","Madhya Pradesh",
E359="Bhubaneswar","Odisha",
E359="Chandigarh","Chandigarh",
E359="Chennai","Tamil Nadu",
E359="Delhi","Delhi",
E359="Guwahati","Assam",
E359="Hyderabad","Telangana",
E359="Indore","Madhya Pradesh",
E359="Jaipur","Rajasthan",
E359="Kochi","Kerala",
E359="Kolkata","West Bengal",
E359="Lucknow","Uttar Pradesh",
E359="Mumbai","Maharashtra",
E359="Nagpur","Maharashtra",
E359="Patna","Bihar",
E359="Pune","Maharashtra",
E359="Raipur","Chhattisgarh",
E359="Surat","Gujarat",
TRUE,"Not Found"
)</f>
        <v>Madhya Pradesh</v>
      </c>
      <c r="G359" t="s">
        <v>1187</v>
      </c>
      <c r="H359" t="s">
        <v>1144</v>
      </c>
      <c r="I359" t="s">
        <v>1159</v>
      </c>
      <c r="J359" t="s">
        <v>1160</v>
      </c>
      <c r="K359" t="s">
        <v>1161</v>
      </c>
      <c r="L359">
        <v>1</v>
      </c>
      <c r="M359">
        <v>11969</v>
      </c>
      <c r="N359">
        <v>0</v>
      </c>
      <c r="O359">
        <v>11969</v>
      </c>
      <c r="P359">
        <v>0.12</v>
      </c>
      <c r="Q359">
        <v>11969</v>
      </c>
      <c r="R359">
        <v>1436.28</v>
      </c>
      <c r="S359">
        <v>13405.28</v>
      </c>
      <c r="T359">
        <f>ROUND(Table2[[#This Row],[TotalAmount]],0)</f>
        <v>13405</v>
      </c>
      <c r="U359" t="s">
        <v>1366</v>
      </c>
      <c r="V359" t="s">
        <v>1361</v>
      </c>
      <c r="W359" s="4">
        <v>45435</v>
      </c>
      <c r="X359" s="4">
        <v>45439</v>
      </c>
      <c r="Y359" t="b">
        <v>0</v>
      </c>
      <c r="Z359" t="s">
        <v>1412</v>
      </c>
      <c r="AA359" t="s">
        <v>1412</v>
      </c>
      <c r="AB359" t="s">
        <v>1412</v>
      </c>
      <c r="AC359" t="s">
        <v>1388</v>
      </c>
      <c r="AD359" t="s">
        <v>1400</v>
      </c>
      <c r="AE359" t="s">
        <v>1383</v>
      </c>
    </row>
    <row r="360" spans="1:31" x14ac:dyDescent="0.3">
      <c r="A360" t="s">
        <v>517</v>
      </c>
      <c r="B360" s="4">
        <v>45536.626388888893</v>
      </c>
      <c r="C360" t="s">
        <v>36</v>
      </c>
      <c r="D360" t="s">
        <v>1182</v>
      </c>
      <c r="E360" t="s">
        <v>1207</v>
      </c>
      <c r="F360" t="str" cm="1">
        <f t="array" ref="F360">_xlfn.IFS(
E360="Ahmedabad","Gujarat",
E360="Bengaluru","Karnataka",
E360="Bhopal","Madhya Pradesh",
E360="Bhubaneswar","Odisha",
E360="Chandigarh","Chandigarh",
E360="Chennai","Tamil Nadu",
E360="Delhi","Delhi",
E360="Guwahati","Assam",
E360="Hyderabad","Telangana",
E360="Indore","Madhya Pradesh",
E360="Jaipur","Rajasthan",
E360="Kochi","Kerala",
E360="Kolkata","West Bengal",
E360="Lucknow","Uttar Pradesh",
E360="Mumbai","Maharashtra",
E360="Nagpur","Maharashtra",
E360="Patna","Bihar",
E360="Pune","Maharashtra",
E360="Raipur","Chhattisgarh",
E360="Surat","Gujarat",
TRUE,"Not Found"
)</f>
        <v>Tamil Nadu</v>
      </c>
      <c r="G360" t="s">
        <v>1150</v>
      </c>
      <c r="H360" t="s">
        <v>1167</v>
      </c>
      <c r="I360" t="s">
        <v>1168</v>
      </c>
      <c r="J360" t="s">
        <v>1312</v>
      </c>
      <c r="K360" t="s">
        <v>1313</v>
      </c>
      <c r="L360">
        <v>1</v>
      </c>
      <c r="M360">
        <v>56037</v>
      </c>
      <c r="N360">
        <v>0.1</v>
      </c>
      <c r="O360">
        <v>50433.3</v>
      </c>
      <c r="P360">
        <v>0.12</v>
      </c>
      <c r="Q360">
        <v>50433.3</v>
      </c>
      <c r="R360">
        <v>6051.9960000000001</v>
      </c>
      <c r="S360">
        <v>56485.296000000002</v>
      </c>
      <c r="T360">
        <f>ROUND(Table2[[#This Row],[TotalAmount]],0)</f>
        <v>56485</v>
      </c>
      <c r="U360" t="s">
        <v>1362</v>
      </c>
      <c r="V360" t="s">
        <v>1361</v>
      </c>
      <c r="W360" s="4">
        <v>45537</v>
      </c>
      <c r="X360" s="4">
        <v>45540</v>
      </c>
      <c r="Y360" t="b">
        <v>0</v>
      </c>
      <c r="Z360" t="s">
        <v>1412</v>
      </c>
      <c r="AA360" t="s">
        <v>1412</v>
      </c>
      <c r="AB360" t="s">
        <v>1412</v>
      </c>
      <c r="AC360" t="s">
        <v>1398</v>
      </c>
      <c r="AD360" t="s">
        <v>1399</v>
      </c>
      <c r="AE360" t="s">
        <v>1378</v>
      </c>
    </row>
    <row r="361" spans="1:31" x14ac:dyDescent="0.3">
      <c r="A361" t="s">
        <v>518</v>
      </c>
      <c r="B361" s="4">
        <v>45740.460416666669</v>
      </c>
      <c r="C361" t="s">
        <v>519</v>
      </c>
      <c r="D361" t="s">
        <v>1182</v>
      </c>
      <c r="E361" t="s">
        <v>1257</v>
      </c>
      <c r="F361" t="str" cm="1">
        <f t="array" ref="F361">_xlfn.IFS(
E361="Ahmedabad","Gujarat",
E361="Bengaluru","Karnataka",
E361="Bhopal","Madhya Pradesh",
E361="Bhubaneswar","Odisha",
E361="Chandigarh","Chandigarh",
E361="Chennai","Tamil Nadu",
E361="Delhi","Delhi",
E361="Guwahati","Assam",
E361="Hyderabad","Telangana",
E361="Indore","Madhya Pradesh",
E361="Jaipur","Rajasthan",
E361="Kochi","Kerala",
E361="Kolkata","West Bengal",
E361="Lucknow","Uttar Pradesh",
E361="Mumbai","Maharashtra",
E361="Nagpur","Maharashtra",
E361="Patna","Bihar",
E361="Pune","Maharashtra",
E361="Raipur","Chhattisgarh",
E361="Surat","Gujarat",
TRUE,"Not Found"
)</f>
        <v>Kerala</v>
      </c>
      <c r="G361" t="s">
        <v>1143</v>
      </c>
      <c r="H361" t="s">
        <v>1177</v>
      </c>
      <c r="I361" t="s">
        <v>1192</v>
      </c>
      <c r="J361" t="s">
        <v>1193</v>
      </c>
      <c r="K361" t="s">
        <v>1194</v>
      </c>
      <c r="L361">
        <v>3</v>
      </c>
      <c r="M361">
        <v>937</v>
      </c>
      <c r="N361">
        <v>0</v>
      </c>
      <c r="O361">
        <v>937</v>
      </c>
      <c r="P361">
        <v>0.05</v>
      </c>
      <c r="Q361">
        <v>2811</v>
      </c>
      <c r="R361">
        <v>140.55000000000001</v>
      </c>
      <c r="S361">
        <v>2951.55</v>
      </c>
      <c r="T361">
        <f>ROUND(Table2[[#This Row],[TotalAmount]],0)</f>
        <v>2952</v>
      </c>
      <c r="U361" t="s">
        <v>1362</v>
      </c>
      <c r="V361" t="s">
        <v>1361</v>
      </c>
      <c r="W361" s="4">
        <v>45741</v>
      </c>
      <c r="X361" s="4">
        <v>45742</v>
      </c>
      <c r="Y361" t="b">
        <v>0</v>
      </c>
      <c r="Z361" t="s">
        <v>1412</v>
      </c>
      <c r="AA361" t="s">
        <v>1412</v>
      </c>
      <c r="AB361" t="s">
        <v>1412</v>
      </c>
      <c r="AC361" t="s">
        <v>1376</v>
      </c>
      <c r="AD361" t="s">
        <v>1397</v>
      </c>
      <c r="AE361" t="s">
        <v>1383</v>
      </c>
    </row>
    <row r="362" spans="1:31" x14ac:dyDescent="0.3">
      <c r="A362" t="s">
        <v>520</v>
      </c>
      <c r="B362" s="4">
        <v>45455.386111111111</v>
      </c>
      <c r="C362" t="s">
        <v>521</v>
      </c>
      <c r="D362" t="s">
        <v>1153</v>
      </c>
      <c r="E362" t="s">
        <v>1176</v>
      </c>
      <c r="F362" t="str" cm="1">
        <f t="array" ref="F362">_xlfn.IFS(
E362="Ahmedabad","Gujarat",
E362="Bengaluru","Karnataka",
E362="Bhopal","Madhya Pradesh",
E362="Bhubaneswar","Odisha",
E362="Chandigarh","Chandigarh",
E362="Chennai","Tamil Nadu",
E362="Delhi","Delhi",
E362="Guwahati","Assam",
E362="Hyderabad","Telangana",
E362="Indore","Madhya Pradesh",
E362="Jaipur","Rajasthan",
E362="Kochi","Kerala",
E362="Kolkata","West Bengal",
E362="Lucknow","Uttar Pradesh",
E362="Mumbai","Maharashtra",
E362="Nagpur","Maharashtra",
E362="Patna","Bihar",
E362="Pune","Maharashtra",
E362="Raipur","Chhattisgarh",
E362="Surat","Gujarat",
TRUE,"Not Found"
)</f>
        <v>Chhattisgarh</v>
      </c>
      <c r="G362" t="s">
        <v>1143</v>
      </c>
      <c r="H362" t="s">
        <v>1163</v>
      </c>
      <c r="I362" t="s">
        <v>1266</v>
      </c>
      <c r="J362" t="s">
        <v>1330</v>
      </c>
      <c r="K362" t="s">
        <v>1331</v>
      </c>
      <c r="L362">
        <v>2</v>
      </c>
      <c r="M362">
        <v>788</v>
      </c>
      <c r="N362">
        <v>0</v>
      </c>
      <c r="O362">
        <v>788</v>
      </c>
      <c r="P362">
        <v>0.05</v>
      </c>
      <c r="Q362">
        <v>1576</v>
      </c>
      <c r="R362">
        <v>78.800000000000011</v>
      </c>
      <c r="S362">
        <v>1654.8</v>
      </c>
      <c r="T362">
        <f>ROUND(Table2[[#This Row],[TotalAmount]],0)</f>
        <v>1655</v>
      </c>
      <c r="U362" t="s">
        <v>1360</v>
      </c>
      <c r="V362" t="s">
        <v>1361</v>
      </c>
      <c r="W362" s="4">
        <v>45456</v>
      </c>
      <c r="X362" s="4">
        <v>45460</v>
      </c>
      <c r="Y362" t="b">
        <v>0</v>
      </c>
      <c r="Z362" t="s">
        <v>1412</v>
      </c>
      <c r="AA362" t="s">
        <v>1412</v>
      </c>
      <c r="AB362" t="s">
        <v>1412</v>
      </c>
      <c r="AC362" t="s">
        <v>1398</v>
      </c>
      <c r="AD362" t="s">
        <v>1387</v>
      </c>
      <c r="AE362" t="s">
        <v>1389</v>
      </c>
    </row>
    <row r="363" spans="1:31" x14ac:dyDescent="0.3">
      <c r="A363" t="s">
        <v>522</v>
      </c>
      <c r="B363" s="4">
        <v>45679.576388888891</v>
      </c>
      <c r="C363" t="s">
        <v>135</v>
      </c>
      <c r="D363" t="s">
        <v>1182</v>
      </c>
      <c r="E363" t="s">
        <v>1207</v>
      </c>
      <c r="F363" t="str" cm="1">
        <f t="array" ref="F363">_xlfn.IFS(
E363="Ahmedabad","Gujarat",
E363="Bengaluru","Karnataka",
E363="Bhopal","Madhya Pradesh",
E363="Bhubaneswar","Odisha",
E363="Chandigarh","Chandigarh",
E363="Chennai","Tamil Nadu",
E363="Delhi","Delhi",
E363="Guwahati","Assam",
E363="Hyderabad","Telangana",
E363="Indore","Madhya Pradesh",
E363="Jaipur","Rajasthan",
E363="Kochi","Kerala",
E363="Kolkata","West Bengal",
E363="Lucknow","Uttar Pradesh",
E363="Mumbai","Maharashtra",
E363="Nagpur","Maharashtra",
E363="Patna","Bihar",
E363="Pune","Maharashtra",
E363="Raipur","Chhattisgarh",
E363="Surat","Gujarat",
TRUE,"Not Found"
)</f>
        <v>Tamil Nadu</v>
      </c>
      <c r="G363" t="s">
        <v>1187</v>
      </c>
      <c r="H363" t="s">
        <v>1163</v>
      </c>
      <c r="I363" t="s">
        <v>1240</v>
      </c>
      <c r="J363" t="s">
        <v>1281</v>
      </c>
      <c r="K363" t="s">
        <v>1282</v>
      </c>
      <c r="L363">
        <v>2</v>
      </c>
      <c r="M363">
        <v>318</v>
      </c>
      <c r="N363">
        <v>0.05</v>
      </c>
      <c r="O363">
        <v>302.10000000000002</v>
      </c>
      <c r="P363">
        <v>0.12</v>
      </c>
      <c r="Q363">
        <v>604.19999999999993</v>
      </c>
      <c r="R363">
        <v>72.503999999999991</v>
      </c>
      <c r="S363">
        <v>676.70399999999995</v>
      </c>
      <c r="T363">
        <f>ROUND(Table2[[#This Row],[TotalAmount]],0)</f>
        <v>677</v>
      </c>
      <c r="U363" t="s">
        <v>1360</v>
      </c>
      <c r="V363" t="s">
        <v>1361</v>
      </c>
      <c r="W363" s="4">
        <v>45680</v>
      </c>
      <c r="X363" s="4">
        <v>45681</v>
      </c>
      <c r="Y363" t="b">
        <v>0</v>
      </c>
      <c r="Z363" t="s">
        <v>1412</v>
      </c>
      <c r="AA363" t="s">
        <v>1412</v>
      </c>
      <c r="AB363" t="s">
        <v>1412</v>
      </c>
      <c r="AC363" t="s">
        <v>1379</v>
      </c>
      <c r="AD363" t="s">
        <v>1394</v>
      </c>
      <c r="AE363" t="s">
        <v>1395</v>
      </c>
    </row>
    <row r="364" spans="1:31" x14ac:dyDescent="0.3">
      <c r="A364" t="s">
        <v>523</v>
      </c>
      <c r="B364" s="4">
        <v>45518.548611111109</v>
      </c>
      <c r="C364" t="s">
        <v>524</v>
      </c>
      <c r="D364" t="s">
        <v>1148</v>
      </c>
      <c r="E364" t="s">
        <v>1149</v>
      </c>
      <c r="F364" t="str" cm="1">
        <f t="array" ref="F364">_xlfn.IFS(
E364="Ahmedabad","Gujarat",
E364="Bengaluru","Karnataka",
E364="Bhopal","Madhya Pradesh",
E364="Bhubaneswar","Odisha",
E364="Chandigarh","Chandigarh",
E364="Chennai","Tamil Nadu",
E364="Delhi","Delhi",
E364="Guwahati","Assam",
E364="Hyderabad","Telangana",
E364="Indore","Madhya Pradesh",
E364="Jaipur","Rajasthan",
E364="Kochi","Kerala",
E364="Kolkata","West Bengal",
E364="Lucknow","Uttar Pradesh",
E364="Mumbai","Maharashtra",
E364="Nagpur","Maharashtra",
E364="Patna","Bihar",
E364="Pune","Maharashtra",
E364="Raipur","Chhattisgarh",
E364="Surat","Gujarat",
TRUE,"Not Found"
)</f>
        <v>Uttar Pradesh</v>
      </c>
      <c r="G364" t="s">
        <v>1228</v>
      </c>
      <c r="H364" t="s">
        <v>1177</v>
      </c>
      <c r="I364" t="s">
        <v>1178</v>
      </c>
      <c r="J364" t="s">
        <v>1179</v>
      </c>
      <c r="K364" t="s">
        <v>1180</v>
      </c>
      <c r="L364">
        <v>2</v>
      </c>
      <c r="M364">
        <v>2562</v>
      </c>
      <c r="N364">
        <v>0</v>
      </c>
      <c r="O364">
        <v>2562</v>
      </c>
      <c r="P364">
        <v>0.12</v>
      </c>
      <c r="Q364">
        <v>5124</v>
      </c>
      <c r="R364">
        <v>614.88</v>
      </c>
      <c r="S364">
        <v>5738.88</v>
      </c>
      <c r="T364">
        <f>ROUND(Table2[[#This Row],[TotalAmount]],0)</f>
        <v>5739</v>
      </c>
      <c r="U364" t="s">
        <v>1366</v>
      </c>
      <c r="V364" t="s">
        <v>1361</v>
      </c>
      <c r="W364" s="4">
        <v>45520</v>
      </c>
      <c r="X364" s="4">
        <v>45522</v>
      </c>
      <c r="Y364" t="b">
        <v>0</v>
      </c>
      <c r="Z364" t="s">
        <v>1412</v>
      </c>
      <c r="AA364" t="s">
        <v>1412</v>
      </c>
      <c r="AB364" t="s">
        <v>1412</v>
      </c>
      <c r="AC364" t="s">
        <v>1390</v>
      </c>
      <c r="AD364" t="s">
        <v>1377</v>
      </c>
      <c r="AE364" t="s">
        <v>1389</v>
      </c>
    </row>
    <row r="365" spans="1:31" x14ac:dyDescent="0.3">
      <c r="A365" t="s">
        <v>525</v>
      </c>
      <c r="B365" s="4">
        <v>45437.536111111112</v>
      </c>
      <c r="C365" t="s">
        <v>135</v>
      </c>
      <c r="D365" t="s">
        <v>1182</v>
      </c>
      <c r="E365" t="s">
        <v>1207</v>
      </c>
      <c r="F365" t="str" cm="1">
        <f t="array" ref="F365">_xlfn.IFS(
E365="Ahmedabad","Gujarat",
E365="Bengaluru","Karnataka",
E365="Bhopal","Madhya Pradesh",
E365="Bhubaneswar","Odisha",
E365="Chandigarh","Chandigarh",
E365="Chennai","Tamil Nadu",
E365="Delhi","Delhi",
E365="Guwahati","Assam",
E365="Hyderabad","Telangana",
E365="Indore","Madhya Pradesh",
E365="Jaipur","Rajasthan",
E365="Kochi","Kerala",
E365="Kolkata","West Bengal",
E365="Lucknow","Uttar Pradesh",
E365="Mumbai","Maharashtra",
E365="Nagpur","Maharashtra",
E365="Patna","Bihar",
E365="Pune","Maharashtra",
E365="Raipur","Chhattisgarh",
E365="Surat","Gujarat",
TRUE,"Not Found"
)</f>
        <v>Tamil Nadu</v>
      </c>
      <c r="G365" t="s">
        <v>1143</v>
      </c>
      <c r="H365" t="s">
        <v>1177</v>
      </c>
      <c r="I365" t="s">
        <v>1192</v>
      </c>
      <c r="J365" t="s">
        <v>1344</v>
      </c>
      <c r="K365" t="s">
        <v>1345</v>
      </c>
      <c r="L365">
        <v>1</v>
      </c>
      <c r="M365">
        <v>637</v>
      </c>
      <c r="N365">
        <v>0.05</v>
      </c>
      <c r="O365">
        <v>605.15</v>
      </c>
      <c r="P365">
        <v>0.18</v>
      </c>
      <c r="Q365">
        <v>605.15</v>
      </c>
      <c r="R365">
        <v>108.92700000000001</v>
      </c>
      <c r="S365">
        <v>714.077</v>
      </c>
      <c r="T365">
        <f>ROUND(Table2[[#This Row],[TotalAmount]],0)</f>
        <v>714</v>
      </c>
      <c r="U365" t="s">
        <v>1365</v>
      </c>
      <c r="V365" t="s">
        <v>1361</v>
      </c>
      <c r="W365" s="4">
        <v>45439</v>
      </c>
      <c r="X365" s="4">
        <v>45443</v>
      </c>
      <c r="Y365" t="b">
        <v>0</v>
      </c>
      <c r="Z365" t="s">
        <v>1412</v>
      </c>
      <c r="AA365" t="s">
        <v>1412</v>
      </c>
      <c r="AB365" t="s">
        <v>1412</v>
      </c>
      <c r="AC365" t="s">
        <v>1388</v>
      </c>
      <c r="AD365" t="s">
        <v>1387</v>
      </c>
      <c r="AE365" t="s">
        <v>1380</v>
      </c>
    </row>
    <row r="366" spans="1:31" x14ac:dyDescent="0.3">
      <c r="A366" t="s">
        <v>526</v>
      </c>
      <c r="B366" s="4">
        <v>45337.428472222222</v>
      </c>
      <c r="C366" t="s">
        <v>59</v>
      </c>
      <c r="D366" t="s">
        <v>1148</v>
      </c>
      <c r="E366" t="s">
        <v>1217</v>
      </c>
      <c r="F366" t="str" cm="1">
        <f t="array" ref="F366">_xlfn.IFS(
E366="Ahmedabad","Gujarat",
E366="Bengaluru","Karnataka",
E366="Bhopal","Madhya Pradesh",
E366="Bhubaneswar","Odisha",
E366="Chandigarh","Chandigarh",
E366="Chennai","Tamil Nadu",
E366="Delhi","Delhi",
E366="Guwahati","Assam",
E366="Hyderabad","Telangana",
E366="Indore","Madhya Pradesh",
E366="Jaipur","Rajasthan",
E366="Kochi","Kerala",
E366="Kolkata","West Bengal",
E366="Lucknow","Uttar Pradesh",
E366="Mumbai","Maharashtra",
E366="Nagpur","Maharashtra",
E366="Patna","Bihar",
E366="Pune","Maharashtra",
E366="Raipur","Chhattisgarh",
E366="Surat","Gujarat",
TRUE,"Not Found"
)</f>
        <v>Delhi</v>
      </c>
      <c r="G366" t="s">
        <v>1228</v>
      </c>
      <c r="H366" t="s">
        <v>1177</v>
      </c>
      <c r="I366" t="s">
        <v>1192</v>
      </c>
      <c r="J366" t="s">
        <v>1193</v>
      </c>
      <c r="K366" t="s">
        <v>1194</v>
      </c>
      <c r="L366">
        <v>1</v>
      </c>
      <c r="M366">
        <v>1921</v>
      </c>
      <c r="N366">
        <v>0.05</v>
      </c>
      <c r="O366">
        <v>1824.95</v>
      </c>
      <c r="P366">
        <v>0.12</v>
      </c>
      <c r="Q366">
        <v>1824.95</v>
      </c>
      <c r="R366">
        <v>218.994</v>
      </c>
      <c r="S366">
        <v>2043.944</v>
      </c>
      <c r="T366">
        <f>ROUND(Table2[[#This Row],[TotalAmount]],0)</f>
        <v>2044</v>
      </c>
      <c r="U366" t="s">
        <v>1363</v>
      </c>
      <c r="V366" t="s">
        <v>1361</v>
      </c>
      <c r="W366" s="4">
        <v>45338</v>
      </c>
      <c r="X366" s="4">
        <v>45342</v>
      </c>
      <c r="Y366" t="b">
        <v>0</v>
      </c>
      <c r="Z366" t="s">
        <v>1412</v>
      </c>
      <c r="AA366" t="s">
        <v>1412</v>
      </c>
      <c r="AB366" t="s">
        <v>1412</v>
      </c>
      <c r="AC366" t="s">
        <v>1392</v>
      </c>
      <c r="AD366" t="s">
        <v>1377</v>
      </c>
      <c r="AE366" t="s">
        <v>1395</v>
      </c>
    </row>
    <row r="367" spans="1:31" x14ac:dyDescent="0.3">
      <c r="A367" t="s">
        <v>527</v>
      </c>
      <c r="B367" s="4">
        <v>45561.513194444437</v>
      </c>
      <c r="C367" t="s">
        <v>211</v>
      </c>
      <c r="D367" t="s">
        <v>1157</v>
      </c>
      <c r="E367" t="s">
        <v>1181</v>
      </c>
      <c r="F367" t="str" cm="1">
        <f t="array" ref="F367">_xlfn.IFS(
E367="Ahmedabad","Gujarat",
E367="Bengaluru","Karnataka",
E367="Bhopal","Madhya Pradesh",
E367="Bhubaneswar","Odisha",
E367="Chandigarh","Chandigarh",
E367="Chennai","Tamil Nadu",
E367="Delhi","Delhi",
E367="Guwahati","Assam",
E367="Hyderabad","Telangana",
E367="Indore","Madhya Pradesh",
E367="Jaipur","Rajasthan",
E367="Kochi","Kerala",
E367="Kolkata","West Bengal",
E367="Lucknow","Uttar Pradesh",
E367="Mumbai","Maharashtra",
E367="Nagpur","Maharashtra",
E367="Patna","Bihar",
E367="Pune","Maharashtra",
E367="Raipur","Chhattisgarh",
E367="Surat","Gujarat",
TRUE,"Not Found"
)</f>
        <v>Gujarat</v>
      </c>
      <c r="G367" t="s">
        <v>1143</v>
      </c>
      <c r="H367" t="s">
        <v>1163</v>
      </c>
      <c r="I367" t="s">
        <v>1164</v>
      </c>
      <c r="J367" t="s">
        <v>1318</v>
      </c>
      <c r="K367" t="s">
        <v>1319</v>
      </c>
      <c r="L367">
        <v>3</v>
      </c>
      <c r="M367">
        <v>84</v>
      </c>
      <c r="N367">
        <v>0</v>
      </c>
      <c r="O367">
        <v>84</v>
      </c>
      <c r="P367">
        <v>0.12</v>
      </c>
      <c r="Q367">
        <v>252</v>
      </c>
      <c r="R367">
        <v>30.24</v>
      </c>
      <c r="S367">
        <v>282.24</v>
      </c>
      <c r="T367">
        <f>ROUND(Table2[[#This Row],[TotalAmount]],0)</f>
        <v>282</v>
      </c>
      <c r="U367" t="s">
        <v>1360</v>
      </c>
      <c r="V367" t="s">
        <v>1361</v>
      </c>
      <c r="W367" s="4">
        <v>45561</v>
      </c>
      <c r="X367" s="4">
        <v>45562</v>
      </c>
      <c r="Y367" t="b">
        <v>0</v>
      </c>
      <c r="Z367" t="s">
        <v>1412</v>
      </c>
      <c r="AA367" t="s">
        <v>1412</v>
      </c>
      <c r="AB367" t="s">
        <v>1412</v>
      </c>
      <c r="AC367" t="s">
        <v>1379</v>
      </c>
      <c r="AD367" t="s">
        <v>1397</v>
      </c>
      <c r="AE367" t="s">
        <v>1378</v>
      </c>
    </row>
    <row r="368" spans="1:31" x14ac:dyDescent="0.3">
      <c r="A368" t="s">
        <v>528</v>
      </c>
      <c r="B368" s="4">
        <v>45506.616666666669</v>
      </c>
      <c r="C368" t="s">
        <v>34</v>
      </c>
      <c r="D368" t="s">
        <v>1148</v>
      </c>
      <c r="E368" t="s">
        <v>1149</v>
      </c>
      <c r="F368" t="str" cm="1">
        <f t="array" ref="F368">_xlfn.IFS(
E368="Ahmedabad","Gujarat",
E368="Bengaluru","Karnataka",
E368="Bhopal","Madhya Pradesh",
E368="Bhubaneswar","Odisha",
E368="Chandigarh","Chandigarh",
E368="Chennai","Tamil Nadu",
E368="Delhi","Delhi",
E368="Guwahati","Assam",
E368="Hyderabad","Telangana",
E368="Indore","Madhya Pradesh",
E368="Jaipur","Rajasthan",
E368="Kochi","Kerala",
E368="Kolkata","West Bengal",
E368="Lucknow","Uttar Pradesh",
E368="Mumbai","Maharashtra",
E368="Nagpur","Maharashtra",
E368="Patna","Bihar",
E368="Pune","Maharashtra",
E368="Raipur","Chhattisgarh",
E368="Surat","Gujarat",
TRUE,"Not Found"
)</f>
        <v>Uttar Pradesh</v>
      </c>
      <c r="G368" t="s">
        <v>1187</v>
      </c>
      <c r="H368" t="s">
        <v>1172</v>
      </c>
      <c r="I368" t="s">
        <v>1229</v>
      </c>
      <c r="J368" t="s">
        <v>1340</v>
      </c>
      <c r="K368" t="s">
        <v>1341</v>
      </c>
      <c r="L368">
        <v>1</v>
      </c>
      <c r="M368">
        <v>9037</v>
      </c>
      <c r="N368">
        <v>0.1</v>
      </c>
      <c r="O368">
        <v>8133.3</v>
      </c>
      <c r="P368">
        <v>0.18</v>
      </c>
      <c r="Q368">
        <v>8133.3</v>
      </c>
      <c r="R368">
        <v>1463.9939999999999</v>
      </c>
      <c r="S368">
        <v>9597.2939999999999</v>
      </c>
      <c r="T368">
        <f>ROUND(Table2[[#This Row],[TotalAmount]],0)</f>
        <v>9597</v>
      </c>
      <c r="U368" t="s">
        <v>1363</v>
      </c>
      <c r="V368" t="s">
        <v>1361</v>
      </c>
      <c r="W368" s="4">
        <v>45508</v>
      </c>
      <c r="X368" s="4">
        <v>45512</v>
      </c>
      <c r="Y368" t="b">
        <v>0</v>
      </c>
      <c r="Z368" t="s">
        <v>1412</v>
      </c>
      <c r="AA368" t="s">
        <v>1412</v>
      </c>
      <c r="AB368" t="s">
        <v>1412</v>
      </c>
      <c r="AC368" t="s">
        <v>1398</v>
      </c>
      <c r="AD368" t="s">
        <v>1399</v>
      </c>
      <c r="AE368" t="s">
        <v>1391</v>
      </c>
    </row>
    <row r="369" spans="1:31" x14ac:dyDescent="0.3">
      <c r="A369" t="s">
        <v>529</v>
      </c>
      <c r="B369" s="4">
        <v>45433.465277777781</v>
      </c>
      <c r="C369" t="s">
        <v>36</v>
      </c>
      <c r="D369" t="s">
        <v>1182</v>
      </c>
      <c r="E369" t="s">
        <v>1207</v>
      </c>
      <c r="F369" t="str" cm="1">
        <f t="array" ref="F369">_xlfn.IFS(
E369="Ahmedabad","Gujarat",
E369="Bengaluru","Karnataka",
E369="Bhopal","Madhya Pradesh",
E369="Bhubaneswar","Odisha",
E369="Chandigarh","Chandigarh",
E369="Chennai","Tamil Nadu",
E369="Delhi","Delhi",
E369="Guwahati","Assam",
E369="Hyderabad","Telangana",
E369="Indore","Madhya Pradesh",
E369="Jaipur","Rajasthan",
E369="Kochi","Kerala",
E369="Kolkata","West Bengal",
E369="Lucknow","Uttar Pradesh",
E369="Mumbai","Maharashtra",
E369="Nagpur","Maharashtra",
E369="Patna","Bihar",
E369="Pune","Maharashtra",
E369="Raipur","Chhattisgarh",
E369="Surat","Gujarat",
TRUE,"Not Found"
)</f>
        <v>Tamil Nadu</v>
      </c>
      <c r="G369" t="s">
        <v>1150</v>
      </c>
      <c r="H369" t="s">
        <v>1167</v>
      </c>
      <c r="I369" t="s">
        <v>1211</v>
      </c>
      <c r="J369" t="s">
        <v>1212</v>
      </c>
      <c r="K369" t="s">
        <v>1213</v>
      </c>
      <c r="L369">
        <v>1</v>
      </c>
      <c r="M369">
        <v>46965</v>
      </c>
      <c r="N369">
        <v>0.15</v>
      </c>
      <c r="O369">
        <v>39920.25</v>
      </c>
      <c r="P369">
        <v>0.05</v>
      </c>
      <c r="Q369">
        <v>39920.25</v>
      </c>
      <c r="R369">
        <v>1996.0125</v>
      </c>
      <c r="S369">
        <v>41916.262499999997</v>
      </c>
      <c r="T369">
        <f>ROUND(Table2[[#This Row],[TotalAmount]],0)</f>
        <v>41916</v>
      </c>
      <c r="U369" t="s">
        <v>1360</v>
      </c>
      <c r="V369" t="s">
        <v>1361</v>
      </c>
      <c r="W369" s="4">
        <v>45433</v>
      </c>
      <c r="X369" s="4">
        <v>45434</v>
      </c>
      <c r="Y369" t="b">
        <v>0</v>
      </c>
      <c r="Z369" t="s">
        <v>1412</v>
      </c>
      <c r="AA369" t="s">
        <v>1412</v>
      </c>
      <c r="AB369" t="s">
        <v>1412</v>
      </c>
      <c r="AC369" t="s">
        <v>1382</v>
      </c>
      <c r="AD369" t="s">
        <v>1397</v>
      </c>
      <c r="AE369" t="s">
        <v>1395</v>
      </c>
    </row>
    <row r="370" spans="1:31" x14ac:dyDescent="0.3">
      <c r="A370" t="s">
        <v>530</v>
      </c>
      <c r="B370" s="4">
        <v>45320.503472222219</v>
      </c>
      <c r="C370" t="s">
        <v>387</v>
      </c>
      <c r="D370" t="s">
        <v>1148</v>
      </c>
      <c r="E370" t="s">
        <v>1262</v>
      </c>
      <c r="F370" t="str" cm="1">
        <f t="array" ref="F370">_xlfn.IFS(
E370="Ahmedabad","Gujarat",
E370="Bengaluru","Karnataka",
E370="Bhopal","Madhya Pradesh",
E370="Bhubaneswar","Odisha",
E370="Chandigarh","Chandigarh",
E370="Chennai","Tamil Nadu",
E370="Delhi","Delhi",
E370="Guwahati","Assam",
E370="Hyderabad","Telangana",
E370="Indore","Madhya Pradesh",
E370="Jaipur","Rajasthan",
E370="Kochi","Kerala",
E370="Kolkata","West Bengal",
E370="Lucknow","Uttar Pradesh",
E370="Mumbai","Maharashtra",
E370="Nagpur","Maharashtra",
E370="Patna","Bihar",
E370="Pune","Maharashtra",
E370="Raipur","Chhattisgarh",
E370="Surat","Gujarat",
TRUE,"Not Found"
)</f>
        <v>Rajasthan</v>
      </c>
      <c r="G370" t="s">
        <v>1150</v>
      </c>
      <c r="H370" t="s">
        <v>1177</v>
      </c>
      <c r="I370" t="s">
        <v>1192</v>
      </c>
      <c r="J370" t="s">
        <v>1283</v>
      </c>
      <c r="K370" t="s">
        <v>1284</v>
      </c>
      <c r="L370">
        <v>5</v>
      </c>
      <c r="M370">
        <v>1097</v>
      </c>
      <c r="N370">
        <v>0.15</v>
      </c>
      <c r="O370">
        <v>932.44999999999993</v>
      </c>
      <c r="P370">
        <v>0.12</v>
      </c>
      <c r="Q370">
        <v>4662.25</v>
      </c>
      <c r="R370">
        <v>559.47</v>
      </c>
      <c r="S370">
        <v>5221.72</v>
      </c>
      <c r="T370">
        <f>ROUND(Table2[[#This Row],[TotalAmount]],0)</f>
        <v>5222</v>
      </c>
      <c r="U370" t="s">
        <v>1363</v>
      </c>
      <c r="V370" t="s">
        <v>1367</v>
      </c>
      <c r="W370" s="4">
        <v>45322</v>
      </c>
      <c r="X370" s="4" t="s">
        <v>1412</v>
      </c>
      <c r="Y370" t="b">
        <v>0</v>
      </c>
      <c r="Z370" t="s">
        <v>1412</v>
      </c>
      <c r="AA370" t="s">
        <v>1412</v>
      </c>
      <c r="AB370" t="s">
        <v>1412</v>
      </c>
      <c r="AC370" t="s">
        <v>1390</v>
      </c>
      <c r="AD370" t="s">
        <v>1385</v>
      </c>
      <c r="AE370" t="s">
        <v>1383</v>
      </c>
    </row>
    <row r="371" spans="1:31" x14ac:dyDescent="0.3">
      <c r="A371" t="s">
        <v>531</v>
      </c>
      <c r="B371" s="4">
        <v>45383.522222222222</v>
      </c>
      <c r="C371" t="s">
        <v>88</v>
      </c>
      <c r="D371" t="s">
        <v>1148</v>
      </c>
      <c r="E371" t="s">
        <v>1262</v>
      </c>
      <c r="F371" t="str" cm="1">
        <f t="array" ref="F371">_xlfn.IFS(
E371="Ahmedabad","Gujarat",
E371="Bengaluru","Karnataka",
E371="Bhopal","Madhya Pradesh",
E371="Bhubaneswar","Odisha",
E371="Chandigarh","Chandigarh",
E371="Chennai","Tamil Nadu",
E371="Delhi","Delhi",
E371="Guwahati","Assam",
E371="Hyderabad","Telangana",
E371="Indore","Madhya Pradesh",
E371="Jaipur","Rajasthan",
E371="Kochi","Kerala",
E371="Kolkata","West Bengal",
E371="Lucknow","Uttar Pradesh",
E371="Mumbai","Maharashtra",
E371="Nagpur","Maharashtra",
E371="Patna","Bihar",
E371="Pune","Maharashtra",
E371="Raipur","Chhattisgarh",
E371="Surat","Gujarat",
TRUE,"Not Found"
)</f>
        <v>Rajasthan</v>
      </c>
      <c r="G371" t="s">
        <v>1187</v>
      </c>
      <c r="H371" t="s">
        <v>1172</v>
      </c>
      <c r="I371" t="s">
        <v>1204</v>
      </c>
      <c r="J371" t="s">
        <v>1205</v>
      </c>
      <c r="K371" t="s">
        <v>1206</v>
      </c>
      <c r="L371">
        <v>3</v>
      </c>
      <c r="M371">
        <v>9536</v>
      </c>
      <c r="N371">
        <v>0.1</v>
      </c>
      <c r="O371">
        <v>8582.4</v>
      </c>
      <c r="P371">
        <v>0.12</v>
      </c>
      <c r="Q371">
        <v>25747.200000000001</v>
      </c>
      <c r="R371">
        <v>3089.6640000000002</v>
      </c>
      <c r="S371">
        <v>28836.864000000001</v>
      </c>
      <c r="T371">
        <f>ROUND(Table2[[#This Row],[TotalAmount]],0)</f>
        <v>28837</v>
      </c>
      <c r="U371" t="s">
        <v>1365</v>
      </c>
      <c r="V371" t="s">
        <v>1361</v>
      </c>
      <c r="W371" s="4">
        <v>45384</v>
      </c>
      <c r="X371" s="4">
        <v>45385</v>
      </c>
      <c r="Y371" t="b">
        <v>0</v>
      </c>
      <c r="Z371" t="s">
        <v>1412</v>
      </c>
      <c r="AA371" t="s">
        <v>1412</v>
      </c>
      <c r="AB371" t="s">
        <v>1412</v>
      </c>
      <c r="AC371" t="s">
        <v>1382</v>
      </c>
      <c r="AD371" t="s">
        <v>1387</v>
      </c>
      <c r="AE371" t="s">
        <v>1378</v>
      </c>
    </row>
    <row r="372" spans="1:31" x14ac:dyDescent="0.3">
      <c r="A372" t="s">
        <v>532</v>
      </c>
      <c r="B372" s="4">
        <v>45653.571527777778</v>
      </c>
      <c r="C372" t="s">
        <v>135</v>
      </c>
      <c r="D372" t="s">
        <v>1182</v>
      </c>
      <c r="E372" t="s">
        <v>1207</v>
      </c>
      <c r="F372" t="str" cm="1">
        <f t="array" ref="F372">_xlfn.IFS(
E372="Ahmedabad","Gujarat",
E372="Bengaluru","Karnataka",
E372="Bhopal","Madhya Pradesh",
E372="Bhubaneswar","Odisha",
E372="Chandigarh","Chandigarh",
E372="Chennai","Tamil Nadu",
E372="Delhi","Delhi",
E372="Guwahati","Assam",
E372="Hyderabad","Telangana",
E372="Indore","Madhya Pradesh",
E372="Jaipur","Rajasthan",
E372="Kochi","Kerala",
E372="Kolkata","West Bengal",
E372="Lucknow","Uttar Pradesh",
E372="Mumbai","Maharashtra",
E372="Nagpur","Maharashtra",
E372="Patna","Bihar",
E372="Pune","Maharashtra",
E372="Raipur","Chhattisgarh",
E372="Surat","Gujarat",
TRUE,"Not Found"
)</f>
        <v>Tamil Nadu</v>
      </c>
      <c r="G372" t="s">
        <v>1150</v>
      </c>
      <c r="H372" t="s">
        <v>1163</v>
      </c>
      <c r="I372" t="s">
        <v>1184</v>
      </c>
      <c r="J372" t="s">
        <v>1245</v>
      </c>
      <c r="K372" t="s">
        <v>1246</v>
      </c>
      <c r="L372">
        <v>3</v>
      </c>
      <c r="M372">
        <v>790</v>
      </c>
      <c r="N372">
        <v>0.05</v>
      </c>
      <c r="O372">
        <v>750.5</v>
      </c>
      <c r="P372">
        <v>0.12</v>
      </c>
      <c r="Q372">
        <v>2251.5</v>
      </c>
      <c r="R372">
        <v>270.18</v>
      </c>
      <c r="S372">
        <v>2521.6799999999998</v>
      </c>
      <c r="T372">
        <f>ROUND(Table2[[#This Row],[TotalAmount]],0)</f>
        <v>2522</v>
      </c>
      <c r="U372" t="s">
        <v>1362</v>
      </c>
      <c r="V372" t="s">
        <v>1361</v>
      </c>
      <c r="W372" s="4">
        <v>45654</v>
      </c>
      <c r="X372" s="4">
        <v>45657</v>
      </c>
      <c r="Y372" t="b">
        <v>0</v>
      </c>
      <c r="Z372" t="s">
        <v>1412</v>
      </c>
      <c r="AA372" t="s">
        <v>1412</v>
      </c>
      <c r="AB372" t="s">
        <v>1412</v>
      </c>
      <c r="AC372" t="s">
        <v>1382</v>
      </c>
      <c r="AD372" t="s">
        <v>1400</v>
      </c>
      <c r="AE372" t="s">
        <v>1391</v>
      </c>
    </row>
    <row r="373" spans="1:31" x14ac:dyDescent="0.3">
      <c r="A373" t="s">
        <v>533</v>
      </c>
      <c r="B373" s="4">
        <v>45630.430555555547</v>
      </c>
      <c r="C373" t="s">
        <v>102</v>
      </c>
      <c r="D373" t="s">
        <v>1141</v>
      </c>
      <c r="E373" t="s">
        <v>1239</v>
      </c>
      <c r="F373" t="str" cm="1">
        <f t="array" ref="F373">_xlfn.IFS(
E373="Ahmedabad","Gujarat",
E373="Bengaluru","Karnataka",
E373="Bhopal","Madhya Pradesh",
E373="Bhubaneswar","Odisha",
E373="Chandigarh","Chandigarh",
E373="Chennai","Tamil Nadu",
E373="Delhi","Delhi",
E373="Guwahati","Assam",
E373="Hyderabad","Telangana",
E373="Indore","Madhya Pradesh",
E373="Jaipur","Rajasthan",
E373="Kochi","Kerala",
E373="Kolkata","West Bengal",
E373="Lucknow","Uttar Pradesh",
E373="Mumbai","Maharashtra",
E373="Nagpur","Maharashtra",
E373="Patna","Bihar",
E373="Pune","Maharashtra",
E373="Raipur","Chhattisgarh",
E373="Surat","Gujarat",
TRUE,"Not Found"
)</f>
        <v>Odisha</v>
      </c>
      <c r="G373" t="s">
        <v>1143</v>
      </c>
      <c r="H373" t="s">
        <v>1167</v>
      </c>
      <c r="I373" t="s">
        <v>1288</v>
      </c>
      <c r="J373" t="s">
        <v>1289</v>
      </c>
      <c r="K373" t="s">
        <v>1290</v>
      </c>
      <c r="L373">
        <v>4</v>
      </c>
      <c r="M373">
        <v>55852</v>
      </c>
      <c r="N373">
        <v>0.1</v>
      </c>
      <c r="O373">
        <v>50266.8</v>
      </c>
      <c r="P373">
        <v>0.12</v>
      </c>
      <c r="Q373">
        <v>201067.2</v>
      </c>
      <c r="R373">
        <v>24128.063999999998</v>
      </c>
      <c r="S373">
        <v>225195.264</v>
      </c>
      <c r="T373">
        <f>ROUND(Table2[[#This Row],[TotalAmount]],0)</f>
        <v>225195</v>
      </c>
      <c r="U373" t="s">
        <v>1365</v>
      </c>
      <c r="V373" t="s">
        <v>1361</v>
      </c>
      <c r="W373" s="4">
        <v>45630</v>
      </c>
      <c r="X373" s="4">
        <v>45632</v>
      </c>
      <c r="Y373" t="b">
        <v>0</v>
      </c>
      <c r="Z373" t="s">
        <v>1412</v>
      </c>
      <c r="AA373" t="s">
        <v>1412</v>
      </c>
      <c r="AB373" t="s">
        <v>1412</v>
      </c>
      <c r="AC373" t="s">
        <v>1398</v>
      </c>
      <c r="AD373" t="s">
        <v>1385</v>
      </c>
      <c r="AE373" t="s">
        <v>1389</v>
      </c>
    </row>
    <row r="374" spans="1:31" x14ac:dyDescent="0.3">
      <c r="A374" t="s">
        <v>534</v>
      </c>
      <c r="B374" s="4">
        <v>45723.526388888888</v>
      </c>
      <c r="C374" t="s">
        <v>211</v>
      </c>
      <c r="D374" t="s">
        <v>1157</v>
      </c>
      <c r="E374" t="s">
        <v>1181</v>
      </c>
      <c r="F374" t="str" cm="1">
        <f t="array" ref="F374">_xlfn.IFS(
E374="Ahmedabad","Gujarat",
E374="Bengaluru","Karnataka",
E374="Bhopal","Madhya Pradesh",
E374="Bhubaneswar","Odisha",
E374="Chandigarh","Chandigarh",
E374="Chennai","Tamil Nadu",
E374="Delhi","Delhi",
E374="Guwahati","Assam",
E374="Hyderabad","Telangana",
E374="Indore","Madhya Pradesh",
E374="Jaipur","Rajasthan",
E374="Kochi","Kerala",
E374="Kolkata","West Bengal",
E374="Lucknow","Uttar Pradesh",
E374="Mumbai","Maharashtra",
E374="Nagpur","Maharashtra",
E374="Patna","Bihar",
E374="Pune","Maharashtra",
E374="Raipur","Chhattisgarh",
E374="Surat","Gujarat",
TRUE,"Not Found"
)</f>
        <v>Gujarat</v>
      </c>
      <c r="G374" t="s">
        <v>1228</v>
      </c>
      <c r="H374" t="s">
        <v>1167</v>
      </c>
      <c r="I374" t="s">
        <v>1208</v>
      </c>
      <c r="J374" t="s">
        <v>1209</v>
      </c>
      <c r="K374" t="s">
        <v>1210</v>
      </c>
      <c r="L374">
        <v>3</v>
      </c>
      <c r="M374">
        <v>56260</v>
      </c>
      <c r="N374">
        <v>0</v>
      </c>
      <c r="O374">
        <v>56260</v>
      </c>
      <c r="P374">
        <v>0.12</v>
      </c>
      <c r="Q374">
        <v>168780</v>
      </c>
      <c r="R374">
        <v>20253.599999999999</v>
      </c>
      <c r="S374">
        <v>189033.60000000001</v>
      </c>
      <c r="T374">
        <f>ROUND(Table2[[#This Row],[TotalAmount]],0)</f>
        <v>189034</v>
      </c>
      <c r="U374" t="s">
        <v>1363</v>
      </c>
      <c r="V374" t="s">
        <v>1361</v>
      </c>
      <c r="W374" s="4">
        <v>45724</v>
      </c>
      <c r="X374" s="4">
        <v>45725</v>
      </c>
      <c r="Y374" t="b">
        <v>0</v>
      </c>
      <c r="Z374" t="s">
        <v>1412</v>
      </c>
      <c r="AA374" t="s">
        <v>1412</v>
      </c>
      <c r="AB374" t="s">
        <v>1412</v>
      </c>
      <c r="AC374" t="s">
        <v>1388</v>
      </c>
      <c r="AD374" t="s">
        <v>1377</v>
      </c>
      <c r="AE374" t="s">
        <v>1380</v>
      </c>
    </row>
    <row r="375" spans="1:31" x14ac:dyDescent="0.3">
      <c r="A375" t="s">
        <v>535</v>
      </c>
      <c r="B375" s="4">
        <v>45618.459722222222</v>
      </c>
      <c r="C375" t="s">
        <v>519</v>
      </c>
      <c r="D375" t="s">
        <v>1182</v>
      </c>
      <c r="E375" t="s">
        <v>1257</v>
      </c>
      <c r="F375" t="str" cm="1">
        <f t="array" ref="F375">_xlfn.IFS(
E375="Ahmedabad","Gujarat",
E375="Bengaluru","Karnataka",
E375="Bhopal","Madhya Pradesh",
E375="Bhubaneswar","Odisha",
E375="Chandigarh","Chandigarh",
E375="Chennai","Tamil Nadu",
E375="Delhi","Delhi",
E375="Guwahati","Assam",
E375="Hyderabad","Telangana",
E375="Indore","Madhya Pradesh",
E375="Jaipur","Rajasthan",
E375="Kochi","Kerala",
E375="Kolkata","West Bengal",
E375="Lucknow","Uttar Pradesh",
E375="Mumbai","Maharashtra",
E375="Nagpur","Maharashtra",
E375="Patna","Bihar",
E375="Pune","Maharashtra",
E375="Raipur","Chhattisgarh",
E375="Surat","Gujarat",
TRUE,"Not Found"
)</f>
        <v>Kerala</v>
      </c>
      <c r="G375" t="s">
        <v>1187</v>
      </c>
      <c r="H375" t="s">
        <v>1177</v>
      </c>
      <c r="I375" t="s">
        <v>1309</v>
      </c>
      <c r="J375" t="s">
        <v>1332</v>
      </c>
      <c r="K375" t="s">
        <v>1333</v>
      </c>
      <c r="L375">
        <v>1</v>
      </c>
      <c r="M375">
        <v>503</v>
      </c>
      <c r="N375">
        <v>0.1</v>
      </c>
      <c r="O375">
        <v>452.7</v>
      </c>
      <c r="P375">
        <v>0.05</v>
      </c>
      <c r="Q375">
        <v>452.7</v>
      </c>
      <c r="R375">
        <v>22.635000000000002</v>
      </c>
      <c r="S375">
        <v>475.33499999999998</v>
      </c>
      <c r="T375">
        <f>ROUND(Table2[[#This Row],[TotalAmount]],0)</f>
        <v>475</v>
      </c>
      <c r="U375" t="s">
        <v>1360</v>
      </c>
      <c r="V375" t="s">
        <v>1361</v>
      </c>
      <c r="W375" s="4">
        <v>45620</v>
      </c>
      <c r="X375" s="4">
        <v>45623</v>
      </c>
      <c r="Y375" t="b">
        <v>0</v>
      </c>
      <c r="Z375" t="s">
        <v>1412</v>
      </c>
      <c r="AA375" t="s">
        <v>1412</v>
      </c>
      <c r="AB375" t="s">
        <v>1412</v>
      </c>
      <c r="AC375" t="s">
        <v>1386</v>
      </c>
      <c r="AD375" t="s">
        <v>1400</v>
      </c>
      <c r="AE375" t="s">
        <v>1391</v>
      </c>
    </row>
    <row r="376" spans="1:31" x14ac:dyDescent="0.3">
      <c r="A376" t="s">
        <v>536</v>
      </c>
      <c r="B376" s="4">
        <v>45317.511111111111</v>
      </c>
      <c r="C376" t="s">
        <v>537</v>
      </c>
      <c r="D376" t="s">
        <v>1153</v>
      </c>
      <c r="E376" t="s">
        <v>1162</v>
      </c>
      <c r="F376" t="str" cm="1">
        <f t="array" ref="F376">_xlfn.IFS(
E376="Ahmedabad","Gujarat",
E376="Bengaluru","Karnataka",
E376="Bhopal","Madhya Pradesh",
E376="Bhubaneswar","Odisha",
E376="Chandigarh","Chandigarh",
E376="Chennai","Tamil Nadu",
E376="Delhi","Delhi",
E376="Guwahati","Assam",
E376="Hyderabad","Telangana",
E376="Indore","Madhya Pradesh",
E376="Jaipur","Rajasthan",
E376="Kochi","Kerala",
E376="Kolkata","West Bengal",
E376="Lucknow","Uttar Pradesh",
E376="Mumbai","Maharashtra",
E376="Nagpur","Maharashtra",
E376="Patna","Bihar",
E376="Pune","Maharashtra",
E376="Raipur","Chhattisgarh",
E376="Surat","Gujarat",
TRUE,"Not Found"
)</f>
        <v>Madhya Pradesh</v>
      </c>
      <c r="G376" t="s">
        <v>1143</v>
      </c>
      <c r="H376" t="s">
        <v>1172</v>
      </c>
      <c r="I376" t="s">
        <v>1204</v>
      </c>
      <c r="J376" t="s">
        <v>1205</v>
      </c>
      <c r="K376" t="s">
        <v>1206</v>
      </c>
      <c r="L376">
        <v>3</v>
      </c>
      <c r="M376">
        <v>6291</v>
      </c>
      <c r="N376">
        <v>0.15</v>
      </c>
      <c r="O376">
        <v>5347.3499999999995</v>
      </c>
      <c r="P376">
        <v>0.05</v>
      </c>
      <c r="Q376">
        <v>16042.05</v>
      </c>
      <c r="R376">
        <v>802.10249999999996</v>
      </c>
      <c r="S376">
        <v>16844.1525</v>
      </c>
      <c r="T376">
        <f>ROUND(Table2[[#This Row],[TotalAmount]],0)</f>
        <v>16844</v>
      </c>
      <c r="U376" t="s">
        <v>1363</v>
      </c>
      <c r="V376" t="s">
        <v>1369</v>
      </c>
      <c r="W376" s="4" t="s">
        <v>1412</v>
      </c>
      <c r="X376" s="4" t="s">
        <v>1412</v>
      </c>
      <c r="Y376" t="b">
        <v>0</v>
      </c>
      <c r="Z376" t="s">
        <v>1412</v>
      </c>
      <c r="AA376" t="s">
        <v>1412</v>
      </c>
      <c r="AB376" t="s">
        <v>1412</v>
      </c>
      <c r="AC376" t="s">
        <v>1388</v>
      </c>
      <c r="AD376" t="s">
        <v>1394</v>
      </c>
      <c r="AE376" t="s">
        <v>1383</v>
      </c>
    </row>
    <row r="377" spans="1:31" x14ac:dyDescent="0.3">
      <c r="A377" t="s">
        <v>538</v>
      </c>
      <c r="B377" s="4">
        <v>45704.441666666673</v>
      </c>
      <c r="C377" t="s">
        <v>392</v>
      </c>
      <c r="D377" t="s">
        <v>1153</v>
      </c>
      <c r="E377" t="s">
        <v>1191</v>
      </c>
      <c r="F377" t="str" cm="1">
        <f t="array" ref="F377">_xlfn.IFS(
E377="Ahmedabad","Gujarat",
E377="Bengaluru","Karnataka",
E377="Bhopal","Madhya Pradesh",
E377="Bhubaneswar","Odisha",
E377="Chandigarh","Chandigarh",
E377="Chennai","Tamil Nadu",
E377="Delhi","Delhi",
E377="Guwahati","Assam",
E377="Hyderabad","Telangana",
E377="Indore","Madhya Pradesh",
E377="Jaipur","Rajasthan",
E377="Kochi","Kerala",
E377="Kolkata","West Bengal",
E377="Lucknow","Uttar Pradesh",
E377="Mumbai","Maharashtra",
E377="Nagpur","Maharashtra",
E377="Patna","Bihar",
E377="Pune","Maharashtra",
E377="Raipur","Chhattisgarh",
E377="Surat","Gujarat",
TRUE,"Not Found"
)</f>
        <v>Madhya Pradesh</v>
      </c>
      <c r="G377" t="s">
        <v>1143</v>
      </c>
      <c r="H377" t="s">
        <v>1177</v>
      </c>
      <c r="I377" t="s">
        <v>1192</v>
      </c>
      <c r="J377" t="s">
        <v>1283</v>
      </c>
      <c r="K377" t="s">
        <v>1284</v>
      </c>
      <c r="L377">
        <v>1</v>
      </c>
      <c r="M377">
        <v>1112</v>
      </c>
      <c r="N377">
        <v>0.05</v>
      </c>
      <c r="O377">
        <v>1056.4000000000001</v>
      </c>
      <c r="P377">
        <v>0.12</v>
      </c>
      <c r="Q377">
        <v>1056.4000000000001</v>
      </c>
      <c r="R377">
        <v>126.768</v>
      </c>
      <c r="S377">
        <v>1183.1679999999999</v>
      </c>
      <c r="T377">
        <f>ROUND(Table2[[#This Row],[TotalAmount]],0)</f>
        <v>1183</v>
      </c>
      <c r="U377" t="s">
        <v>1360</v>
      </c>
      <c r="V377" t="s">
        <v>1361</v>
      </c>
      <c r="W377" s="4">
        <v>45704</v>
      </c>
      <c r="X377" s="4">
        <v>45707</v>
      </c>
      <c r="Y377" t="b">
        <v>0</v>
      </c>
      <c r="Z377" t="s">
        <v>1412</v>
      </c>
      <c r="AA377" t="s">
        <v>1412</v>
      </c>
      <c r="AB377" t="s">
        <v>1412</v>
      </c>
      <c r="AC377" t="s">
        <v>1386</v>
      </c>
      <c r="AD377" t="s">
        <v>1387</v>
      </c>
      <c r="AE377" t="s">
        <v>1389</v>
      </c>
    </row>
    <row r="378" spans="1:31" x14ac:dyDescent="0.3">
      <c r="A378" t="s">
        <v>539</v>
      </c>
      <c r="B378" s="4">
        <v>45487.59652777778</v>
      </c>
      <c r="C378" t="s">
        <v>341</v>
      </c>
      <c r="D378" t="s">
        <v>1141</v>
      </c>
      <c r="E378" t="s">
        <v>1142</v>
      </c>
      <c r="F378" t="str" cm="1">
        <f t="array" ref="F378">_xlfn.IFS(
E378="Ahmedabad","Gujarat",
E378="Bengaluru","Karnataka",
E378="Bhopal","Madhya Pradesh",
E378="Bhubaneswar","Odisha",
E378="Chandigarh","Chandigarh",
E378="Chennai","Tamil Nadu",
E378="Delhi","Delhi",
E378="Guwahati","Assam",
E378="Hyderabad","Telangana",
E378="Indore","Madhya Pradesh",
E378="Jaipur","Rajasthan",
E378="Kochi","Kerala",
E378="Kolkata","West Bengal",
E378="Lucknow","Uttar Pradesh",
E378="Mumbai","Maharashtra",
E378="Nagpur","Maharashtra",
E378="Patna","Bihar",
E378="Pune","Maharashtra",
E378="Raipur","Chhattisgarh",
E378="Surat","Gujarat",
TRUE,"Not Found"
)</f>
        <v>West Bengal</v>
      </c>
      <c r="G378" t="s">
        <v>1143</v>
      </c>
      <c r="H378" t="s">
        <v>1163</v>
      </c>
      <c r="I378" t="s">
        <v>1184</v>
      </c>
      <c r="J378" t="s">
        <v>1260</v>
      </c>
      <c r="K378" t="s">
        <v>1261</v>
      </c>
      <c r="L378">
        <v>3</v>
      </c>
      <c r="M378">
        <v>1024</v>
      </c>
      <c r="N378">
        <v>0.05</v>
      </c>
      <c r="O378">
        <v>972.8</v>
      </c>
      <c r="P378">
        <v>0.12</v>
      </c>
      <c r="Q378">
        <v>2918.4</v>
      </c>
      <c r="R378">
        <v>350.20800000000003</v>
      </c>
      <c r="S378">
        <v>3268.6080000000002</v>
      </c>
      <c r="T378">
        <f>ROUND(Table2[[#This Row],[TotalAmount]],0)</f>
        <v>3269</v>
      </c>
      <c r="U378" t="s">
        <v>1360</v>
      </c>
      <c r="V378" t="s">
        <v>1368</v>
      </c>
      <c r="W378" s="4">
        <v>45489</v>
      </c>
      <c r="X378" s="4" t="s">
        <v>1412</v>
      </c>
      <c r="Y378" t="b">
        <v>0</v>
      </c>
      <c r="Z378" t="s">
        <v>1412</v>
      </c>
      <c r="AA378" t="s">
        <v>1412</v>
      </c>
      <c r="AB378" t="s">
        <v>1412</v>
      </c>
      <c r="AC378" t="s">
        <v>1376</v>
      </c>
      <c r="AD378" t="s">
        <v>1377</v>
      </c>
      <c r="AE378" t="s">
        <v>1383</v>
      </c>
    </row>
    <row r="379" spans="1:31" x14ac:dyDescent="0.3">
      <c r="A379" t="s">
        <v>540</v>
      </c>
      <c r="B379" s="4">
        <v>45336.54791666667</v>
      </c>
      <c r="C379" t="s">
        <v>343</v>
      </c>
      <c r="D379" t="s">
        <v>1182</v>
      </c>
      <c r="E379" t="s">
        <v>1207</v>
      </c>
      <c r="F379" t="str" cm="1">
        <f t="array" ref="F379">_xlfn.IFS(
E379="Ahmedabad","Gujarat",
E379="Bengaluru","Karnataka",
E379="Bhopal","Madhya Pradesh",
E379="Bhubaneswar","Odisha",
E379="Chandigarh","Chandigarh",
E379="Chennai","Tamil Nadu",
E379="Delhi","Delhi",
E379="Guwahati","Assam",
E379="Hyderabad","Telangana",
E379="Indore","Madhya Pradesh",
E379="Jaipur","Rajasthan",
E379="Kochi","Kerala",
E379="Kolkata","West Bengal",
E379="Lucknow","Uttar Pradesh",
E379="Mumbai","Maharashtra",
E379="Nagpur","Maharashtra",
E379="Patna","Bihar",
E379="Pune","Maharashtra",
E379="Raipur","Chhattisgarh",
E379="Surat","Gujarat",
TRUE,"Not Found"
)</f>
        <v>Tamil Nadu</v>
      </c>
      <c r="G379" t="s">
        <v>1150</v>
      </c>
      <c r="H379" t="s">
        <v>1144</v>
      </c>
      <c r="I379" t="s">
        <v>1214</v>
      </c>
      <c r="J379" t="s">
        <v>1215</v>
      </c>
      <c r="K379" t="s">
        <v>1216</v>
      </c>
      <c r="L379">
        <v>2</v>
      </c>
      <c r="M379">
        <v>11782</v>
      </c>
      <c r="N379">
        <v>0.05</v>
      </c>
      <c r="O379">
        <v>11192.9</v>
      </c>
      <c r="P379">
        <v>0.18</v>
      </c>
      <c r="Q379">
        <v>22385.8</v>
      </c>
      <c r="R379">
        <v>4029.444</v>
      </c>
      <c r="S379">
        <v>26415.243999999999</v>
      </c>
      <c r="T379">
        <f>ROUND(Table2[[#This Row],[TotalAmount]],0)</f>
        <v>26415</v>
      </c>
      <c r="U379" t="s">
        <v>1365</v>
      </c>
      <c r="V379" t="s">
        <v>1361</v>
      </c>
      <c r="W379" s="4">
        <v>45338</v>
      </c>
      <c r="X379" s="4">
        <v>45342</v>
      </c>
      <c r="Y379" t="b">
        <v>0</v>
      </c>
      <c r="Z379" t="s">
        <v>1412</v>
      </c>
      <c r="AA379" t="s">
        <v>1412</v>
      </c>
      <c r="AB379" t="s">
        <v>1412</v>
      </c>
      <c r="AC379" t="s">
        <v>1386</v>
      </c>
      <c r="AD379" t="s">
        <v>1377</v>
      </c>
      <c r="AE379" t="s">
        <v>1378</v>
      </c>
    </row>
    <row r="380" spans="1:31" x14ac:dyDescent="0.3">
      <c r="A380" t="s">
        <v>541</v>
      </c>
      <c r="B380" s="4">
        <v>45537.754166666673</v>
      </c>
      <c r="C380" t="s">
        <v>171</v>
      </c>
      <c r="D380" t="s">
        <v>1182</v>
      </c>
      <c r="E380" t="s">
        <v>1207</v>
      </c>
      <c r="F380" t="str" cm="1">
        <f t="array" ref="F380">_xlfn.IFS(
E380="Ahmedabad","Gujarat",
E380="Bengaluru","Karnataka",
E380="Bhopal","Madhya Pradesh",
E380="Bhubaneswar","Odisha",
E380="Chandigarh","Chandigarh",
E380="Chennai","Tamil Nadu",
E380="Delhi","Delhi",
E380="Guwahati","Assam",
E380="Hyderabad","Telangana",
E380="Indore","Madhya Pradesh",
E380="Jaipur","Rajasthan",
E380="Kochi","Kerala",
E380="Kolkata","West Bengal",
E380="Lucknow","Uttar Pradesh",
E380="Mumbai","Maharashtra",
E380="Nagpur","Maharashtra",
E380="Patna","Bihar",
E380="Pune","Maharashtra",
E380="Raipur","Chhattisgarh",
E380="Surat","Gujarat",
TRUE,"Not Found"
)</f>
        <v>Tamil Nadu</v>
      </c>
      <c r="G380" t="s">
        <v>1150</v>
      </c>
      <c r="H380" t="s">
        <v>1167</v>
      </c>
      <c r="I380" t="s">
        <v>1168</v>
      </c>
      <c r="J380" t="s">
        <v>1314</v>
      </c>
      <c r="K380" t="s">
        <v>1315</v>
      </c>
      <c r="L380">
        <v>3</v>
      </c>
      <c r="M380">
        <v>35442</v>
      </c>
      <c r="N380">
        <v>0</v>
      </c>
      <c r="O380">
        <v>35442</v>
      </c>
      <c r="P380">
        <v>0.12</v>
      </c>
      <c r="Q380">
        <v>106326</v>
      </c>
      <c r="R380">
        <v>12759.12</v>
      </c>
      <c r="S380">
        <v>119085.12</v>
      </c>
      <c r="T380">
        <f>ROUND(Table2[[#This Row],[TotalAmount]],0)</f>
        <v>119085</v>
      </c>
      <c r="U380" t="s">
        <v>1366</v>
      </c>
      <c r="V380" t="s">
        <v>1361</v>
      </c>
      <c r="W380" s="4">
        <v>45538</v>
      </c>
      <c r="X380" s="4">
        <v>45542</v>
      </c>
      <c r="Y380" t="b">
        <v>0</v>
      </c>
      <c r="Z380" t="s">
        <v>1412</v>
      </c>
      <c r="AA380" t="s">
        <v>1412</v>
      </c>
      <c r="AB380" t="s">
        <v>1412</v>
      </c>
      <c r="AC380" t="s">
        <v>1388</v>
      </c>
      <c r="AD380" t="s">
        <v>1387</v>
      </c>
      <c r="AE380" t="s">
        <v>1378</v>
      </c>
    </row>
    <row r="381" spans="1:31" x14ac:dyDescent="0.3">
      <c r="A381" t="s">
        <v>542</v>
      </c>
      <c r="B381" s="4">
        <v>45581.536111111112</v>
      </c>
      <c r="C381" t="s">
        <v>124</v>
      </c>
      <c r="D381" t="s">
        <v>1153</v>
      </c>
      <c r="E381" t="s">
        <v>1191</v>
      </c>
      <c r="F381" t="str" cm="1">
        <f t="array" ref="F381">_xlfn.IFS(
E381="Ahmedabad","Gujarat",
E381="Bengaluru","Karnataka",
E381="Bhopal","Madhya Pradesh",
E381="Bhubaneswar","Odisha",
E381="Chandigarh","Chandigarh",
E381="Chennai","Tamil Nadu",
E381="Delhi","Delhi",
E381="Guwahati","Assam",
E381="Hyderabad","Telangana",
E381="Indore","Madhya Pradesh",
E381="Jaipur","Rajasthan",
E381="Kochi","Kerala",
E381="Kolkata","West Bengal",
E381="Lucknow","Uttar Pradesh",
E381="Mumbai","Maharashtra",
E381="Nagpur","Maharashtra",
E381="Patna","Bihar",
E381="Pune","Maharashtra",
E381="Raipur","Chhattisgarh",
E381="Surat","Gujarat",
TRUE,"Not Found"
)</f>
        <v>Madhya Pradesh</v>
      </c>
      <c r="G381" t="s">
        <v>1143</v>
      </c>
      <c r="H381" t="s">
        <v>1172</v>
      </c>
      <c r="I381" t="s">
        <v>1229</v>
      </c>
      <c r="J381" t="s">
        <v>1230</v>
      </c>
      <c r="K381" t="s">
        <v>1231</v>
      </c>
      <c r="L381">
        <v>2</v>
      </c>
      <c r="M381">
        <v>4006</v>
      </c>
      <c r="N381">
        <v>0.05</v>
      </c>
      <c r="O381">
        <v>3805.7</v>
      </c>
      <c r="P381">
        <v>0.05</v>
      </c>
      <c r="Q381">
        <v>7611.4</v>
      </c>
      <c r="R381">
        <v>380.57</v>
      </c>
      <c r="S381">
        <v>7991.9699999999993</v>
      </c>
      <c r="T381">
        <f>ROUND(Table2[[#This Row],[TotalAmount]],0)</f>
        <v>7992</v>
      </c>
      <c r="U381" t="s">
        <v>1360</v>
      </c>
      <c r="V381" t="s">
        <v>1361</v>
      </c>
      <c r="W381" s="4">
        <v>45581</v>
      </c>
      <c r="X381" s="4">
        <v>45583</v>
      </c>
      <c r="Y381" t="b">
        <v>0</v>
      </c>
      <c r="Z381" t="s">
        <v>1412</v>
      </c>
      <c r="AA381" t="s">
        <v>1412</v>
      </c>
      <c r="AB381" t="s">
        <v>1412</v>
      </c>
      <c r="AC381" t="s">
        <v>1386</v>
      </c>
      <c r="AD381" t="s">
        <v>1385</v>
      </c>
      <c r="AE381" t="s">
        <v>1395</v>
      </c>
    </row>
    <row r="382" spans="1:31" x14ac:dyDescent="0.3">
      <c r="A382" t="s">
        <v>543</v>
      </c>
      <c r="B382" s="4">
        <v>45733.548611111109</v>
      </c>
      <c r="C382" t="s">
        <v>115</v>
      </c>
      <c r="D382" t="s">
        <v>1157</v>
      </c>
      <c r="E382" t="s">
        <v>1249</v>
      </c>
      <c r="F382" t="str" cm="1">
        <f t="array" ref="F382">_xlfn.IFS(
E382="Ahmedabad","Gujarat",
E382="Bengaluru","Karnataka",
E382="Bhopal","Madhya Pradesh",
E382="Bhubaneswar","Odisha",
E382="Chandigarh","Chandigarh",
E382="Chennai","Tamil Nadu",
E382="Delhi","Delhi",
E382="Guwahati","Assam",
E382="Hyderabad","Telangana",
E382="Indore","Madhya Pradesh",
E382="Jaipur","Rajasthan",
E382="Kochi","Kerala",
E382="Kolkata","West Bengal",
E382="Lucknow","Uttar Pradesh",
E382="Mumbai","Maharashtra",
E382="Nagpur","Maharashtra",
E382="Patna","Bihar",
E382="Pune","Maharashtra",
E382="Raipur","Chhattisgarh",
E382="Surat","Gujarat",
TRUE,"Not Found"
)</f>
        <v>Maharashtra</v>
      </c>
      <c r="G382" t="s">
        <v>1143</v>
      </c>
      <c r="H382" t="s">
        <v>1177</v>
      </c>
      <c r="I382" t="s">
        <v>1309</v>
      </c>
      <c r="J382" t="s">
        <v>1310</v>
      </c>
      <c r="K382" t="s">
        <v>1311</v>
      </c>
      <c r="L382">
        <v>4</v>
      </c>
      <c r="M382">
        <v>2504</v>
      </c>
      <c r="N382">
        <v>0</v>
      </c>
      <c r="O382">
        <v>2504</v>
      </c>
      <c r="P382">
        <v>0.12</v>
      </c>
      <c r="Q382">
        <v>10016</v>
      </c>
      <c r="R382">
        <v>1201.92</v>
      </c>
      <c r="S382">
        <v>11217.92</v>
      </c>
      <c r="T382">
        <f>ROUND(Table2[[#This Row],[TotalAmount]],0)</f>
        <v>11218</v>
      </c>
      <c r="U382" t="s">
        <v>1362</v>
      </c>
      <c r="V382" t="s">
        <v>1361</v>
      </c>
      <c r="W382" s="4">
        <v>45733</v>
      </c>
      <c r="X382" s="4">
        <v>45734</v>
      </c>
      <c r="Y382" t="b">
        <v>0</v>
      </c>
      <c r="Z382" t="s">
        <v>1412</v>
      </c>
      <c r="AA382" t="s">
        <v>1412</v>
      </c>
      <c r="AB382" t="s">
        <v>1412</v>
      </c>
      <c r="AC382" t="s">
        <v>1390</v>
      </c>
      <c r="AD382" t="s">
        <v>1387</v>
      </c>
      <c r="AE382" t="s">
        <v>1378</v>
      </c>
    </row>
    <row r="383" spans="1:31" x14ac:dyDescent="0.3">
      <c r="A383" t="s">
        <v>544</v>
      </c>
      <c r="B383" s="4">
        <v>45442.481944444437</v>
      </c>
      <c r="C383" t="s">
        <v>545</v>
      </c>
      <c r="D383" t="s">
        <v>1148</v>
      </c>
      <c r="E383" t="s">
        <v>1171</v>
      </c>
      <c r="F383" t="str" cm="1">
        <f t="array" ref="F383">_xlfn.IFS(
E383="Ahmedabad","Gujarat",
E383="Bengaluru","Karnataka",
E383="Bhopal","Madhya Pradesh",
E383="Bhubaneswar","Odisha",
E383="Chandigarh","Chandigarh",
E383="Chennai","Tamil Nadu",
E383="Delhi","Delhi",
E383="Guwahati","Assam",
E383="Hyderabad","Telangana",
E383="Indore","Madhya Pradesh",
E383="Jaipur","Rajasthan",
E383="Kochi","Kerala",
E383="Kolkata","West Bengal",
E383="Lucknow","Uttar Pradesh",
E383="Mumbai","Maharashtra",
E383="Nagpur","Maharashtra",
E383="Patna","Bihar",
E383="Pune","Maharashtra",
E383="Raipur","Chhattisgarh",
E383="Surat","Gujarat",
TRUE,"Not Found"
)</f>
        <v>Chandigarh</v>
      </c>
      <c r="G383" t="s">
        <v>1143</v>
      </c>
      <c r="H383" t="s">
        <v>1167</v>
      </c>
      <c r="I383" t="s">
        <v>1288</v>
      </c>
      <c r="J383" t="s">
        <v>1293</v>
      </c>
      <c r="K383" t="s">
        <v>1294</v>
      </c>
      <c r="L383">
        <v>3</v>
      </c>
      <c r="M383">
        <v>36115</v>
      </c>
      <c r="N383">
        <v>0.05</v>
      </c>
      <c r="O383">
        <v>34309.25</v>
      </c>
      <c r="P383">
        <v>0.12</v>
      </c>
      <c r="Q383">
        <v>102927.75</v>
      </c>
      <c r="R383">
        <v>12351.33</v>
      </c>
      <c r="S383">
        <v>115279.08</v>
      </c>
      <c r="T383">
        <f>ROUND(Table2[[#This Row],[TotalAmount]],0)</f>
        <v>115279</v>
      </c>
      <c r="U383" t="s">
        <v>1366</v>
      </c>
      <c r="V383" t="s">
        <v>1361</v>
      </c>
      <c r="W383" s="4">
        <v>45442</v>
      </c>
      <c r="X383" s="4">
        <v>45443</v>
      </c>
      <c r="Y383" t="b">
        <v>0</v>
      </c>
      <c r="Z383" t="s">
        <v>1412</v>
      </c>
      <c r="AA383" t="s">
        <v>1412</v>
      </c>
      <c r="AB383" t="s">
        <v>1412</v>
      </c>
      <c r="AC383" t="s">
        <v>1390</v>
      </c>
      <c r="AD383" t="s">
        <v>1385</v>
      </c>
      <c r="AE383" t="s">
        <v>1393</v>
      </c>
    </row>
    <row r="384" spans="1:31" x14ac:dyDescent="0.3">
      <c r="A384" t="s">
        <v>546</v>
      </c>
      <c r="B384" s="4">
        <v>45471.584027777782</v>
      </c>
      <c r="C384" t="s">
        <v>22</v>
      </c>
      <c r="D384" t="s">
        <v>1182</v>
      </c>
      <c r="E384" t="s">
        <v>1183</v>
      </c>
      <c r="F384" t="str" cm="1">
        <f t="array" ref="F384">_xlfn.IFS(
E384="Ahmedabad","Gujarat",
E384="Bengaluru","Karnataka",
E384="Bhopal","Madhya Pradesh",
E384="Bhubaneswar","Odisha",
E384="Chandigarh","Chandigarh",
E384="Chennai","Tamil Nadu",
E384="Delhi","Delhi",
E384="Guwahati","Assam",
E384="Hyderabad","Telangana",
E384="Indore","Madhya Pradesh",
E384="Jaipur","Rajasthan",
E384="Kochi","Kerala",
E384="Kolkata","West Bengal",
E384="Lucknow","Uttar Pradesh",
E384="Mumbai","Maharashtra",
E384="Nagpur","Maharashtra",
E384="Patna","Bihar",
E384="Pune","Maharashtra",
E384="Raipur","Chhattisgarh",
E384="Surat","Gujarat",
TRUE,"Not Found"
)</f>
        <v>Telangana</v>
      </c>
      <c r="G384" t="s">
        <v>1143</v>
      </c>
      <c r="H384" t="s">
        <v>1163</v>
      </c>
      <c r="I384" t="s">
        <v>1224</v>
      </c>
      <c r="J384" t="s">
        <v>1225</v>
      </c>
      <c r="K384" t="s">
        <v>1226</v>
      </c>
      <c r="L384">
        <v>1</v>
      </c>
      <c r="M384">
        <v>592</v>
      </c>
      <c r="N384">
        <v>0</v>
      </c>
      <c r="O384">
        <v>592</v>
      </c>
      <c r="P384">
        <v>0.12</v>
      </c>
      <c r="Q384">
        <v>592</v>
      </c>
      <c r="R384">
        <v>71.039999999999992</v>
      </c>
      <c r="S384">
        <v>663.04</v>
      </c>
      <c r="T384">
        <f>ROUND(Table2[[#This Row],[TotalAmount]],0)</f>
        <v>663</v>
      </c>
      <c r="U384" t="s">
        <v>1363</v>
      </c>
      <c r="V384" t="s">
        <v>1361</v>
      </c>
      <c r="W384" s="4">
        <v>45471</v>
      </c>
      <c r="X384" s="4">
        <v>45472</v>
      </c>
      <c r="Y384" t="b">
        <v>0</v>
      </c>
      <c r="Z384" t="s">
        <v>1412</v>
      </c>
      <c r="AA384" t="s">
        <v>1412</v>
      </c>
      <c r="AB384" t="s">
        <v>1412</v>
      </c>
      <c r="AC384" t="s">
        <v>1379</v>
      </c>
      <c r="AD384" t="s">
        <v>1387</v>
      </c>
      <c r="AE384" t="s">
        <v>1395</v>
      </c>
    </row>
    <row r="385" spans="1:31" x14ac:dyDescent="0.3">
      <c r="A385" t="s">
        <v>547</v>
      </c>
      <c r="B385" s="4">
        <v>45743.540277777778</v>
      </c>
      <c r="C385" t="s">
        <v>115</v>
      </c>
      <c r="D385" t="s">
        <v>1157</v>
      </c>
      <c r="E385" t="s">
        <v>1249</v>
      </c>
      <c r="F385" t="str" cm="1">
        <f t="array" ref="F385">_xlfn.IFS(
E385="Ahmedabad","Gujarat",
E385="Bengaluru","Karnataka",
E385="Bhopal","Madhya Pradesh",
E385="Bhubaneswar","Odisha",
E385="Chandigarh","Chandigarh",
E385="Chennai","Tamil Nadu",
E385="Delhi","Delhi",
E385="Guwahati","Assam",
E385="Hyderabad","Telangana",
E385="Indore","Madhya Pradesh",
E385="Jaipur","Rajasthan",
E385="Kochi","Kerala",
E385="Kolkata","West Bengal",
E385="Lucknow","Uttar Pradesh",
E385="Mumbai","Maharashtra",
E385="Nagpur","Maharashtra",
E385="Patna","Bihar",
E385="Pune","Maharashtra",
E385="Raipur","Chhattisgarh",
E385="Surat","Gujarat",
TRUE,"Not Found"
)</f>
        <v>Maharashtra</v>
      </c>
      <c r="G385" t="s">
        <v>1143</v>
      </c>
      <c r="H385" t="s">
        <v>1172</v>
      </c>
      <c r="I385" t="s">
        <v>1188</v>
      </c>
      <c r="J385" t="s">
        <v>1189</v>
      </c>
      <c r="K385" t="s">
        <v>1190</v>
      </c>
      <c r="L385">
        <v>3</v>
      </c>
      <c r="M385">
        <v>8937</v>
      </c>
      <c r="N385">
        <v>0.15</v>
      </c>
      <c r="O385">
        <v>7596.45</v>
      </c>
      <c r="P385">
        <v>0.12</v>
      </c>
      <c r="Q385">
        <v>22789.35</v>
      </c>
      <c r="R385">
        <v>2734.7220000000002</v>
      </c>
      <c r="S385">
        <v>25524.072</v>
      </c>
      <c r="T385">
        <f>ROUND(Table2[[#This Row],[TotalAmount]],0)</f>
        <v>25524</v>
      </c>
      <c r="U385" t="s">
        <v>1363</v>
      </c>
      <c r="V385" t="s">
        <v>1361</v>
      </c>
      <c r="W385" s="4">
        <v>45744</v>
      </c>
      <c r="X385" s="4">
        <v>45747</v>
      </c>
      <c r="Y385" t="b">
        <v>0</v>
      </c>
      <c r="Z385" t="s">
        <v>1412</v>
      </c>
      <c r="AA385" t="s">
        <v>1412</v>
      </c>
      <c r="AB385" t="s">
        <v>1412</v>
      </c>
      <c r="AC385" t="s">
        <v>1388</v>
      </c>
      <c r="AD385" t="s">
        <v>1385</v>
      </c>
      <c r="AE385" t="s">
        <v>1393</v>
      </c>
    </row>
    <row r="386" spans="1:31" x14ac:dyDescent="0.3">
      <c r="A386" t="s">
        <v>548</v>
      </c>
      <c r="B386" s="4">
        <v>45467.482638888891</v>
      </c>
      <c r="C386" t="s">
        <v>362</v>
      </c>
      <c r="D386" t="s">
        <v>1148</v>
      </c>
      <c r="E386" t="s">
        <v>1262</v>
      </c>
      <c r="F386" t="str" cm="1">
        <f t="array" ref="F386">_xlfn.IFS(
E386="Ahmedabad","Gujarat",
E386="Bengaluru","Karnataka",
E386="Bhopal","Madhya Pradesh",
E386="Bhubaneswar","Odisha",
E386="Chandigarh","Chandigarh",
E386="Chennai","Tamil Nadu",
E386="Delhi","Delhi",
E386="Guwahati","Assam",
E386="Hyderabad","Telangana",
E386="Indore","Madhya Pradesh",
E386="Jaipur","Rajasthan",
E386="Kochi","Kerala",
E386="Kolkata","West Bengal",
E386="Lucknow","Uttar Pradesh",
E386="Mumbai","Maharashtra",
E386="Nagpur","Maharashtra",
E386="Patna","Bihar",
E386="Pune","Maharashtra",
E386="Raipur","Chhattisgarh",
E386="Surat","Gujarat",
TRUE,"Not Found"
)</f>
        <v>Rajasthan</v>
      </c>
      <c r="G386" t="s">
        <v>1143</v>
      </c>
      <c r="H386" t="s">
        <v>1163</v>
      </c>
      <c r="I386" t="s">
        <v>1240</v>
      </c>
      <c r="J386" t="s">
        <v>1281</v>
      </c>
      <c r="K386" t="s">
        <v>1282</v>
      </c>
      <c r="L386">
        <v>3</v>
      </c>
      <c r="M386">
        <v>426</v>
      </c>
      <c r="N386">
        <v>0.05</v>
      </c>
      <c r="O386">
        <v>404.7</v>
      </c>
      <c r="P386">
        <v>0.05</v>
      </c>
      <c r="Q386">
        <v>1214.0999999999999</v>
      </c>
      <c r="R386">
        <v>60.704999999999998</v>
      </c>
      <c r="S386">
        <v>1274.8050000000001</v>
      </c>
      <c r="T386">
        <f>ROUND(Table2[[#This Row],[TotalAmount]],0)</f>
        <v>1275</v>
      </c>
      <c r="U386" t="s">
        <v>1366</v>
      </c>
      <c r="V386" t="s">
        <v>1361</v>
      </c>
      <c r="W386" s="4">
        <v>45469</v>
      </c>
      <c r="X386" s="4">
        <v>45473</v>
      </c>
      <c r="Y386" t="b">
        <v>0</v>
      </c>
      <c r="Z386" t="s">
        <v>1412</v>
      </c>
      <c r="AA386" t="s">
        <v>1412</v>
      </c>
      <c r="AB386" t="s">
        <v>1412</v>
      </c>
      <c r="AC386" t="s">
        <v>1390</v>
      </c>
      <c r="AD386" t="s">
        <v>1377</v>
      </c>
      <c r="AE386" t="s">
        <v>1383</v>
      </c>
    </row>
    <row r="387" spans="1:31" x14ac:dyDescent="0.3">
      <c r="A387" t="s">
        <v>549</v>
      </c>
      <c r="B387" s="4">
        <v>45423.658333333333</v>
      </c>
      <c r="C387" t="s">
        <v>12</v>
      </c>
      <c r="D387" t="s">
        <v>1153</v>
      </c>
      <c r="E387" t="s">
        <v>1162</v>
      </c>
      <c r="F387" t="str" cm="1">
        <f t="array" ref="F387">_xlfn.IFS(
E387="Ahmedabad","Gujarat",
E387="Bengaluru","Karnataka",
E387="Bhopal","Madhya Pradesh",
E387="Bhubaneswar","Odisha",
E387="Chandigarh","Chandigarh",
E387="Chennai","Tamil Nadu",
E387="Delhi","Delhi",
E387="Guwahati","Assam",
E387="Hyderabad","Telangana",
E387="Indore","Madhya Pradesh",
E387="Jaipur","Rajasthan",
E387="Kochi","Kerala",
E387="Kolkata","West Bengal",
E387="Lucknow","Uttar Pradesh",
E387="Mumbai","Maharashtra",
E387="Nagpur","Maharashtra",
E387="Patna","Bihar",
E387="Pune","Maharashtra",
E387="Raipur","Chhattisgarh",
E387="Surat","Gujarat",
TRUE,"Not Found"
)</f>
        <v>Madhya Pradesh</v>
      </c>
      <c r="G387" t="s">
        <v>1143</v>
      </c>
      <c r="H387" t="s">
        <v>1144</v>
      </c>
      <c r="I387" t="s">
        <v>1159</v>
      </c>
      <c r="J387" t="s">
        <v>1272</v>
      </c>
      <c r="K387" t="s">
        <v>1273</v>
      </c>
      <c r="L387">
        <v>2</v>
      </c>
      <c r="M387">
        <v>14965</v>
      </c>
      <c r="N387">
        <v>0</v>
      </c>
      <c r="O387">
        <v>14965</v>
      </c>
      <c r="P387">
        <v>0.05</v>
      </c>
      <c r="Q387">
        <v>29930</v>
      </c>
      <c r="R387">
        <v>1496.5</v>
      </c>
      <c r="S387">
        <v>31426.5</v>
      </c>
      <c r="T387">
        <f>ROUND(Table2[[#This Row],[TotalAmount]],0)</f>
        <v>31427</v>
      </c>
      <c r="U387" t="s">
        <v>1365</v>
      </c>
      <c r="V387" t="s">
        <v>1361</v>
      </c>
      <c r="W387" s="4">
        <v>45423</v>
      </c>
      <c r="X387" s="4">
        <v>45428</v>
      </c>
      <c r="Y387" t="b">
        <v>0</v>
      </c>
      <c r="Z387" t="s">
        <v>1412</v>
      </c>
      <c r="AA387" t="s">
        <v>1412</v>
      </c>
      <c r="AB387" t="s">
        <v>1412</v>
      </c>
      <c r="AC387" t="s">
        <v>1396</v>
      </c>
      <c r="AD387" t="s">
        <v>1400</v>
      </c>
      <c r="AE387" t="s">
        <v>1378</v>
      </c>
    </row>
    <row r="388" spans="1:31" x14ac:dyDescent="0.3">
      <c r="A388" t="s">
        <v>550</v>
      </c>
      <c r="B388" s="4">
        <v>45474.51458333333</v>
      </c>
      <c r="C388" t="s">
        <v>551</v>
      </c>
      <c r="D388" t="s">
        <v>1157</v>
      </c>
      <c r="E388" t="s">
        <v>1201</v>
      </c>
      <c r="F388" t="str" cm="1">
        <f t="array" ref="F388">_xlfn.IFS(
E388="Ahmedabad","Gujarat",
E388="Bengaluru","Karnataka",
E388="Bhopal","Madhya Pradesh",
E388="Bhubaneswar","Odisha",
E388="Chandigarh","Chandigarh",
E388="Chennai","Tamil Nadu",
E388="Delhi","Delhi",
E388="Guwahati","Assam",
E388="Hyderabad","Telangana",
E388="Indore","Madhya Pradesh",
E388="Jaipur","Rajasthan",
E388="Kochi","Kerala",
E388="Kolkata","West Bengal",
E388="Lucknow","Uttar Pradesh",
E388="Mumbai","Maharashtra",
E388="Nagpur","Maharashtra",
E388="Patna","Bihar",
E388="Pune","Maharashtra",
E388="Raipur","Chhattisgarh",
E388="Surat","Gujarat",
TRUE,"Not Found"
)</f>
        <v>Maharashtra</v>
      </c>
      <c r="G388" t="s">
        <v>1143</v>
      </c>
      <c r="H388" t="s">
        <v>1144</v>
      </c>
      <c r="I388" t="s">
        <v>1145</v>
      </c>
      <c r="J388" t="s">
        <v>1146</v>
      </c>
      <c r="K388" t="s">
        <v>1147</v>
      </c>
      <c r="L388">
        <v>2</v>
      </c>
      <c r="M388">
        <v>14208</v>
      </c>
      <c r="N388">
        <v>0.05</v>
      </c>
      <c r="O388">
        <v>13497.6</v>
      </c>
      <c r="P388">
        <v>0.12</v>
      </c>
      <c r="Q388">
        <v>26995.200000000001</v>
      </c>
      <c r="R388">
        <v>3239.424</v>
      </c>
      <c r="S388">
        <v>30234.624</v>
      </c>
      <c r="T388">
        <f>ROUND(Table2[[#This Row],[TotalAmount]],0)</f>
        <v>30235</v>
      </c>
      <c r="U388" t="s">
        <v>1363</v>
      </c>
      <c r="V388" t="s">
        <v>1361</v>
      </c>
      <c r="W388" s="4">
        <v>45476</v>
      </c>
      <c r="X388" s="4">
        <v>45478</v>
      </c>
      <c r="Y388" t="b">
        <v>0</v>
      </c>
      <c r="Z388" t="s">
        <v>1412</v>
      </c>
      <c r="AA388" t="s">
        <v>1412</v>
      </c>
      <c r="AB388" t="s">
        <v>1412</v>
      </c>
      <c r="AC388" t="s">
        <v>1382</v>
      </c>
      <c r="AD388" t="s">
        <v>1377</v>
      </c>
      <c r="AE388" t="s">
        <v>1380</v>
      </c>
    </row>
    <row r="389" spans="1:31" x14ac:dyDescent="0.3">
      <c r="A389" t="s">
        <v>552</v>
      </c>
      <c r="B389" s="4">
        <v>45305.541666666657</v>
      </c>
      <c r="C389" t="s">
        <v>206</v>
      </c>
      <c r="D389" t="s">
        <v>1153</v>
      </c>
      <c r="E389" t="s">
        <v>1191</v>
      </c>
      <c r="F389" t="str" cm="1">
        <f t="array" ref="F389">_xlfn.IFS(
E389="Ahmedabad","Gujarat",
E389="Bengaluru","Karnataka",
E389="Bhopal","Madhya Pradesh",
E389="Bhubaneswar","Odisha",
E389="Chandigarh","Chandigarh",
E389="Chennai","Tamil Nadu",
E389="Delhi","Delhi",
E389="Guwahati","Assam",
E389="Hyderabad","Telangana",
E389="Indore","Madhya Pradesh",
E389="Jaipur","Rajasthan",
E389="Kochi","Kerala",
E389="Kolkata","West Bengal",
E389="Lucknow","Uttar Pradesh",
E389="Mumbai","Maharashtra",
E389="Nagpur","Maharashtra",
E389="Patna","Bihar",
E389="Pune","Maharashtra",
E389="Raipur","Chhattisgarh",
E389="Surat","Gujarat",
TRUE,"Not Found"
)</f>
        <v>Madhya Pradesh</v>
      </c>
      <c r="G389" t="s">
        <v>1143</v>
      </c>
      <c r="H389" t="s">
        <v>1167</v>
      </c>
      <c r="I389" t="s">
        <v>1211</v>
      </c>
      <c r="J389" t="s">
        <v>1279</v>
      </c>
      <c r="K389" t="s">
        <v>1280</v>
      </c>
      <c r="L389">
        <v>2</v>
      </c>
      <c r="M389">
        <v>57336</v>
      </c>
      <c r="N389">
        <v>0.05</v>
      </c>
      <c r="O389">
        <v>54469.2</v>
      </c>
      <c r="P389">
        <v>0.12</v>
      </c>
      <c r="Q389">
        <v>108938.4</v>
      </c>
      <c r="R389">
        <v>13072.608</v>
      </c>
      <c r="S389">
        <v>122011.008</v>
      </c>
      <c r="T389">
        <f>ROUND(Table2[[#This Row],[TotalAmount]],0)</f>
        <v>122011</v>
      </c>
      <c r="U389" t="s">
        <v>1366</v>
      </c>
      <c r="V389" t="s">
        <v>1361</v>
      </c>
      <c r="W389" s="4">
        <v>45305</v>
      </c>
      <c r="X389" s="4">
        <v>45310</v>
      </c>
      <c r="Y389" t="b">
        <v>0</v>
      </c>
      <c r="Z389" t="s">
        <v>1412</v>
      </c>
      <c r="AA389" t="s">
        <v>1412</v>
      </c>
      <c r="AB389" t="s">
        <v>1412</v>
      </c>
      <c r="AC389" t="s">
        <v>1382</v>
      </c>
      <c r="AD389" t="s">
        <v>1399</v>
      </c>
      <c r="AE389" t="s">
        <v>1383</v>
      </c>
    </row>
    <row r="390" spans="1:31" x14ac:dyDescent="0.3">
      <c r="A390" t="s">
        <v>553</v>
      </c>
      <c r="B390" s="4">
        <v>45399.545138888891</v>
      </c>
      <c r="C390" t="s">
        <v>71</v>
      </c>
      <c r="D390" t="s">
        <v>1157</v>
      </c>
      <c r="E390" t="s">
        <v>1249</v>
      </c>
      <c r="F390" t="str" cm="1">
        <f t="array" ref="F390">_xlfn.IFS(
E390="Ahmedabad","Gujarat",
E390="Bengaluru","Karnataka",
E390="Bhopal","Madhya Pradesh",
E390="Bhubaneswar","Odisha",
E390="Chandigarh","Chandigarh",
E390="Chennai","Tamil Nadu",
E390="Delhi","Delhi",
E390="Guwahati","Assam",
E390="Hyderabad","Telangana",
E390="Indore","Madhya Pradesh",
E390="Jaipur","Rajasthan",
E390="Kochi","Kerala",
E390="Kolkata","West Bengal",
E390="Lucknow","Uttar Pradesh",
E390="Mumbai","Maharashtra",
E390="Nagpur","Maharashtra",
E390="Patna","Bihar",
E390="Pune","Maharashtra",
E390="Raipur","Chhattisgarh",
E390="Surat","Gujarat",
TRUE,"Not Found"
)</f>
        <v>Maharashtra</v>
      </c>
      <c r="G390" t="s">
        <v>1150</v>
      </c>
      <c r="H390" t="s">
        <v>1144</v>
      </c>
      <c r="I390" t="s">
        <v>1159</v>
      </c>
      <c r="J390" t="s">
        <v>1160</v>
      </c>
      <c r="K390" t="s">
        <v>1161</v>
      </c>
      <c r="L390">
        <v>4</v>
      </c>
      <c r="M390">
        <v>13005</v>
      </c>
      <c r="N390">
        <v>0.05</v>
      </c>
      <c r="O390">
        <v>12354.75</v>
      </c>
      <c r="P390">
        <v>0.18</v>
      </c>
      <c r="Q390">
        <v>49419</v>
      </c>
      <c r="R390">
        <v>8895.42</v>
      </c>
      <c r="S390">
        <v>58314.42</v>
      </c>
      <c r="T390">
        <f>ROUND(Table2[[#This Row],[TotalAmount]],0)</f>
        <v>58314</v>
      </c>
      <c r="U390" t="s">
        <v>1365</v>
      </c>
      <c r="V390" t="s">
        <v>1361</v>
      </c>
      <c r="W390" s="4">
        <v>45401</v>
      </c>
      <c r="X390" s="4">
        <v>45404</v>
      </c>
      <c r="Y390" t="b">
        <v>0</v>
      </c>
      <c r="Z390" t="s">
        <v>1412</v>
      </c>
      <c r="AA390" t="s">
        <v>1412</v>
      </c>
      <c r="AB390" t="s">
        <v>1412</v>
      </c>
      <c r="AC390" t="s">
        <v>1392</v>
      </c>
      <c r="AD390" t="s">
        <v>1377</v>
      </c>
      <c r="AE390" t="s">
        <v>1393</v>
      </c>
    </row>
    <row r="391" spans="1:31" x14ac:dyDescent="0.3">
      <c r="A391" t="s">
        <v>554</v>
      </c>
      <c r="B391" s="4">
        <v>45576.491666666669</v>
      </c>
      <c r="C391" t="s">
        <v>213</v>
      </c>
      <c r="D391" t="s">
        <v>1182</v>
      </c>
      <c r="E391" t="s">
        <v>1256</v>
      </c>
      <c r="F391" t="str" cm="1">
        <f t="array" ref="F391">_xlfn.IFS(
E391="Ahmedabad","Gujarat",
E391="Bengaluru","Karnataka",
E391="Bhopal","Madhya Pradesh",
E391="Bhubaneswar","Odisha",
E391="Chandigarh","Chandigarh",
E391="Chennai","Tamil Nadu",
E391="Delhi","Delhi",
E391="Guwahati","Assam",
E391="Hyderabad","Telangana",
E391="Indore","Madhya Pradesh",
E391="Jaipur","Rajasthan",
E391="Kochi","Kerala",
E391="Kolkata","West Bengal",
E391="Lucknow","Uttar Pradesh",
E391="Mumbai","Maharashtra",
E391="Nagpur","Maharashtra",
E391="Patna","Bihar",
E391="Pune","Maharashtra",
E391="Raipur","Chhattisgarh",
E391="Surat","Gujarat",
TRUE,"Not Found"
)</f>
        <v>Karnataka</v>
      </c>
      <c r="G391" t="s">
        <v>1143</v>
      </c>
      <c r="H391" t="s">
        <v>1177</v>
      </c>
      <c r="I391" t="s">
        <v>1195</v>
      </c>
      <c r="J391" t="s">
        <v>1202</v>
      </c>
      <c r="K391" t="s">
        <v>1203</v>
      </c>
      <c r="L391">
        <v>2</v>
      </c>
      <c r="M391">
        <v>1526</v>
      </c>
      <c r="N391">
        <v>0</v>
      </c>
      <c r="O391">
        <v>1526</v>
      </c>
      <c r="P391">
        <v>0.12</v>
      </c>
      <c r="Q391">
        <v>3052</v>
      </c>
      <c r="R391">
        <v>366.24</v>
      </c>
      <c r="S391">
        <v>3418.24</v>
      </c>
      <c r="T391">
        <f>ROUND(Table2[[#This Row],[TotalAmount]],0)</f>
        <v>3418</v>
      </c>
      <c r="U391" t="s">
        <v>1365</v>
      </c>
      <c r="V391" t="s">
        <v>1361</v>
      </c>
      <c r="W391" s="4">
        <v>45576</v>
      </c>
      <c r="X391" s="4">
        <v>45579</v>
      </c>
      <c r="Y391" t="b">
        <v>0</v>
      </c>
      <c r="Z391" t="s">
        <v>1412</v>
      </c>
      <c r="AA391" t="s">
        <v>1412</v>
      </c>
      <c r="AB391" t="s">
        <v>1412</v>
      </c>
      <c r="AC391" t="s">
        <v>1386</v>
      </c>
      <c r="AD391" t="s">
        <v>1397</v>
      </c>
      <c r="AE391" t="s">
        <v>1380</v>
      </c>
    </row>
    <row r="392" spans="1:31" x14ac:dyDescent="0.3">
      <c r="A392" t="s">
        <v>555</v>
      </c>
      <c r="B392" s="4">
        <v>45663.647222222222</v>
      </c>
      <c r="C392" t="s">
        <v>4</v>
      </c>
      <c r="D392" t="s">
        <v>1141</v>
      </c>
      <c r="E392" t="s">
        <v>1142</v>
      </c>
      <c r="F392" t="str" cm="1">
        <f t="array" ref="F392">_xlfn.IFS(
E392="Ahmedabad","Gujarat",
E392="Bengaluru","Karnataka",
E392="Bhopal","Madhya Pradesh",
E392="Bhubaneswar","Odisha",
E392="Chandigarh","Chandigarh",
E392="Chennai","Tamil Nadu",
E392="Delhi","Delhi",
E392="Guwahati","Assam",
E392="Hyderabad","Telangana",
E392="Indore","Madhya Pradesh",
E392="Jaipur","Rajasthan",
E392="Kochi","Kerala",
E392="Kolkata","West Bengal",
E392="Lucknow","Uttar Pradesh",
E392="Mumbai","Maharashtra",
E392="Nagpur","Maharashtra",
E392="Patna","Bihar",
E392="Pune","Maharashtra",
E392="Raipur","Chhattisgarh",
E392="Surat","Gujarat",
TRUE,"Not Found"
)</f>
        <v>West Bengal</v>
      </c>
      <c r="G392" t="s">
        <v>1143</v>
      </c>
      <c r="H392" t="s">
        <v>1144</v>
      </c>
      <c r="I392" t="s">
        <v>1269</v>
      </c>
      <c r="J392" t="s">
        <v>1301</v>
      </c>
      <c r="K392" t="s">
        <v>1302</v>
      </c>
      <c r="L392">
        <v>3</v>
      </c>
      <c r="M392">
        <v>14783</v>
      </c>
      <c r="N392">
        <v>0</v>
      </c>
      <c r="O392">
        <v>14783</v>
      </c>
      <c r="P392">
        <v>0.05</v>
      </c>
      <c r="Q392">
        <v>44349</v>
      </c>
      <c r="R392">
        <v>2217.4499999999998</v>
      </c>
      <c r="S392">
        <v>46566.45</v>
      </c>
      <c r="T392">
        <f>ROUND(Table2[[#This Row],[TotalAmount]],0)</f>
        <v>46566</v>
      </c>
      <c r="U392" t="s">
        <v>1363</v>
      </c>
      <c r="V392" t="s">
        <v>1361</v>
      </c>
      <c r="W392" s="4">
        <v>45665</v>
      </c>
      <c r="X392" s="4">
        <v>45669</v>
      </c>
      <c r="Y392" t="b">
        <v>0</v>
      </c>
      <c r="Z392" t="s">
        <v>1412</v>
      </c>
      <c r="AA392" t="s">
        <v>1412</v>
      </c>
      <c r="AB392" t="s">
        <v>1412</v>
      </c>
      <c r="AC392" t="s">
        <v>1390</v>
      </c>
      <c r="AD392" t="s">
        <v>1377</v>
      </c>
      <c r="AE392" t="s">
        <v>1380</v>
      </c>
    </row>
    <row r="393" spans="1:31" x14ac:dyDescent="0.3">
      <c r="A393" t="s">
        <v>556</v>
      </c>
      <c r="B393" s="4">
        <v>45539.655555555553</v>
      </c>
      <c r="C393" t="s">
        <v>75</v>
      </c>
      <c r="D393" t="s">
        <v>1182</v>
      </c>
      <c r="E393" t="s">
        <v>1183</v>
      </c>
      <c r="F393" t="str" cm="1">
        <f t="array" ref="F393">_xlfn.IFS(
E393="Ahmedabad","Gujarat",
E393="Bengaluru","Karnataka",
E393="Bhopal","Madhya Pradesh",
E393="Bhubaneswar","Odisha",
E393="Chandigarh","Chandigarh",
E393="Chennai","Tamil Nadu",
E393="Delhi","Delhi",
E393="Guwahati","Assam",
E393="Hyderabad","Telangana",
E393="Indore","Madhya Pradesh",
E393="Jaipur","Rajasthan",
E393="Kochi","Kerala",
E393="Kolkata","West Bengal",
E393="Lucknow","Uttar Pradesh",
E393="Mumbai","Maharashtra",
E393="Nagpur","Maharashtra",
E393="Patna","Bihar",
E393="Pune","Maharashtra",
E393="Raipur","Chhattisgarh",
E393="Surat","Gujarat",
TRUE,"Not Found"
)</f>
        <v>Telangana</v>
      </c>
      <c r="G393" t="s">
        <v>1187</v>
      </c>
      <c r="H393" t="s">
        <v>1177</v>
      </c>
      <c r="I393" t="s">
        <v>1192</v>
      </c>
      <c r="J393" t="s">
        <v>1193</v>
      </c>
      <c r="K393" t="s">
        <v>1194</v>
      </c>
      <c r="L393">
        <v>2</v>
      </c>
      <c r="M393">
        <v>2109</v>
      </c>
      <c r="N393">
        <v>0.2</v>
      </c>
      <c r="O393">
        <v>1687.2</v>
      </c>
      <c r="P393">
        <v>0.18</v>
      </c>
      <c r="Q393">
        <v>3374.4</v>
      </c>
      <c r="R393">
        <v>607.39199999999994</v>
      </c>
      <c r="S393">
        <v>3981.7919999999999</v>
      </c>
      <c r="T393">
        <f>ROUND(Table2[[#This Row],[TotalAmount]],0)</f>
        <v>3982</v>
      </c>
      <c r="U393" t="s">
        <v>1360</v>
      </c>
      <c r="V393" t="s">
        <v>1361</v>
      </c>
      <c r="W393" s="4">
        <v>45541</v>
      </c>
      <c r="X393" s="4">
        <v>45544</v>
      </c>
      <c r="Y393" t="b">
        <v>0</v>
      </c>
      <c r="Z393" t="s">
        <v>1412</v>
      </c>
      <c r="AA393" t="s">
        <v>1412</v>
      </c>
      <c r="AB393" t="s">
        <v>1412</v>
      </c>
      <c r="AC393" t="s">
        <v>1376</v>
      </c>
      <c r="AD393" t="s">
        <v>1377</v>
      </c>
      <c r="AE393" t="s">
        <v>1391</v>
      </c>
    </row>
    <row r="394" spans="1:31" x14ac:dyDescent="0.3">
      <c r="A394" t="s">
        <v>557</v>
      </c>
      <c r="B394" s="4">
        <v>45615.551388888889</v>
      </c>
      <c r="C394" t="s">
        <v>318</v>
      </c>
      <c r="D394" t="s">
        <v>1153</v>
      </c>
      <c r="E394" t="s">
        <v>1176</v>
      </c>
      <c r="F394" t="str" cm="1">
        <f t="array" ref="F394">_xlfn.IFS(
E394="Ahmedabad","Gujarat",
E394="Bengaluru","Karnataka",
E394="Bhopal","Madhya Pradesh",
E394="Bhubaneswar","Odisha",
E394="Chandigarh","Chandigarh",
E394="Chennai","Tamil Nadu",
E394="Delhi","Delhi",
E394="Guwahati","Assam",
E394="Hyderabad","Telangana",
E394="Indore","Madhya Pradesh",
E394="Jaipur","Rajasthan",
E394="Kochi","Kerala",
E394="Kolkata","West Bengal",
E394="Lucknow","Uttar Pradesh",
E394="Mumbai","Maharashtra",
E394="Nagpur","Maharashtra",
E394="Patna","Bihar",
E394="Pune","Maharashtra",
E394="Raipur","Chhattisgarh",
E394="Surat","Gujarat",
TRUE,"Not Found"
)</f>
        <v>Chhattisgarh</v>
      </c>
      <c r="G394" t="s">
        <v>1143</v>
      </c>
      <c r="H394" t="s">
        <v>1144</v>
      </c>
      <c r="I394" t="s">
        <v>1145</v>
      </c>
      <c r="J394" t="s">
        <v>1151</v>
      </c>
      <c r="K394" t="s">
        <v>1152</v>
      </c>
      <c r="L394">
        <v>2</v>
      </c>
      <c r="M394">
        <v>5426</v>
      </c>
      <c r="N394">
        <v>0.1</v>
      </c>
      <c r="O394">
        <v>4883.4000000000005</v>
      </c>
      <c r="P394">
        <v>0.18</v>
      </c>
      <c r="Q394">
        <v>9766.8000000000011</v>
      </c>
      <c r="R394">
        <v>1758.0239999999999</v>
      </c>
      <c r="S394">
        <v>11524.824000000001</v>
      </c>
      <c r="T394">
        <f>ROUND(Table2[[#This Row],[TotalAmount]],0)</f>
        <v>11525</v>
      </c>
      <c r="U394" t="s">
        <v>1360</v>
      </c>
      <c r="V394" t="s">
        <v>1367</v>
      </c>
      <c r="W394" s="4">
        <v>45617</v>
      </c>
      <c r="X394" s="4" t="s">
        <v>1412</v>
      </c>
      <c r="Y394" t="b">
        <v>0</v>
      </c>
      <c r="Z394" t="s">
        <v>1412</v>
      </c>
      <c r="AA394" t="s">
        <v>1412</v>
      </c>
      <c r="AB394" t="s">
        <v>1412</v>
      </c>
      <c r="AC394" t="s">
        <v>1379</v>
      </c>
      <c r="AD394" t="s">
        <v>1394</v>
      </c>
      <c r="AE394" t="s">
        <v>1393</v>
      </c>
    </row>
    <row r="395" spans="1:31" x14ac:dyDescent="0.3">
      <c r="A395" t="s">
        <v>558</v>
      </c>
      <c r="B395" s="4">
        <v>45370.590277777781</v>
      </c>
      <c r="C395" t="s">
        <v>271</v>
      </c>
      <c r="D395" t="s">
        <v>1148</v>
      </c>
      <c r="E395" t="s">
        <v>1149</v>
      </c>
      <c r="F395" t="str" cm="1">
        <f t="array" ref="F395">_xlfn.IFS(
E395="Ahmedabad","Gujarat",
E395="Bengaluru","Karnataka",
E395="Bhopal","Madhya Pradesh",
E395="Bhubaneswar","Odisha",
E395="Chandigarh","Chandigarh",
E395="Chennai","Tamil Nadu",
E395="Delhi","Delhi",
E395="Guwahati","Assam",
E395="Hyderabad","Telangana",
E395="Indore","Madhya Pradesh",
E395="Jaipur","Rajasthan",
E395="Kochi","Kerala",
E395="Kolkata","West Bengal",
E395="Lucknow","Uttar Pradesh",
E395="Mumbai","Maharashtra",
E395="Nagpur","Maharashtra",
E395="Patna","Bihar",
E395="Pune","Maharashtra",
E395="Raipur","Chhattisgarh",
E395="Surat","Gujarat",
TRUE,"Not Found"
)</f>
        <v>Uttar Pradesh</v>
      </c>
      <c r="G395" t="s">
        <v>1143</v>
      </c>
      <c r="H395" t="s">
        <v>1144</v>
      </c>
      <c r="I395" t="s">
        <v>1276</v>
      </c>
      <c r="J395" t="s">
        <v>1286</v>
      </c>
      <c r="K395" t="s">
        <v>1287</v>
      </c>
      <c r="L395">
        <v>1</v>
      </c>
      <c r="M395">
        <v>8221</v>
      </c>
      <c r="N395">
        <v>0.1</v>
      </c>
      <c r="O395">
        <v>7398.9000000000005</v>
      </c>
      <c r="P395">
        <v>0.12</v>
      </c>
      <c r="Q395">
        <v>7398.9000000000005</v>
      </c>
      <c r="R395">
        <v>887.86800000000005</v>
      </c>
      <c r="S395">
        <v>8286.768</v>
      </c>
      <c r="T395">
        <f>ROUND(Table2[[#This Row],[TotalAmount]],0)</f>
        <v>8287</v>
      </c>
      <c r="U395" t="s">
        <v>1360</v>
      </c>
      <c r="V395" t="s">
        <v>1361</v>
      </c>
      <c r="W395" s="4">
        <v>45370</v>
      </c>
      <c r="X395" s="4">
        <v>45374</v>
      </c>
      <c r="Y395" t="b">
        <v>0</v>
      </c>
      <c r="Z395" t="s">
        <v>1412</v>
      </c>
      <c r="AA395" t="s">
        <v>1412</v>
      </c>
      <c r="AB395" t="s">
        <v>1412</v>
      </c>
      <c r="AC395" t="s">
        <v>1386</v>
      </c>
      <c r="AD395" t="s">
        <v>1400</v>
      </c>
      <c r="AE395" t="s">
        <v>1389</v>
      </c>
    </row>
    <row r="396" spans="1:31" x14ac:dyDescent="0.3">
      <c r="A396" t="s">
        <v>559</v>
      </c>
      <c r="B396" s="4">
        <v>45429.533333333333</v>
      </c>
      <c r="C396" t="s">
        <v>10</v>
      </c>
      <c r="D396" t="s">
        <v>1157</v>
      </c>
      <c r="E396" t="s">
        <v>1158</v>
      </c>
      <c r="F396" t="str" cm="1">
        <f t="array" ref="F396">_xlfn.IFS(
E396="Ahmedabad","Gujarat",
E396="Bengaluru","Karnataka",
E396="Bhopal","Madhya Pradesh",
E396="Bhubaneswar","Odisha",
E396="Chandigarh","Chandigarh",
E396="Chennai","Tamil Nadu",
E396="Delhi","Delhi",
E396="Guwahati","Assam",
E396="Hyderabad","Telangana",
E396="Indore","Madhya Pradesh",
E396="Jaipur","Rajasthan",
E396="Kochi","Kerala",
E396="Kolkata","West Bengal",
E396="Lucknow","Uttar Pradesh",
E396="Mumbai","Maharashtra",
E396="Nagpur","Maharashtra",
E396="Patna","Bihar",
E396="Pune","Maharashtra",
E396="Raipur","Chhattisgarh",
E396="Surat","Gujarat",
TRUE,"Not Found"
)</f>
        <v>Gujarat</v>
      </c>
      <c r="G396" t="s">
        <v>1228</v>
      </c>
      <c r="H396" t="s">
        <v>1172</v>
      </c>
      <c r="I396" t="s">
        <v>1198</v>
      </c>
      <c r="J396" t="s">
        <v>1303</v>
      </c>
      <c r="K396" t="s">
        <v>1304</v>
      </c>
      <c r="L396">
        <v>1</v>
      </c>
      <c r="M396">
        <v>607</v>
      </c>
      <c r="N396">
        <v>0.15</v>
      </c>
      <c r="O396">
        <v>515.94999999999993</v>
      </c>
      <c r="P396">
        <v>0.05</v>
      </c>
      <c r="Q396">
        <v>515.94999999999993</v>
      </c>
      <c r="R396">
        <v>25.797499999999999</v>
      </c>
      <c r="S396">
        <v>541.74749999999995</v>
      </c>
      <c r="T396">
        <f>ROUND(Table2[[#This Row],[TotalAmount]],0)</f>
        <v>542</v>
      </c>
      <c r="U396" t="s">
        <v>1360</v>
      </c>
      <c r="V396" t="s">
        <v>1361</v>
      </c>
      <c r="W396" s="4">
        <v>45429</v>
      </c>
      <c r="X396" s="4">
        <v>45434</v>
      </c>
      <c r="Y396" t="b">
        <v>0</v>
      </c>
      <c r="Z396" t="s">
        <v>1412</v>
      </c>
      <c r="AA396" t="s">
        <v>1412</v>
      </c>
      <c r="AB396" t="s">
        <v>1412</v>
      </c>
      <c r="AC396" t="s">
        <v>1392</v>
      </c>
      <c r="AD396" t="s">
        <v>1394</v>
      </c>
      <c r="AE396" t="s">
        <v>1391</v>
      </c>
    </row>
    <row r="397" spans="1:31" x14ac:dyDescent="0.3">
      <c r="A397" t="s">
        <v>560</v>
      </c>
      <c r="B397" s="4">
        <v>45297.654166666667</v>
      </c>
      <c r="C397" t="s">
        <v>139</v>
      </c>
      <c r="D397" t="s">
        <v>1148</v>
      </c>
      <c r="E397" t="s">
        <v>1262</v>
      </c>
      <c r="F397" t="str" cm="1">
        <f t="array" ref="F397">_xlfn.IFS(
E397="Ahmedabad","Gujarat",
E397="Bengaluru","Karnataka",
E397="Bhopal","Madhya Pradesh",
E397="Bhubaneswar","Odisha",
E397="Chandigarh","Chandigarh",
E397="Chennai","Tamil Nadu",
E397="Delhi","Delhi",
E397="Guwahati","Assam",
E397="Hyderabad","Telangana",
E397="Indore","Madhya Pradesh",
E397="Jaipur","Rajasthan",
E397="Kochi","Kerala",
E397="Kolkata","West Bengal",
E397="Lucknow","Uttar Pradesh",
E397="Mumbai","Maharashtra",
E397="Nagpur","Maharashtra",
E397="Patna","Bihar",
E397="Pune","Maharashtra",
E397="Raipur","Chhattisgarh",
E397="Surat","Gujarat",
TRUE,"Not Found"
)</f>
        <v>Rajasthan</v>
      </c>
      <c r="G397" t="s">
        <v>1150</v>
      </c>
      <c r="H397" t="s">
        <v>1163</v>
      </c>
      <c r="I397" t="s">
        <v>1224</v>
      </c>
      <c r="J397" t="s">
        <v>1316</v>
      </c>
      <c r="K397" t="s">
        <v>1317</v>
      </c>
      <c r="L397">
        <v>2</v>
      </c>
      <c r="M397">
        <v>509</v>
      </c>
      <c r="N397">
        <v>0</v>
      </c>
      <c r="O397">
        <v>509</v>
      </c>
      <c r="P397">
        <v>0.12</v>
      </c>
      <c r="Q397">
        <v>1018</v>
      </c>
      <c r="R397">
        <v>122.16</v>
      </c>
      <c r="S397">
        <v>1140.1600000000001</v>
      </c>
      <c r="T397">
        <f>ROUND(Table2[[#This Row],[TotalAmount]],0)</f>
        <v>1140</v>
      </c>
      <c r="U397" t="s">
        <v>1363</v>
      </c>
      <c r="V397" t="s">
        <v>1361</v>
      </c>
      <c r="W397" s="4">
        <v>45299</v>
      </c>
      <c r="X397" s="4">
        <v>45303</v>
      </c>
      <c r="Y397" t="b">
        <v>0</v>
      </c>
      <c r="Z397" t="s">
        <v>1412</v>
      </c>
      <c r="AA397" t="s">
        <v>1412</v>
      </c>
      <c r="AB397" t="s">
        <v>1412</v>
      </c>
      <c r="AC397" t="s">
        <v>1386</v>
      </c>
      <c r="AD397" t="s">
        <v>1394</v>
      </c>
      <c r="AE397" t="s">
        <v>1393</v>
      </c>
    </row>
    <row r="398" spans="1:31" x14ac:dyDescent="0.3">
      <c r="A398" t="s">
        <v>561</v>
      </c>
      <c r="B398" s="4">
        <v>45375.52847222222</v>
      </c>
      <c r="C398" t="s">
        <v>195</v>
      </c>
      <c r="D398" t="s">
        <v>1148</v>
      </c>
      <c r="E398" t="s">
        <v>1149</v>
      </c>
      <c r="F398" t="str" cm="1">
        <f t="array" ref="F398">_xlfn.IFS(
E398="Ahmedabad","Gujarat",
E398="Bengaluru","Karnataka",
E398="Bhopal","Madhya Pradesh",
E398="Bhubaneswar","Odisha",
E398="Chandigarh","Chandigarh",
E398="Chennai","Tamil Nadu",
E398="Delhi","Delhi",
E398="Guwahati","Assam",
E398="Hyderabad","Telangana",
E398="Indore","Madhya Pradesh",
E398="Jaipur","Rajasthan",
E398="Kochi","Kerala",
E398="Kolkata","West Bengal",
E398="Lucknow","Uttar Pradesh",
E398="Mumbai","Maharashtra",
E398="Nagpur","Maharashtra",
E398="Patna","Bihar",
E398="Pune","Maharashtra",
E398="Raipur","Chhattisgarh",
E398="Surat","Gujarat",
TRUE,"Not Found"
)</f>
        <v>Uttar Pradesh</v>
      </c>
      <c r="G398" t="s">
        <v>1143</v>
      </c>
      <c r="H398" t="s">
        <v>1163</v>
      </c>
      <c r="I398" t="s">
        <v>1184</v>
      </c>
      <c r="J398" t="s">
        <v>1245</v>
      </c>
      <c r="K398" t="s">
        <v>1246</v>
      </c>
      <c r="L398">
        <v>2</v>
      </c>
      <c r="M398">
        <v>662</v>
      </c>
      <c r="N398">
        <v>0.05</v>
      </c>
      <c r="O398">
        <v>628.9</v>
      </c>
      <c r="P398">
        <v>0.12</v>
      </c>
      <c r="Q398">
        <v>1257.8</v>
      </c>
      <c r="R398">
        <v>150.93600000000001</v>
      </c>
      <c r="S398">
        <v>1408.7360000000001</v>
      </c>
      <c r="T398">
        <f>ROUND(Table2[[#This Row],[TotalAmount]],0)</f>
        <v>1409</v>
      </c>
      <c r="U398" t="s">
        <v>1365</v>
      </c>
      <c r="V398" t="s">
        <v>1361</v>
      </c>
      <c r="W398" s="4">
        <v>45377</v>
      </c>
      <c r="X398" s="4">
        <v>45380</v>
      </c>
      <c r="Y398" t="b">
        <v>0</v>
      </c>
      <c r="Z398" t="s">
        <v>1412</v>
      </c>
      <c r="AA398" t="s">
        <v>1412</v>
      </c>
      <c r="AB398" t="s">
        <v>1412</v>
      </c>
      <c r="AC398" t="s">
        <v>1386</v>
      </c>
      <c r="AD398" t="s">
        <v>1385</v>
      </c>
      <c r="AE398" t="s">
        <v>1383</v>
      </c>
    </row>
    <row r="399" spans="1:31" x14ac:dyDescent="0.3">
      <c r="A399" t="s">
        <v>562</v>
      </c>
      <c r="B399" s="4">
        <v>45328.418749999997</v>
      </c>
      <c r="C399" t="s">
        <v>460</v>
      </c>
      <c r="D399" t="s">
        <v>1182</v>
      </c>
      <c r="E399" t="s">
        <v>1256</v>
      </c>
      <c r="F399" t="str" cm="1">
        <f t="array" ref="F399">_xlfn.IFS(
E399="Ahmedabad","Gujarat",
E399="Bengaluru","Karnataka",
E399="Bhopal","Madhya Pradesh",
E399="Bhubaneswar","Odisha",
E399="Chandigarh","Chandigarh",
E399="Chennai","Tamil Nadu",
E399="Delhi","Delhi",
E399="Guwahati","Assam",
E399="Hyderabad","Telangana",
E399="Indore","Madhya Pradesh",
E399="Jaipur","Rajasthan",
E399="Kochi","Kerala",
E399="Kolkata","West Bengal",
E399="Lucknow","Uttar Pradesh",
E399="Mumbai","Maharashtra",
E399="Nagpur","Maharashtra",
E399="Patna","Bihar",
E399="Pune","Maharashtra",
E399="Raipur","Chhattisgarh",
E399="Surat","Gujarat",
TRUE,"Not Found"
)</f>
        <v>Karnataka</v>
      </c>
      <c r="G399" t="s">
        <v>1143</v>
      </c>
      <c r="H399" t="s">
        <v>1172</v>
      </c>
      <c r="I399" t="s">
        <v>1173</v>
      </c>
      <c r="J399" t="s">
        <v>1342</v>
      </c>
      <c r="K399" t="s">
        <v>1343</v>
      </c>
      <c r="L399">
        <v>1</v>
      </c>
      <c r="M399">
        <v>7915</v>
      </c>
      <c r="N399">
        <v>0</v>
      </c>
      <c r="O399">
        <v>7915</v>
      </c>
      <c r="P399">
        <v>0.12</v>
      </c>
      <c r="Q399">
        <v>7915</v>
      </c>
      <c r="R399">
        <v>949.8</v>
      </c>
      <c r="S399">
        <v>8864.7999999999993</v>
      </c>
      <c r="T399">
        <f>ROUND(Table2[[#This Row],[TotalAmount]],0)</f>
        <v>8865</v>
      </c>
      <c r="U399" t="s">
        <v>1362</v>
      </c>
      <c r="V399" t="s">
        <v>1361</v>
      </c>
      <c r="W399" s="4">
        <v>45328</v>
      </c>
      <c r="X399" s="4">
        <v>45333</v>
      </c>
      <c r="Y399" t="b">
        <v>0</v>
      </c>
      <c r="Z399" t="s">
        <v>1412</v>
      </c>
      <c r="AA399" t="s">
        <v>1412</v>
      </c>
      <c r="AB399" t="s">
        <v>1412</v>
      </c>
      <c r="AC399" t="s">
        <v>1396</v>
      </c>
      <c r="AD399" t="s">
        <v>1385</v>
      </c>
      <c r="AE399" t="s">
        <v>1380</v>
      </c>
    </row>
    <row r="400" spans="1:31" x14ac:dyDescent="0.3">
      <c r="A400" t="s">
        <v>563</v>
      </c>
      <c r="B400" s="4">
        <v>45651.549305555563</v>
      </c>
      <c r="C400" t="s">
        <v>325</v>
      </c>
      <c r="D400" t="s">
        <v>1153</v>
      </c>
      <c r="E400" t="s">
        <v>1154</v>
      </c>
      <c r="F400" t="str" cm="1">
        <f t="array" ref="F400">_xlfn.IFS(
E400="Ahmedabad","Gujarat",
E400="Bengaluru","Karnataka",
E400="Bhopal","Madhya Pradesh",
E400="Bhubaneswar","Odisha",
E400="Chandigarh","Chandigarh",
E400="Chennai","Tamil Nadu",
E400="Delhi","Delhi",
E400="Guwahati","Assam",
E400="Hyderabad","Telangana",
E400="Indore","Madhya Pradesh",
E400="Jaipur","Rajasthan",
E400="Kochi","Kerala",
E400="Kolkata","West Bengal",
E400="Lucknow","Uttar Pradesh",
E400="Mumbai","Maharashtra",
E400="Nagpur","Maharashtra",
E400="Patna","Bihar",
E400="Pune","Maharashtra",
E400="Raipur","Chhattisgarh",
E400="Surat","Gujarat",
TRUE,"Not Found"
)</f>
        <v>Maharashtra</v>
      </c>
      <c r="G400" t="s">
        <v>1187</v>
      </c>
      <c r="H400" t="s">
        <v>1167</v>
      </c>
      <c r="I400" t="s">
        <v>1211</v>
      </c>
      <c r="J400" t="s">
        <v>1279</v>
      </c>
      <c r="K400" t="s">
        <v>1280</v>
      </c>
      <c r="L400">
        <v>2</v>
      </c>
      <c r="M400">
        <v>10368</v>
      </c>
      <c r="N400">
        <v>0.05</v>
      </c>
      <c r="O400">
        <v>9849.6</v>
      </c>
      <c r="P400">
        <v>0.18</v>
      </c>
      <c r="Q400">
        <v>19699.2</v>
      </c>
      <c r="R400">
        <v>3545.8560000000002</v>
      </c>
      <c r="S400">
        <v>23245.056</v>
      </c>
      <c r="T400">
        <f>ROUND(Table2[[#This Row],[TotalAmount]],0)</f>
        <v>23245</v>
      </c>
      <c r="U400" t="s">
        <v>1366</v>
      </c>
      <c r="V400" t="s">
        <v>1367</v>
      </c>
      <c r="W400" s="4">
        <v>45653</v>
      </c>
      <c r="X400" s="4" t="s">
        <v>1412</v>
      </c>
      <c r="Y400" t="b">
        <v>0</v>
      </c>
      <c r="Z400" t="s">
        <v>1412</v>
      </c>
      <c r="AA400" t="s">
        <v>1412</v>
      </c>
      <c r="AB400" t="s">
        <v>1412</v>
      </c>
      <c r="AC400" t="s">
        <v>1386</v>
      </c>
      <c r="AD400" t="s">
        <v>1377</v>
      </c>
      <c r="AE400" t="s">
        <v>1393</v>
      </c>
    </row>
    <row r="401" spans="1:31" x14ac:dyDescent="0.3">
      <c r="A401" t="s">
        <v>564</v>
      </c>
      <c r="B401" s="4">
        <v>45521.620138888888</v>
      </c>
      <c r="C401" t="s">
        <v>128</v>
      </c>
      <c r="D401" t="s">
        <v>1182</v>
      </c>
      <c r="E401" t="s">
        <v>1183</v>
      </c>
      <c r="F401" t="str" cm="1">
        <f t="array" ref="F401">_xlfn.IFS(
E401="Ahmedabad","Gujarat",
E401="Bengaluru","Karnataka",
E401="Bhopal","Madhya Pradesh",
E401="Bhubaneswar","Odisha",
E401="Chandigarh","Chandigarh",
E401="Chennai","Tamil Nadu",
E401="Delhi","Delhi",
E401="Guwahati","Assam",
E401="Hyderabad","Telangana",
E401="Indore","Madhya Pradesh",
E401="Jaipur","Rajasthan",
E401="Kochi","Kerala",
E401="Kolkata","West Bengal",
E401="Lucknow","Uttar Pradesh",
E401="Mumbai","Maharashtra",
E401="Nagpur","Maharashtra",
E401="Patna","Bihar",
E401="Pune","Maharashtra",
E401="Raipur","Chhattisgarh",
E401="Surat","Gujarat",
TRUE,"Not Found"
)</f>
        <v>Telangana</v>
      </c>
      <c r="G401" t="s">
        <v>1143</v>
      </c>
      <c r="H401" t="s">
        <v>1177</v>
      </c>
      <c r="I401" t="s">
        <v>1236</v>
      </c>
      <c r="J401" t="s">
        <v>1254</v>
      </c>
      <c r="K401" t="s">
        <v>1255</v>
      </c>
      <c r="L401">
        <v>1</v>
      </c>
      <c r="M401">
        <v>1044</v>
      </c>
      <c r="N401">
        <v>0</v>
      </c>
      <c r="O401">
        <v>1044</v>
      </c>
      <c r="P401">
        <v>0.18</v>
      </c>
      <c r="Q401">
        <v>1044</v>
      </c>
      <c r="R401">
        <v>187.92</v>
      </c>
      <c r="S401">
        <v>1231.92</v>
      </c>
      <c r="T401">
        <f>ROUND(Table2[[#This Row],[TotalAmount]],0)</f>
        <v>1232</v>
      </c>
      <c r="U401" t="s">
        <v>1366</v>
      </c>
      <c r="V401" t="s">
        <v>1369</v>
      </c>
      <c r="W401" s="4" t="s">
        <v>1412</v>
      </c>
      <c r="X401" s="4" t="s">
        <v>1412</v>
      </c>
      <c r="Y401" t="b">
        <v>0</v>
      </c>
      <c r="Z401" t="s">
        <v>1412</v>
      </c>
      <c r="AA401" t="s">
        <v>1412</v>
      </c>
      <c r="AB401" t="s">
        <v>1412</v>
      </c>
      <c r="AC401" t="s">
        <v>1376</v>
      </c>
      <c r="AD401" t="s">
        <v>1397</v>
      </c>
      <c r="AE401" t="s">
        <v>1389</v>
      </c>
    </row>
    <row r="402" spans="1:31" x14ac:dyDescent="0.3">
      <c r="A402" t="s">
        <v>565</v>
      </c>
      <c r="B402" s="4">
        <v>45535.586111111108</v>
      </c>
      <c r="C402" t="s">
        <v>65</v>
      </c>
      <c r="D402" t="s">
        <v>1141</v>
      </c>
      <c r="E402" t="s">
        <v>1142</v>
      </c>
      <c r="F402" t="str" cm="1">
        <f t="array" ref="F402">_xlfn.IFS(
E402="Ahmedabad","Gujarat",
E402="Bengaluru","Karnataka",
E402="Bhopal","Madhya Pradesh",
E402="Bhubaneswar","Odisha",
E402="Chandigarh","Chandigarh",
E402="Chennai","Tamil Nadu",
E402="Delhi","Delhi",
E402="Guwahati","Assam",
E402="Hyderabad","Telangana",
E402="Indore","Madhya Pradesh",
E402="Jaipur","Rajasthan",
E402="Kochi","Kerala",
E402="Kolkata","West Bengal",
E402="Lucknow","Uttar Pradesh",
E402="Mumbai","Maharashtra",
E402="Nagpur","Maharashtra",
E402="Patna","Bihar",
E402="Pune","Maharashtra",
E402="Raipur","Chhattisgarh",
E402="Surat","Gujarat",
TRUE,"Not Found"
)</f>
        <v>West Bengal</v>
      </c>
      <c r="G402" t="s">
        <v>1143</v>
      </c>
      <c r="H402" t="s">
        <v>1144</v>
      </c>
      <c r="I402" t="s">
        <v>1214</v>
      </c>
      <c r="J402" t="s">
        <v>1320</v>
      </c>
      <c r="K402" t="s">
        <v>1321</v>
      </c>
      <c r="L402">
        <v>1</v>
      </c>
      <c r="M402">
        <v>9815</v>
      </c>
      <c r="N402">
        <v>0.15</v>
      </c>
      <c r="O402">
        <v>8342.75</v>
      </c>
      <c r="P402">
        <v>0.18</v>
      </c>
      <c r="Q402">
        <v>8342.75</v>
      </c>
      <c r="R402">
        <v>1501.6949999999999</v>
      </c>
      <c r="S402">
        <v>9844.4449999999997</v>
      </c>
      <c r="T402">
        <f>ROUND(Table2[[#This Row],[TotalAmount]],0)</f>
        <v>9844</v>
      </c>
      <c r="U402" t="s">
        <v>1363</v>
      </c>
      <c r="V402" t="s">
        <v>1361</v>
      </c>
      <c r="W402" s="4">
        <v>45535</v>
      </c>
      <c r="X402" s="4">
        <v>45539</v>
      </c>
      <c r="Y402" t="b">
        <v>0</v>
      </c>
      <c r="Z402" t="s">
        <v>1412</v>
      </c>
      <c r="AA402" t="s">
        <v>1412</v>
      </c>
      <c r="AB402" t="s">
        <v>1412</v>
      </c>
      <c r="AC402" t="s">
        <v>1388</v>
      </c>
      <c r="AD402" t="s">
        <v>1394</v>
      </c>
      <c r="AE402" t="s">
        <v>1393</v>
      </c>
    </row>
    <row r="403" spans="1:31" x14ac:dyDescent="0.3">
      <c r="A403" t="s">
        <v>566</v>
      </c>
      <c r="B403" s="4">
        <v>45667.556250000001</v>
      </c>
      <c r="C403" t="s">
        <v>57</v>
      </c>
      <c r="D403" t="s">
        <v>1153</v>
      </c>
      <c r="E403" t="s">
        <v>1176</v>
      </c>
      <c r="F403" t="str" cm="1">
        <f t="array" ref="F403">_xlfn.IFS(
E403="Ahmedabad","Gujarat",
E403="Bengaluru","Karnataka",
E403="Bhopal","Madhya Pradesh",
E403="Bhubaneswar","Odisha",
E403="Chandigarh","Chandigarh",
E403="Chennai","Tamil Nadu",
E403="Delhi","Delhi",
E403="Guwahati","Assam",
E403="Hyderabad","Telangana",
E403="Indore","Madhya Pradesh",
E403="Jaipur","Rajasthan",
E403="Kochi","Kerala",
E403="Kolkata","West Bengal",
E403="Lucknow","Uttar Pradesh",
E403="Mumbai","Maharashtra",
E403="Nagpur","Maharashtra",
E403="Patna","Bihar",
E403="Pune","Maharashtra",
E403="Raipur","Chhattisgarh",
E403="Surat","Gujarat",
TRUE,"Not Found"
)</f>
        <v>Chhattisgarh</v>
      </c>
      <c r="G403" t="s">
        <v>1150</v>
      </c>
      <c r="H403" t="s">
        <v>1177</v>
      </c>
      <c r="I403" t="s">
        <v>1178</v>
      </c>
      <c r="J403" t="s">
        <v>1220</v>
      </c>
      <c r="K403" t="s">
        <v>1221</v>
      </c>
      <c r="L403">
        <v>3</v>
      </c>
      <c r="M403">
        <v>1432</v>
      </c>
      <c r="N403">
        <v>0.15</v>
      </c>
      <c r="O403">
        <v>1217.2</v>
      </c>
      <c r="P403">
        <v>0.12</v>
      </c>
      <c r="Q403">
        <v>3651.6</v>
      </c>
      <c r="R403">
        <v>438.19200000000001</v>
      </c>
      <c r="S403">
        <v>4089.7919999999999</v>
      </c>
      <c r="T403">
        <f>ROUND(Table2[[#This Row],[TotalAmount]],0)</f>
        <v>4090</v>
      </c>
      <c r="U403" t="s">
        <v>1363</v>
      </c>
      <c r="V403" t="s">
        <v>1361</v>
      </c>
      <c r="W403" s="4">
        <v>45668</v>
      </c>
      <c r="X403" s="4">
        <v>45673</v>
      </c>
      <c r="Y403" t="b">
        <v>0</v>
      </c>
      <c r="Z403" t="s">
        <v>1412</v>
      </c>
      <c r="AA403" t="s">
        <v>1412</v>
      </c>
      <c r="AB403" t="s">
        <v>1412</v>
      </c>
      <c r="AC403" t="s">
        <v>1388</v>
      </c>
      <c r="AD403" t="s">
        <v>1394</v>
      </c>
      <c r="AE403" t="s">
        <v>1391</v>
      </c>
    </row>
    <row r="404" spans="1:31" x14ac:dyDescent="0.3">
      <c r="A404" t="s">
        <v>567</v>
      </c>
      <c r="B404" s="4">
        <v>45420.46875</v>
      </c>
      <c r="C404" t="s">
        <v>130</v>
      </c>
      <c r="D404" t="s">
        <v>1153</v>
      </c>
      <c r="E404" t="s">
        <v>1176</v>
      </c>
      <c r="F404" t="str" cm="1">
        <f t="array" ref="F404">_xlfn.IFS(
E404="Ahmedabad","Gujarat",
E404="Bengaluru","Karnataka",
E404="Bhopal","Madhya Pradesh",
E404="Bhubaneswar","Odisha",
E404="Chandigarh","Chandigarh",
E404="Chennai","Tamil Nadu",
E404="Delhi","Delhi",
E404="Guwahati","Assam",
E404="Hyderabad","Telangana",
E404="Indore","Madhya Pradesh",
E404="Jaipur","Rajasthan",
E404="Kochi","Kerala",
E404="Kolkata","West Bengal",
E404="Lucknow","Uttar Pradesh",
E404="Mumbai","Maharashtra",
E404="Nagpur","Maharashtra",
E404="Patna","Bihar",
E404="Pune","Maharashtra",
E404="Raipur","Chhattisgarh",
E404="Surat","Gujarat",
TRUE,"Not Found"
)</f>
        <v>Chhattisgarh</v>
      </c>
      <c r="G404" t="s">
        <v>1143</v>
      </c>
      <c r="H404" t="s">
        <v>1177</v>
      </c>
      <c r="I404" t="s">
        <v>1178</v>
      </c>
      <c r="J404" t="s">
        <v>1220</v>
      </c>
      <c r="K404" t="s">
        <v>1221</v>
      </c>
      <c r="L404">
        <v>1</v>
      </c>
      <c r="M404">
        <v>550</v>
      </c>
      <c r="N404">
        <v>0.05</v>
      </c>
      <c r="O404">
        <v>522.5</v>
      </c>
      <c r="P404">
        <v>0.18</v>
      </c>
      <c r="Q404">
        <v>522.5</v>
      </c>
      <c r="R404">
        <v>94.05</v>
      </c>
      <c r="S404">
        <v>616.54999999999995</v>
      </c>
      <c r="T404">
        <f>ROUND(Table2[[#This Row],[TotalAmount]],0)</f>
        <v>617</v>
      </c>
      <c r="U404" t="s">
        <v>1360</v>
      </c>
      <c r="V404" t="s">
        <v>1361</v>
      </c>
      <c r="W404" s="4">
        <v>45422</v>
      </c>
      <c r="X404" s="4">
        <v>45423</v>
      </c>
      <c r="Y404" t="b">
        <v>0</v>
      </c>
      <c r="Z404" t="s">
        <v>1412</v>
      </c>
      <c r="AA404" t="s">
        <v>1412</v>
      </c>
      <c r="AB404" t="s">
        <v>1412</v>
      </c>
      <c r="AC404" t="s">
        <v>1384</v>
      </c>
      <c r="AD404" t="s">
        <v>1394</v>
      </c>
      <c r="AE404" t="s">
        <v>1393</v>
      </c>
    </row>
    <row r="405" spans="1:31" x14ac:dyDescent="0.3">
      <c r="A405" t="s">
        <v>568</v>
      </c>
      <c r="B405" s="4">
        <v>45461.536805555559</v>
      </c>
      <c r="C405" t="s">
        <v>160</v>
      </c>
      <c r="D405" t="s">
        <v>1157</v>
      </c>
      <c r="E405" t="s">
        <v>1201</v>
      </c>
      <c r="F405" t="str" cm="1">
        <f t="array" ref="F405">_xlfn.IFS(
E405="Ahmedabad","Gujarat",
E405="Bengaluru","Karnataka",
E405="Bhopal","Madhya Pradesh",
E405="Bhubaneswar","Odisha",
E405="Chandigarh","Chandigarh",
E405="Chennai","Tamil Nadu",
E405="Delhi","Delhi",
E405="Guwahati","Assam",
E405="Hyderabad","Telangana",
E405="Indore","Madhya Pradesh",
E405="Jaipur","Rajasthan",
E405="Kochi","Kerala",
E405="Kolkata","West Bengal",
E405="Lucknow","Uttar Pradesh",
E405="Mumbai","Maharashtra",
E405="Nagpur","Maharashtra",
E405="Patna","Bihar",
E405="Pune","Maharashtra",
E405="Raipur","Chhattisgarh",
E405="Surat","Gujarat",
TRUE,"Not Found"
)</f>
        <v>Maharashtra</v>
      </c>
      <c r="G405" t="s">
        <v>1150</v>
      </c>
      <c r="H405" t="s">
        <v>1172</v>
      </c>
      <c r="I405" t="s">
        <v>1173</v>
      </c>
      <c r="J405" t="s">
        <v>1342</v>
      </c>
      <c r="K405" t="s">
        <v>1343</v>
      </c>
      <c r="L405">
        <v>3</v>
      </c>
      <c r="M405">
        <v>4444</v>
      </c>
      <c r="N405">
        <v>0</v>
      </c>
      <c r="O405">
        <v>4444</v>
      </c>
      <c r="P405">
        <v>0.05</v>
      </c>
      <c r="Q405">
        <v>13332</v>
      </c>
      <c r="R405">
        <v>666.6</v>
      </c>
      <c r="S405">
        <v>13998.6</v>
      </c>
      <c r="T405">
        <f>ROUND(Table2[[#This Row],[TotalAmount]],0)</f>
        <v>13999</v>
      </c>
      <c r="U405" t="s">
        <v>1366</v>
      </c>
      <c r="V405" t="s">
        <v>1361</v>
      </c>
      <c r="W405" s="4">
        <v>45462</v>
      </c>
      <c r="X405" s="4">
        <v>45466</v>
      </c>
      <c r="Y405" t="b">
        <v>0</v>
      </c>
      <c r="Z405" t="s">
        <v>1412</v>
      </c>
      <c r="AA405" t="s">
        <v>1412</v>
      </c>
      <c r="AB405" t="s">
        <v>1412</v>
      </c>
      <c r="AC405" t="s">
        <v>1376</v>
      </c>
      <c r="AD405" t="s">
        <v>1377</v>
      </c>
      <c r="AE405" t="s">
        <v>1395</v>
      </c>
    </row>
    <row r="406" spans="1:31" x14ac:dyDescent="0.3">
      <c r="A406" t="s">
        <v>569</v>
      </c>
      <c r="B406" s="4">
        <v>45338.602777777778</v>
      </c>
      <c r="C406" t="s">
        <v>173</v>
      </c>
      <c r="D406" t="s">
        <v>1153</v>
      </c>
      <c r="E406" t="s">
        <v>1176</v>
      </c>
      <c r="F406" t="str" cm="1">
        <f t="array" ref="F406">_xlfn.IFS(
E406="Ahmedabad","Gujarat",
E406="Bengaluru","Karnataka",
E406="Bhopal","Madhya Pradesh",
E406="Bhubaneswar","Odisha",
E406="Chandigarh","Chandigarh",
E406="Chennai","Tamil Nadu",
E406="Delhi","Delhi",
E406="Guwahati","Assam",
E406="Hyderabad","Telangana",
E406="Indore","Madhya Pradesh",
E406="Jaipur","Rajasthan",
E406="Kochi","Kerala",
E406="Kolkata","West Bengal",
E406="Lucknow","Uttar Pradesh",
E406="Mumbai","Maharashtra",
E406="Nagpur","Maharashtra",
E406="Patna","Bihar",
E406="Pune","Maharashtra",
E406="Raipur","Chhattisgarh",
E406="Surat","Gujarat",
TRUE,"Not Found"
)</f>
        <v>Chhattisgarh</v>
      </c>
      <c r="G406" t="s">
        <v>1143</v>
      </c>
      <c r="H406" t="s">
        <v>1172</v>
      </c>
      <c r="I406" t="s">
        <v>1229</v>
      </c>
      <c r="J406" t="s">
        <v>1230</v>
      </c>
      <c r="K406" t="s">
        <v>1231</v>
      </c>
      <c r="L406">
        <v>1</v>
      </c>
      <c r="M406">
        <v>9646</v>
      </c>
      <c r="N406">
        <v>0</v>
      </c>
      <c r="O406">
        <v>9646</v>
      </c>
      <c r="P406">
        <v>0.12</v>
      </c>
      <c r="Q406">
        <v>9646</v>
      </c>
      <c r="R406">
        <v>1157.52</v>
      </c>
      <c r="S406">
        <v>10803.52</v>
      </c>
      <c r="T406">
        <f>ROUND(Table2[[#This Row],[TotalAmount]],0)</f>
        <v>10804</v>
      </c>
      <c r="U406" t="s">
        <v>1360</v>
      </c>
      <c r="V406" t="s">
        <v>1361</v>
      </c>
      <c r="W406" s="4">
        <v>45338</v>
      </c>
      <c r="X406" s="4">
        <v>45340</v>
      </c>
      <c r="Y406" t="b">
        <v>0</v>
      </c>
      <c r="Z406" t="s">
        <v>1412</v>
      </c>
      <c r="AA406" t="s">
        <v>1412</v>
      </c>
      <c r="AB406" t="s">
        <v>1412</v>
      </c>
      <c r="AC406" t="s">
        <v>1382</v>
      </c>
      <c r="AD406" t="s">
        <v>1400</v>
      </c>
      <c r="AE406" t="s">
        <v>1378</v>
      </c>
    </row>
    <row r="407" spans="1:31" x14ac:dyDescent="0.3">
      <c r="A407" t="s">
        <v>570</v>
      </c>
      <c r="B407" s="4">
        <v>45742.585416666669</v>
      </c>
      <c r="C407" t="s">
        <v>571</v>
      </c>
      <c r="D407" t="s">
        <v>1157</v>
      </c>
      <c r="E407" t="s">
        <v>1201</v>
      </c>
      <c r="F407" t="str" cm="1">
        <f t="array" ref="F407">_xlfn.IFS(
E407="Ahmedabad","Gujarat",
E407="Bengaluru","Karnataka",
E407="Bhopal","Madhya Pradesh",
E407="Bhubaneswar","Odisha",
E407="Chandigarh","Chandigarh",
E407="Chennai","Tamil Nadu",
E407="Delhi","Delhi",
E407="Guwahati","Assam",
E407="Hyderabad","Telangana",
E407="Indore","Madhya Pradesh",
E407="Jaipur","Rajasthan",
E407="Kochi","Kerala",
E407="Kolkata","West Bengal",
E407="Lucknow","Uttar Pradesh",
E407="Mumbai","Maharashtra",
E407="Nagpur","Maharashtra",
E407="Patna","Bihar",
E407="Pune","Maharashtra",
E407="Raipur","Chhattisgarh",
E407="Surat","Gujarat",
TRUE,"Not Found"
)</f>
        <v>Maharashtra</v>
      </c>
      <c r="G407" t="s">
        <v>1150</v>
      </c>
      <c r="H407" t="s">
        <v>1163</v>
      </c>
      <c r="I407" t="s">
        <v>1240</v>
      </c>
      <c r="J407" t="s">
        <v>1281</v>
      </c>
      <c r="K407" t="s">
        <v>1282</v>
      </c>
      <c r="L407">
        <v>4</v>
      </c>
      <c r="M407">
        <v>515</v>
      </c>
      <c r="N407">
        <v>0.15</v>
      </c>
      <c r="O407">
        <v>437.75</v>
      </c>
      <c r="P407">
        <v>0.12</v>
      </c>
      <c r="Q407">
        <v>1751</v>
      </c>
      <c r="R407">
        <v>210.12</v>
      </c>
      <c r="S407">
        <v>1961.12</v>
      </c>
      <c r="T407">
        <f>ROUND(Table2[[#This Row],[TotalAmount]],0)</f>
        <v>1961</v>
      </c>
      <c r="U407" t="s">
        <v>1363</v>
      </c>
      <c r="V407" t="s">
        <v>1361</v>
      </c>
      <c r="W407" s="4">
        <v>45743</v>
      </c>
      <c r="X407" s="4">
        <v>45744</v>
      </c>
      <c r="Y407" t="b">
        <v>0</v>
      </c>
      <c r="Z407" t="s">
        <v>1412</v>
      </c>
      <c r="AA407" t="s">
        <v>1412</v>
      </c>
      <c r="AB407" t="s">
        <v>1412</v>
      </c>
      <c r="AC407" t="s">
        <v>1376</v>
      </c>
      <c r="AD407" t="s">
        <v>1394</v>
      </c>
      <c r="AE407" t="s">
        <v>1380</v>
      </c>
    </row>
    <row r="408" spans="1:31" x14ac:dyDescent="0.3">
      <c r="A408" t="s">
        <v>572</v>
      </c>
      <c r="B408" s="4">
        <v>45502.550694444442</v>
      </c>
      <c r="C408" t="s">
        <v>143</v>
      </c>
      <c r="D408" t="s">
        <v>1153</v>
      </c>
      <c r="E408" t="s">
        <v>1154</v>
      </c>
      <c r="F408" t="str" cm="1">
        <f t="array" ref="F408">_xlfn.IFS(
E408="Ahmedabad","Gujarat",
E408="Bengaluru","Karnataka",
E408="Bhopal","Madhya Pradesh",
E408="Bhubaneswar","Odisha",
E408="Chandigarh","Chandigarh",
E408="Chennai","Tamil Nadu",
E408="Delhi","Delhi",
E408="Guwahati","Assam",
E408="Hyderabad","Telangana",
E408="Indore","Madhya Pradesh",
E408="Jaipur","Rajasthan",
E408="Kochi","Kerala",
E408="Kolkata","West Bengal",
E408="Lucknow","Uttar Pradesh",
E408="Mumbai","Maharashtra",
E408="Nagpur","Maharashtra",
E408="Patna","Bihar",
E408="Pune","Maharashtra",
E408="Raipur","Chhattisgarh",
E408="Surat","Gujarat",
TRUE,"Not Found"
)</f>
        <v>Maharashtra</v>
      </c>
      <c r="G408" t="s">
        <v>1143</v>
      </c>
      <c r="H408" t="s">
        <v>1144</v>
      </c>
      <c r="I408" t="s">
        <v>1214</v>
      </c>
      <c r="J408" t="s">
        <v>1320</v>
      </c>
      <c r="K408" t="s">
        <v>1321</v>
      </c>
      <c r="L408">
        <v>2</v>
      </c>
      <c r="M408">
        <v>8491</v>
      </c>
      <c r="N408">
        <v>0</v>
      </c>
      <c r="O408">
        <v>8491</v>
      </c>
      <c r="P408">
        <v>0.12</v>
      </c>
      <c r="Q408">
        <v>16982</v>
      </c>
      <c r="R408">
        <v>2037.84</v>
      </c>
      <c r="S408">
        <v>19019.84</v>
      </c>
      <c r="T408">
        <f>ROUND(Table2[[#This Row],[TotalAmount]],0)</f>
        <v>19020</v>
      </c>
      <c r="U408" t="s">
        <v>1360</v>
      </c>
      <c r="V408" t="s">
        <v>1361</v>
      </c>
      <c r="W408" s="4">
        <v>45503</v>
      </c>
      <c r="X408" s="4">
        <v>45507</v>
      </c>
      <c r="Y408" t="b">
        <v>0</v>
      </c>
      <c r="Z408" t="s">
        <v>1412</v>
      </c>
      <c r="AA408" t="s">
        <v>1412</v>
      </c>
      <c r="AB408" t="s">
        <v>1412</v>
      </c>
      <c r="AC408" t="s">
        <v>1382</v>
      </c>
      <c r="AD408" t="s">
        <v>1394</v>
      </c>
      <c r="AE408" t="s">
        <v>1380</v>
      </c>
    </row>
    <row r="409" spans="1:31" x14ac:dyDescent="0.3">
      <c r="A409" t="s">
        <v>573</v>
      </c>
      <c r="B409" s="4">
        <v>45687.518750000003</v>
      </c>
      <c r="C409" t="s">
        <v>18</v>
      </c>
      <c r="D409" t="s">
        <v>1153</v>
      </c>
      <c r="E409" t="s">
        <v>1176</v>
      </c>
      <c r="F409" t="str" cm="1">
        <f t="array" ref="F409">_xlfn.IFS(
E409="Ahmedabad","Gujarat",
E409="Bengaluru","Karnataka",
E409="Bhopal","Madhya Pradesh",
E409="Bhubaneswar","Odisha",
E409="Chandigarh","Chandigarh",
E409="Chennai","Tamil Nadu",
E409="Delhi","Delhi",
E409="Guwahati","Assam",
E409="Hyderabad","Telangana",
E409="Indore","Madhya Pradesh",
E409="Jaipur","Rajasthan",
E409="Kochi","Kerala",
E409="Kolkata","West Bengal",
E409="Lucknow","Uttar Pradesh",
E409="Mumbai","Maharashtra",
E409="Nagpur","Maharashtra",
E409="Patna","Bihar",
E409="Pune","Maharashtra",
E409="Raipur","Chhattisgarh",
E409="Surat","Gujarat",
TRUE,"Not Found"
)</f>
        <v>Chhattisgarh</v>
      </c>
      <c r="G409" t="s">
        <v>1150</v>
      </c>
      <c r="H409" t="s">
        <v>1144</v>
      </c>
      <c r="I409" t="s">
        <v>1269</v>
      </c>
      <c r="J409" t="s">
        <v>1301</v>
      </c>
      <c r="K409" t="s">
        <v>1302</v>
      </c>
      <c r="L409">
        <v>4</v>
      </c>
      <c r="M409">
        <v>4976</v>
      </c>
      <c r="N409">
        <v>0.05</v>
      </c>
      <c r="O409">
        <v>4727.2</v>
      </c>
      <c r="P409">
        <v>0.05</v>
      </c>
      <c r="Q409">
        <v>18908.8</v>
      </c>
      <c r="R409">
        <v>945.44</v>
      </c>
      <c r="S409">
        <v>19854.240000000002</v>
      </c>
      <c r="T409">
        <f>ROUND(Table2[[#This Row],[TotalAmount]],0)</f>
        <v>19854</v>
      </c>
      <c r="U409" t="s">
        <v>1360</v>
      </c>
      <c r="V409" t="s">
        <v>1361</v>
      </c>
      <c r="W409" s="4">
        <v>45688</v>
      </c>
      <c r="X409" s="4">
        <v>45689</v>
      </c>
      <c r="Y409" t="b">
        <v>0</v>
      </c>
      <c r="Z409" t="s">
        <v>1412</v>
      </c>
      <c r="AA409" t="s">
        <v>1412</v>
      </c>
      <c r="AB409" t="s">
        <v>1412</v>
      </c>
      <c r="AC409" t="s">
        <v>1396</v>
      </c>
      <c r="AD409" t="s">
        <v>1397</v>
      </c>
      <c r="AE409" t="s">
        <v>1395</v>
      </c>
    </row>
    <row r="410" spans="1:31" x14ac:dyDescent="0.3">
      <c r="A410" t="s">
        <v>574</v>
      </c>
      <c r="B410" s="4">
        <v>45369.525000000001</v>
      </c>
      <c r="C410" t="s">
        <v>494</v>
      </c>
      <c r="D410" t="s">
        <v>1153</v>
      </c>
      <c r="E410" t="s">
        <v>1191</v>
      </c>
      <c r="F410" t="str" cm="1">
        <f t="array" ref="F410">_xlfn.IFS(
E410="Ahmedabad","Gujarat",
E410="Bengaluru","Karnataka",
E410="Bhopal","Madhya Pradesh",
E410="Bhubaneswar","Odisha",
E410="Chandigarh","Chandigarh",
E410="Chennai","Tamil Nadu",
E410="Delhi","Delhi",
E410="Guwahati","Assam",
E410="Hyderabad","Telangana",
E410="Indore","Madhya Pradesh",
E410="Jaipur","Rajasthan",
E410="Kochi","Kerala",
E410="Kolkata","West Bengal",
E410="Lucknow","Uttar Pradesh",
E410="Mumbai","Maharashtra",
E410="Nagpur","Maharashtra",
E410="Patna","Bihar",
E410="Pune","Maharashtra",
E410="Raipur","Chhattisgarh",
E410="Surat","Gujarat",
TRUE,"Not Found"
)</f>
        <v>Madhya Pradesh</v>
      </c>
      <c r="G410" t="s">
        <v>1143</v>
      </c>
      <c r="H410" t="s">
        <v>1177</v>
      </c>
      <c r="I410" t="s">
        <v>1236</v>
      </c>
      <c r="J410" t="s">
        <v>1338</v>
      </c>
      <c r="K410" t="s">
        <v>1339</v>
      </c>
      <c r="L410">
        <v>2</v>
      </c>
      <c r="M410">
        <v>2139</v>
      </c>
      <c r="N410">
        <v>0</v>
      </c>
      <c r="O410">
        <v>2139</v>
      </c>
      <c r="P410">
        <v>0.18</v>
      </c>
      <c r="Q410">
        <v>4278</v>
      </c>
      <c r="R410">
        <v>770.04</v>
      </c>
      <c r="S410">
        <v>5048.04</v>
      </c>
      <c r="T410">
        <f>ROUND(Table2[[#This Row],[TotalAmount]],0)</f>
        <v>5048</v>
      </c>
      <c r="U410" t="s">
        <v>1360</v>
      </c>
      <c r="V410" t="s">
        <v>1361</v>
      </c>
      <c r="W410" s="4">
        <v>45371</v>
      </c>
      <c r="X410" s="4">
        <v>45376</v>
      </c>
      <c r="Y410" t="b">
        <v>0</v>
      </c>
      <c r="Z410" t="s">
        <v>1412</v>
      </c>
      <c r="AA410" t="s">
        <v>1412</v>
      </c>
      <c r="AB410" t="s">
        <v>1412</v>
      </c>
      <c r="AC410" t="s">
        <v>1398</v>
      </c>
      <c r="AD410" t="s">
        <v>1385</v>
      </c>
      <c r="AE410" t="s">
        <v>1391</v>
      </c>
    </row>
    <row r="411" spans="1:31" x14ac:dyDescent="0.3">
      <c r="A411" t="s">
        <v>575</v>
      </c>
      <c r="B411" s="4">
        <v>45751.572222222218</v>
      </c>
      <c r="C411" t="s">
        <v>231</v>
      </c>
      <c r="D411" t="s">
        <v>1157</v>
      </c>
      <c r="E411" t="s">
        <v>1249</v>
      </c>
      <c r="F411" t="str" cm="1">
        <f t="array" ref="F411">_xlfn.IFS(
E411="Ahmedabad","Gujarat",
E411="Bengaluru","Karnataka",
E411="Bhopal","Madhya Pradesh",
E411="Bhubaneswar","Odisha",
E411="Chandigarh","Chandigarh",
E411="Chennai","Tamil Nadu",
E411="Delhi","Delhi",
E411="Guwahati","Assam",
E411="Hyderabad","Telangana",
E411="Indore","Madhya Pradesh",
E411="Jaipur","Rajasthan",
E411="Kochi","Kerala",
E411="Kolkata","West Bengal",
E411="Lucknow","Uttar Pradesh",
E411="Mumbai","Maharashtra",
E411="Nagpur","Maharashtra",
E411="Patna","Bihar",
E411="Pune","Maharashtra",
E411="Raipur","Chhattisgarh",
E411="Surat","Gujarat",
TRUE,"Not Found"
)</f>
        <v>Maharashtra</v>
      </c>
      <c r="G411" t="s">
        <v>1150</v>
      </c>
      <c r="H411" t="s">
        <v>1163</v>
      </c>
      <c r="I411" t="s">
        <v>1240</v>
      </c>
      <c r="J411" t="s">
        <v>1241</v>
      </c>
      <c r="K411" t="s">
        <v>1242</v>
      </c>
      <c r="L411">
        <v>3</v>
      </c>
      <c r="M411">
        <v>147</v>
      </c>
      <c r="N411">
        <v>0</v>
      </c>
      <c r="O411">
        <v>147</v>
      </c>
      <c r="P411">
        <v>0.12</v>
      </c>
      <c r="Q411">
        <v>441</v>
      </c>
      <c r="R411">
        <v>52.919999999999987</v>
      </c>
      <c r="S411">
        <v>493.92</v>
      </c>
      <c r="T411">
        <f>ROUND(Table2[[#This Row],[TotalAmount]],0)</f>
        <v>494</v>
      </c>
      <c r="U411" t="s">
        <v>1360</v>
      </c>
      <c r="V411" t="s">
        <v>1361</v>
      </c>
      <c r="W411" s="4">
        <v>45751</v>
      </c>
      <c r="X411" s="4">
        <v>45752</v>
      </c>
      <c r="Y411" t="b">
        <v>0</v>
      </c>
      <c r="Z411" t="s">
        <v>1412</v>
      </c>
      <c r="AA411" t="s">
        <v>1412</v>
      </c>
      <c r="AB411" t="s">
        <v>1412</v>
      </c>
      <c r="AC411" t="s">
        <v>1388</v>
      </c>
      <c r="AD411" t="s">
        <v>1387</v>
      </c>
      <c r="AE411" t="s">
        <v>1389</v>
      </c>
    </row>
    <row r="412" spans="1:31" x14ac:dyDescent="0.3">
      <c r="A412" t="s">
        <v>576</v>
      </c>
      <c r="B412" s="4">
        <v>45474.758333333331</v>
      </c>
      <c r="C412" t="s">
        <v>247</v>
      </c>
      <c r="D412" t="s">
        <v>1141</v>
      </c>
      <c r="E412" t="s">
        <v>1227</v>
      </c>
      <c r="F412" t="str" cm="1">
        <f t="array" ref="F412">_xlfn.IFS(
E412="Ahmedabad","Gujarat",
E412="Bengaluru","Karnataka",
E412="Bhopal","Madhya Pradesh",
E412="Bhubaneswar","Odisha",
E412="Chandigarh","Chandigarh",
E412="Chennai","Tamil Nadu",
E412="Delhi","Delhi",
E412="Guwahati","Assam",
E412="Hyderabad","Telangana",
E412="Indore","Madhya Pradesh",
E412="Jaipur","Rajasthan",
E412="Kochi","Kerala",
E412="Kolkata","West Bengal",
E412="Lucknow","Uttar Pradesh",
E412="Mumbai","Maharashtra",
E412="Nagpur","Maharashtra",
E412="Patna","Bihar",
E412="Pune","Maharashtra",
E412="Raipur","Chhattisgarh",
E412="Surat","Gujarat",
TRUE,"Not Found"
)</f>
        <v>Bihar</v>
      </c>
      <c r="G412" t="s">
        <v>1143</v>
      </c>
      <c r="H412" t="s">
        <v>1144</v>
      </c>
      <c r="I412" t="s">
        <v>1269</v>
      </c>
      <c r="J412" t="s">
        <v>1326</v>
      </c>
      <c r="K412" t="s">
        <v>1327</v>
      </c>
      <c r="L412">
        <v>4</v>
      </c>
      <c r="M412">
        <v>5321</v>
      </c>
      <c r="N412">
        <v>0.05</v>
      </c>
      <c r="O412">
        <v>5054.95</v>
      </c>
      <c r="P412">
        <v>0.05</v>
      </c>
      <c r="Q412">
        <v>20219.8</v>
      </c>
      <c r="R412">
        <v>1010.99</v>
      </c>
      <c r="S412">
        <v>21230.79</v>
      </c>
      <c r="T412">
        <f>ROUND(Table2[[#This Row],[TotalAmount]],0)</f>
        <v>21231</v>
      </c>
      <c r="U412" t="s">
        <v>1363</v>
      </c>
      <c r="V412" t="s">
        <v>1361</v>
      </c>
      <c r="W412" s="4">
        <v>45474</v>
      </c>
      <c r="X412" s="4">
        <v>45475</v>
      </c>
      <c r="Y412" t="b">
        <v>0</v>
      </c>
      <c r="Z412" t="s">
        <v>1412</v>
      </c>
      <c r="AA412" t="s">
        <v>1412</v>
      </c>
      <c r="AB412" t="s">
        <v>1412</v>
      </c>
      <c r="AC412" t="s">
        <v>1392</v>
      </c>
      <c r="AD412" t="s">
        <v>1387</v>
      </c>
      <c r="AE412" t="s">
        <v>1380</v>
      </c>
    </row>
    <row r="413" spans="1:31" x14ac:dyDescent="0.3">
      <c r="A413" t="s">
        <v>577</v>
      </c>
      <c r="B413" s="4">
        <v>45674.502083333333</v>
      </c>
      <c r="C413" t="s">
        <v>239</v>
      </c>
      <c r="D413" t="s">
        <v>1153</v>
      </c>
      <c r="E413" t="s">
        <v>1162</v>
      </c>
      <c r="F413" t="str" cm="1">
        <f t="array" ref="F413">_xlfn.IFS(
E413="Ahmedabad","Gujarat",
E413="Bengaluru","Karnataka",
E413="Bhopal","Madhya Pradesh",
E413="Bhubaneswar","Odisha",
E413="Chandigarh","Chandigarh",
E413="Chennai","Tamil Nadu",
E413="Delhi","Delhi",
E413="Guwahati","Assam",
E413="Hyderabad","Telangana",
E413="Indore","Madhya Pradesh",
E413="Jaipur","Rajasthan",
E413="Kochi","Kerala",
E413="Kolkata","West Bengal",
E413="Lucknow","Uttar Pradesh",
E413="Mumbai","Maharashtra",
E413="Nagpur","Maharashtra",
E413="Patna","Bihar",
E413="Pune","Maharashtra",
E413="Raipur","Chhattisgarh",
E413="Surat","Gujarat",
TRUE,"Not Found"
)</f>
        <v>Madhya Pradesh</v>
      </c>
      <c r="G413" t="s">
        <v>1143</v>
      </c>
      <c r="H413" t="s">
        <v>1144</v>
      </c>
      <c r="I413" t="s">
        <v>1269</v>
      </c>
      <c r="J413" t="s">
        <v>1301</v>
      </c>
      <c r="K413" t="s">
        <v>1302</v>
      </c>
      <c r="L413">
        <v>1</v>
      </c>
      <c r="M413">
        <v>9618</v>
      </c>
      <c r="N413">
        <v>0.05</v>
      </c>
      <c r="O413">
        <v>9137.1</v>
      </c>
      <c r="P413">
        <v>0.12</v>
      </c>
      <c r="Q413">
        <v>9137.1</v>
      </c>
      <c r="R413">
        <v>1096.452</v>
      </c>
      <c r="S413">
        <v>10233.552</v>
      </c>
      <c r="T413">
        <f>ROUND(Table2[[#This Row],[TotalAmount]],0)</f>
        <v>10234</v>
      </c>
      <c r="U413" t="s">
        <v>1360</v>
      </c>
      <c r="V413" t="s">
        <v>1361</v>
      </c>
      <c r="W413" s="4">
        <v>45676</v>
      </c>
      <c r="X413" s="4">
        <v>45679</v>
      </c>
      <c r="Y413" t="b">
        <v>0</v>
      </c>
      <c r="Z413" t="s">
        <v>1412</v>
      </c>
      <c r="AA413" t="s">
        <v>1412</v>
      </c>
      <c r="AB413" t="s">
        <v>1412</v>
      </c>
      <c r="AC413" t="s">
        <v>1382</v>
      </c>
      <c r="AD413" t="s">
        <v>1387</v>
      </c>
      <c r="AE413" t="s">
        <v>1395</v>
      </c>
    </row>
    <row r="414" spans="1:31" x14ac:dyDescent="0.3">
      <c r="A414" t="s">
        <v>578</v>
      </c>
      <c r="B414" s="4">
        <v>45309.624305555553</v>
      </c>
      <c r="C414" t="s">
        <v>368</v>
      </c>
      <c r="D414" t="s">
        <v>1153</v>
      </c>
      <c r="E414" t="s">
        <v>1191</v>
      </c>
      <c r="F414" t="str" cm="1">
        <f t="array" ref="F414">_xlfn.IFS(
E414="Ahmedabad","Gujarat",
E414="Bengaluru","Karnataka",
E414="Bhopal","Madhya Pradesh",
E414="Bhubaneswar","Odisha",
E414="Chandigarh","Chandigarh",
E414="Chennai","Tamil Nadu",
E414="Delhi","Delhi",
E414="Guwahati","Assam",
E414="Hyderabad","Telangana",
E414="Indore","Madhya Pradesh",
E414="Jaipur","Rajasthan",
E414="Kochi","Kerala",
E414="Kolkata","West Bengal",
E414="Lucknow","Uttar Pradesh",
E414="Mumbai","Maharashtra",
E414="Nagpur","Maharashtra",
E414="Patna","Bihar",
E414="Pune","Maharashtra",
E414="Raipur","Chhattisgarh",
E414="Surat","Gujarat",
TRUE,"Not Found"
)</f>
        <v>Madhya Pradesh</v>
      </c>
      <c r="G414" t="s">
        <v>1228</v>
      </c>
      <c r="H414" t="s">
        <v>1144</v>
      </c>
      <c r="I414" t="s">
        <v>1145</v>
      </c>
      <c r="J414" t="s">
        <v>1146</v>
      </c>
      <c r="K414" t="s">
        <v>1147</v>
      </c>
      <c r="L414">
        <v>1</v>
      </c>
      <c r="M414">
        <v>13879</v>
      </c>
      <c r="N414">
        <v>0.15</v>
      </c>
      <c r="O414">
        <v>11797.15</v>
      </c>
      <c r="P414">
        <v>0.18</v>
      </c>
      <c r="Q414">
        <v>11797.15</v>
      </c>
      <c r="R414">
        <v>2123.4870000000001</v>
      </c>
      <c r="S414">
        <v>13920.637000000001</v>
      </c>
      <c r="T414">
        <f>ROUND(Table2[[#This Row],[TotalAmount]],0)</f>
        <v>13921</v>
      </c>
      <c r="U414" t="s">
        <v>1365</v>
      </c>
      <c r="V414" t="s">
        <v>1361</v>
      </c>
      <c r="W414" s="4">
        <v>45310</v>
      </c>
      <c r="X414" s="4">
        <v>45312</v>
      </c>
      <c r="Y414" t="b">
        <v>0</v>
      </c>
      <c r="Z414" t="s">
        <v>1412</v>
      </c>
      <c r="AA414" t="s">
        <v>1412</v>
      </c>
      <c r="AB414" t="s">
        <v>1412</v>
      </c>
      <c r="AC414" t="s">
        <v>1386</v>
      </c>
      <c r="AD414" t="s">
        <v>1385</v>
      </c>
      <c r="AE414" t="s">
        <v>1391</v>
      </c>
    </row>
    <row r="415" spans="1:31" x14ac:dyDescent="0.3">
      <c r="A415" t="s">
        <v>579</v>
      </c>
      <c r="B415" s="4">
        <v>45737.535416666673</v>
      </c>
      <c r="C415" t="s">
        <v>346</v>
      </c>
      <c r="D415" t="s">
        <v>1153</v>
      </c>
      <c r="E415" t="s">
        <v>1162</v>
      </c>
      <c r="F415" t="str" cm="1">
        <f t="array" ref="F415">_xlfn.IFS(
E415="Ahmedabad","Gujarat",
E415="Bengaluru","Karnataka",
E415="Bhopal","Madhya Pradesh",
E415="Bhubaneswar","Odisha",
E415="Chandigarh","Chandigarh",
E415="Chennai","Tamil Nadu",
E415="Delhi","Delhi",
E415="Guwahati","Assam",
E415="Hyderabad","Telangana",
E415="Indore","Madhya Pradesh",
E415="Jaipur","Rajasthan",
E415="Kochi","Kerala",
E415="Kolkata","West Bengal",
E415="Lucknow","Uttar Pradesh",
E415="Mumbai","Maharashtra",
E415="Nagpur","Maharashtra",
E415="Patna","Bihar",
E415="Pune","Maharashtra",
E415="Raipur","Chhattisgarh",
E415="Surat","Gujarat",
TRUE,"Not Found"
)</f>
        <v>Madhya Pradesh</v>
      </c>
      <c r="G415" t="s">
        <v>1143</v>
      </c>
      <c r="H415" t="s">
        <v>1167</v>
      </c>
      <c r="I415" t="s">
        <v>1263</v>
      </c>
      <c r="J415" t="s">
        <v>1274</v>
      </c>
      <c r="K415" t="s">
        <v>1275</v>
      </c>
      <c r="L415">
        <v>1</v>
      </c>
      <c r="M415">
        <v>57337</v>
      </c>
      <c r="N415">
        <v>0.05</v>
      </c>
      <c r="O415">
        <v>54470.149999999987</v>
      </c>
      <c r="P415">
        <v>0.12</v>
      </c>
      <c r="Q415">
        <v>54470.149999999987</v>
      </c>
      <c r="R415">
        <v>6536.4179999999988</v>
      </c>
      <c r="S415">
        <v>61006.567999999992</v>
      </c>
      <c r="T415">
        <f>ROUND(Table2[[#This Row],[TotalAmount]],0)</f>
        <v>61007</v>
      </c>
      <c r="U415" t="s">
        <v>1362</v>
      </c>
      <c r="V415" t="s">
        <v>1361</v>
      </c>
      <c r="W415" s="4">
        <v>45737</v>
      </c>
      <c r="X415" s="4">
        <v>45740</v>
      </c>
      <c r="Y415" t="b">
        <v>0</v>
      </c>
      <c r="Z415" t="s">
        <v>1412</v>
      </c>
      <c r="AA415" t="s">
        <v>1412</v>
      </c>
      <c r="AB415" t="s">
        <v>1412</v>
      </c>
      <c r="AC415" t="s">
        <v>1398</v>
      </c>
      <c r="AD415" t="s">
        <v>1394</v>
      </c>
      <c r="AE415" t="s">
        <v>1393</v>
      </c>
    </row>
    <row r="416" spans="1:31" x14ac:dyDescent="0.3">
      <c r="A416" t="s">
        <v>580</v>
      </c>
      <c r="B416" s="4">
        <v>45423.440972222219</v>
      </c>
      <c r="C416" t="s">
        <v>239</v>
      </c>
      <c r="D416" t="s">
        <v>1153</v>
      </c>
      <c r="E416" t="s">
        <v>1162</v>
      </c>
      <c r="F416" t="str" cm="1">
        <f t="array" ref="F416">_xlfn.IFS(
E416="Ahmedabad","Gujarat",
E416="Bengaluru","Karnataka",
E416="Bhopal","Madhya Pradesh",
E416="Bhubaneswar","Odisha",
E416="Chandigarh","Chandigarh",
E416="Chennai","Tamil Nadu",
E416="Delhi","Delhi",
E416="Guwahati","Assam",
E416="Hyderabad","Telangana",
E416="Indore","Madhya Pradesh",
E416="Jaipur","Rajasthan",
E416="Kochi","Kerala",
E416="Kolkata","West Bengal",
E416="Lucknow","Uttar Pradesh",
E416="Mumbai","Maharashtra",
E416="Nagpur","Maharashtra",
E416="Patna","Bihar",
E416="Pune","Maharashtra",
E416="Raipur","Chhattisgarh",
E416="Surat","Gujarat",
TRUE,"Not Found"
)</f>
        <v>Madhya Pradesh</v>
      </c>
      <c r="G416" t="s">
        <v>1150</v>
      </c>
      <c r="H416" t="s">
        <v>1177</v>
      </c>
      <c r="I416" t="s">
        <v>1236</v>
      </c>
      <c r="J416" t="s">
        <v>1338</v>
      </c>
      <c r="K416" t="s">
        <v>1339</v>
      </c>
      <c r="L416">
        <v>1</v>
      </c>
      <c r="M416">
        <v>942</v>
      </c>
      <c r="N416">
        <v>0.05</v>
      </c>
      <c r="O416">
        <v>894.9</v>
      </c>
      <c r="P416">
        <v>0.12</v>
      </c>
      <c r="Q416">
        <v>894.9</v>
      </c>
      <c r="R416">
        <v>107.38800000000001</v>
      </c>
      <c r="S416">
        <v>1002.288</v>
      </c>
      <c r="T416">
        <f>ROUND(Table2[[#This Row],[TotalAmount]],0)</f>
        <v>1002</v>
      </c>
      <c r="U416" t="s">
        <v>1362</v>
      </c>
      <c r="V416" t="s">
        <v>1361</v>
      </c>
      <c r="W416" s="4">
        <v>45425</v>
      </c>
      <c r="X416" s="4">
        <v>45427</v>
      </c>
      <c r="Y416" t="b">
        <v>0</v>
      </c>
      <c r="Z416" t="s">
        <v>1412</v>
      </c>
      <c r="AA416" t="s">
        <v>1412</v>
      </c>
      <c r="AB416" t="s">
        <v>1412</v>
      </c>
      <c r="AC416" t="s">
        <v>1384</v>
      </c>
      <c r="AD416" t="s">
        <v>1394</v>
      </c>
      <c r="AE416" t="s">
        <v>1389</v>
      </c>
    </row>
    <row r="417" spans="1:31" x14ac:dyDescent="0.3">
      <c r="A417" t="s">
        <v>581</v>
      </c>
      <c r="B417" s="4">
        <v>45595.614583333343</v>
      </c>
      <c r="C417" t="s">
        <v>537</v>
      </c>
      <c r="D417" t="s">
        <v>1153</v>
      </c>
      <c r="E417" t="s">
        <v>1162</v>
      </c>
      <c r="F417" t="str" cm="1">
        <f t="array" ref="F417">_xlfn.IFS(
E417="Ahmedabad","Gujarat",
E417="Bengaluru","Karnataka",
E417="Bhopal","Madhya Pradesh",
E417="Bhubaneswar","Odisha",
E417="Chandigarh","Chandigarh",
E417="Chennai","Tamil Nadu",
E417="Delhi","Delhi",
E417="Guwahati","Assam",
E417="Hyderabad","Telangana",
E417="Indore","Madhya Pradesh",
E417="Jaipur","Rajasthan",
E417="Kochi","Kerala",
E417="Kolkata","West Bengal",
E417="Lucknow","Uttar Pradesh",
E417="Mumbai","Maharashtra",
E417="Nagpur","Maharashtra",
E417="Patna","Bihar",
E417="Pune","Maharashtra",
E417="Raipur","Chhattisgarh",
E417="Surat","Gujarat",
TRUE,"Not Found"
)</f>
        <v>Madhya Pradesh</v>
      </c>
      <c r="G417" t="s">
        <v>1228</v>
      </c>
      <c r="H417" t="s">
        <v>1177</v>
      </c>
      <c r="I417" t="s">
        <v>1236</v>
      </c>
      <c r="J417" t="s">
        <v>1338</v>
      </c>
      <c r="K417" t="s">
        <v>1339</v>
      </c>
      <c r="L417">
        <v>1</v>
      </c>
      <c r="M417">
        <v>2203</v>
      </c>
      <c r="N417">
        <v>0</v>
      </c>
      <c r="O417">
        <v>2203</v>
      </c>
      <c r="P417">
        <v>0.12</v>
      </c>
      <c r="Q417">
        <v>2203</v>
      </c>
      <c r="R417">
        <v>264.36</v>
      </c>
      <c r="S417">
        <v>2467.36</v>
      </c>
      <c r="T417">
        <f>ROUND(Table2[[#This Row],[TotalAmount]],0)</f>
        <v>2467</v>
      </c>
      <c r="U417" t="s">
        <v>1362</v>
      </c>
      <c r="V417" t="s">
        <v>1361</v>
      </c>
      <c r="W417" s="4">
        <v>45595</v>
      </c>
      <c r="X417" s="4">
        <v>45597</v>
      </c>
      <c r="Y417" t="b">
        <v>0</v>
      </c>
      <c r="Z417" t="s">
        <v>1412</v>
      </c>
      <c r="AA417" t="s">
        <v>1412</v>
      </c>
      <c r="AB417" t="s">
        <v>1412</v>
      </c>
      <c r="AC417" t="s">
        <v>1398</v>
      </c>
      <c r="AD417" t="s">
        <v>1399</v>
      </c>
      <c r="AE417" t="s">
        <v>1380</v>
      </c>
    </row>
    <row r="418" spans="1:31" x14ac:dyDescent="0.3">
      <c r="A418" t="s">
        <v>582</v>
      </c>
      <c r="B418" s="4">
        <v>45622.567361111112</v>
      </c>
      <c r="C418" t="s">
        <v>469</v>
      </c>
      <c r="D418" t="s">
        <v>1153</v>
      </c>
      <c r="E418" t="s">
        <v>1176</v>
      </c>
      <c r="F418" t="str" cm="1">
        <f t="array" ref="F418">_xlfn.IFS(
E418="Ahmedabad","Gujarat",
E418="Bengaluru","Karnataka",
E418="Bhopal","Madhya Pradesh",
E418="Bhubaneswar","Odisha",
E418="Chandigarh","Chandigarh",
E418="Chennai","Tamil Nadu",
E418="Delhi","Delhi",
E418="Guwahati","Assam",
E418="Hyderabad","Telangana",
E418="Indore","Madhya Pradesh",
E418="Jaipur","Rajasthan",
E418="Kochi","Kerala",
E418="Kolkata","West Bengal",
E418="Lucknow","Uttar Pradesh",
E418="Mumbai","Maharashtra",
E418="Nagpur","Maharashtra",
E418="Patna","Bihar",
E418="Pune","Maharashtra",
E418="Raipur","Chhattisgarh",
E418="Surat","Gujarat",
TRUE,"Not Found"
)</f>
        <v>Chhattisgarh</v>
      </c>
      <c r="G418" t="s">
        <v>1150</v>
      </c>
      <c r="H418" t="s">
        <v>1172</v>
      </c>
      <c r="I418" t="s">
        <v>1173</v>
      </c>
      <c r="J418" t="s">
        <v>1342</v>
      </c>
      <c r="K418" t="s">
        <v>1343</v>
      </c>
      <c r="L418">
        <v>3</v>
      </c>
      <c r="M418">
        <v>2964</v>
      </c>
      <c r="N418">
        <v>0</v>
      </c>
      <c r="O418">
        <v>2964</v>
      </c>
      <c r="P418">
        <v>0.18</v>
      </c>
      <c r="Q418">
        <v>8892</v>
      </c>
      <c r="R418">
        <v>1600.56</v>
      </c>
      <c r="S418">
        <v>10492.56</v>
      </c>
      <c r="T418">
        <f>ROUND(Table2[[#This Row],[TotalAmount]],0)</f>
        <v>10493</v>
      </c>
      <c r="U418" t="s">
        <v>1363</v>
      </c>
      <c r="V418" t="s">
        <v>1361</v>
      </c>
      <c r="W418" s="4">
        <v>45622</v>
      </c>
      <c r="X418" s="4">
        <v>45626</v>
      </c>
      <c r="Y418" t="b">
        <v>0</v>
      </c>
      <c r="Z418" t="s">
        <v>1412</v>
      </c>
      <c r="AA418" t="s">
        <v>1412</v>
      </c>
      <c r="AB418" t="s">
        <v>1412</v>
      </c>
      <c r="AC418" t="s">
        <v>1398</v>
      </c>
      <c r="AD418" t="s">
        <v>1394</v>
      </c>
      <c r="AE418" t="s">
        <v>1383</v>
      </c>
    </row>
    <row r="419" spans="1:31" x14ac:dyDescent="0.3">
      <c r="A419" t="s">
        <v>583</v>
      </c>
      <c r="B419" s="4">
        <v>45336.474999999999</v>
      </c>
      <c r="C419" t="s">
        <v>67</v>
      </c>
      <c r="D419" t="s">
        <v>1148</v>
      </c>
      <c r="E419" t="s">
        <v>1149</v>
      </c>
      <c r="F419" t="str" cm="1">
        <f t="array" ref="F419">_xlfn.IFS(
E419="Ahmedabad","Gujarat",
E419="Bengaluru","Karnataka",
E419="Bhopal","Madhya Pradesh",
E419="Bhubaneswar","Odisha",
E419="Chandigarh","Chandigarh",
E419="Chennai","Tamil Nadu",
E419="Delhi","Delhi",
E419="Guwahati","Assam",
E419="Hyderabad","Telangana",
E419="Indore","Madhya Pradesh",
E419="Jaipur","Rajasthan",
E419="Kochi","Kerala",
E419="Kolkata","West Bengal",
E419="Lucknow","Uttar Pradesh",
E419="Mumbai","Maharashtra",
E419="Nagpur","Maharashtra",
E419="Patna","Bihar",
E419="Pune","Maharashtra",
E419="Raipur","Chhattisgarh",
E419="Surat","Gujarat",
TRUE,"Not Found"
)</f>
        <v>Uttar Pradesh</v>
      </c>
      <c r="G419" t="s">
        <v>1143</v>
      </c>
      <c r="H419" t="s">
        <v>1163</v>
      </c>
      <c r="I419" t="s">
        <v>1224</v>
      </c>
      <c r="J419" t="s">
        <v>1225</v>
      </c>
      <c r="K419" t="s">
        <v>1226</v>
      </c>
      <c r="L419">
        <v>5</v>
      </c>
      <c r="M419">
        <v>161</v>
      </c>
      <c r="N419">
        <v>0.05</v>
      </c>
      <c r="O419">
        <v>152.94999999999999</v>
      </c>
      <c r="P419">
        <v>0.18</v>
      </c>
      <c r="Q419">
        <v>764.75</v>
      </c>
      <c r="R419">
        <v>137.655</v>
      </c>
      <c r="S419">
        <v>902.40499999999997</v>
      </c>
      <c r="T419">
        <f>ROUND(Table2[[#This Row],[TotalAmount]],0)</f>
        <v>902</v>
      </c>
      <c r="U419" t="s">
        <v>1360</v>
      </c>
      <c r="V419" t="s">
        <v>1361</v>
      </c>
      <c r="W419" s="4">
        <v>45336</v>
      </c>
      <c r="X419" s="4">
        <v>45341</v>
      </c>
      <c r="Y419" t="b">
        <v>0</v>
      </c>
      <c r="Z419" t="s">
        <v>1412</v>
      </c>
      <c r="AA419" t="s">
        <v>1412</v>
      </c>
      <c r="AB419" t="s">
        <v>1412</v>
      </c>
      <c r="AC419" t="s">
        <v>1384</v>
      </c>
      <c r="AD419" t="s">
        <v>1399</v>
      </c>
      <c r="AE419" t="s">
        <v>1395</v>
      </c>
    </row>
    <row r="420" spans="1:31" x14ac:dyDescent="0.3">
      <c r="A420" t="s">
        <v>584</v>
      </c>
      <c r="B420" s="4">
        <v>45310.523611111108</v>
      </c>
      <c r="C420" t="s">
        <v>40</v>
      </c>
      <c r="D420" t="s">
        <v>1141</v>
      </c>
      <c r="E420" t="s">
        <v>1142</v>
      </c>
      <c r="F420" t="str" cm="1">
        <f t="array" ref="F420">_xlfn.IFS(
E420="Ahmedabad","Gujarat",
E420="Bengaluru","Karnataka",
E420="Bhopal","Madhya Pradesh",
E420="Bhubaneswar","Odisha",
E420="Chandigarh","Chandigarh",
E420="Chennai","Tamil Nadu",
E420="Delhi","Delhi",
E420="Guwahati","Assam",
E420="Hyderabad","Telangana",
E420="Indore","Madhya Pradesh",
E420="Jaipur","Rajasthan",
E420="Kochi","Kerala",
E420="Kolkata","West Bengal",
E420="Lucknow","Uttar Pradesh",
E420="Mumbai","Maharashtra",
E420="Nagpur","Maharashtra",
E420="Patna","Bihar",
E420="Pune","Maharashtra",
E420="Raipur","Chhattisgarh",
E420="Surat","Gujarat",
TRUE,"Not Found"
)</f>
        <v>West Bengal</v>
      </c>
      <c r="G420" t="s">
        <v>1228</v>
      </c>
      <c r="H420" t="s">
        <v>1167</v>
      </c>
      <c r="I420" t="s">
        <v>1211</v>
      </c>
      <c r="J420" t="s">
        <v>1279</v>
      </c>
      <c r="K420" t="s">
        <v>1280</v>
      </c>
      <c r="L420">
        <v>1</v>
      </c>
      <c r="M420">
        <v>6231</v>
      </c>
      <c r="N420">
        <v>0</v>
      </c>
      <c r="O420">
        <v>6231</v>
      </c>
      <c r="P420">
        <v>0.18</v>
      </c>
      <c r="Q420">
        <v>6231</v>
      </c>
      <c r="R420">
        <v>1121.58</v>
      </c>
      <c r="S420">
        <v>7352.58</v>
      </c>
      <c r="T420">
        <f>ROUND(Table2[[#This Row],[TotalAmount]],0)</f>
        <v>7353</v>
      </c>
      <c r="U420" t="s">
        <v>1360</v>
      </c>
      <c r="V420" t="s">
        <v>1361</v>
      </c>
      <c r="W420" s="4">
        <v>45310</v>
      </c>
      <c r="X420" s="4">
        <v>45314</v>
      </c>
      <c r="Y420" t="b">
        <v>0</v>
      </c>
      <c r="Z420" t="s">
        <v>1412</v>
      </c>
      <c r="AA420" t="s">
        <v>1412</v>
      </c>
      <c r="AB420" t="s">
        <v>1412</v>
      </c>
      <c r="AC420" t="s">
        <v>1390</v>
      </c>
      <c r="AD420" t="s">
        <v>1377</v>
      </c>
      <c r="AE420" t="s">
        <v>1383</v>
      </c>
    </row>
    <row r="421" spans="1:31" x14ac:dyDescent="0.3">
      <c r="A421" t="s">
        <v>585</v>
      </c>
      <c r="B421" s="4">
        <v>45738.679166666669</v>
      </c>
      <c r="C421" t="s">
        <v>111</v>
      </c>
      <c r="D421" t="s">
        <v>1153</v>
      </c>
      <c r="E421" t="s">
        <v>1162</v>
      </c>
      <c r="F421" t="str" cm="1">
        <f t="array" ref="F421">_xlfn.IFS(
E421="Ahmedabad","Gujarat",
E421="Bengaluru","Karnataka",
E421="Bhopal","Madhya Pradesh",
E421="Bhubaneswar","Odisha",
E421="Chandigarh","Chandigarh",
E421="Chennai","Tamil Nadu",
E421="Delhi","Delhi",
E421="Guwahati","Assam",
E421="Hyderabad","Telangana",
E421="Indore","Madhya Pradesh",
E421="Jaipur","Rajasthan",
E421="Kochi","Kerala",
E421="Kolkata","West Bengal",
E421="Lucknow","Uttar Pradesh",
E421="Mumbai","Maharashtra",
E421="Nagpur","Maharashtra",
E421="Patna","Bihar",
E421="Pune","Maharashtra",
E421="Raipur","Chhattisgarh",
E421="Surat","Gujarat",
TRUE,"Not Found"
)</f>
        <v>Madhya Pradesh</v>
      </c>
      <c r="G421" t="s">
        <v>1143</v>
      </c>
      <c r="H421" t="s">
        <v>1167</v>
      </c>
      <c r="I421" t="s">
        <v>1168</v>
      </c>
      <c r="J421" t="s">
        <v>1314</v>
      </c>
      <c r="K421" t="s">
        <v>1315</v>
      </c>
      <c r="L421">
        <v>1</v>
      </c>
      <c r="M421">
        <v>22903</v>
      </c>
      <c r="N421">
        <v>0</v>
      </c>
      <c r="O421">
        <v>22903</v>
      </c>
      <c r="P421">
        <v>0.12</v>
      </c>
      <c r="Q421">
        <v>22903</v>
      </c>
      <c r="R421">
        <v>2748.36</v>
      </c>
      <c r="S421">
        <v>25651.360000000001</v>
      </c>
      <c r="T421">
        <f>ROUND(Table2[[#This Row],[TotalAmount]],0)</f>
        <v>25651</v>
      </c>
      <c r="U421" t="s">
        <v>1363</v>
      </c>
      <c r="V421" t="s">
        <v>1361</v>
      </c>
      <c r="W421" s="4">
        <v>45738</v>
      </c>
      <c r="X421" s="4">
        <v>45739</v>
      </c>
      <c r="Y421" t="b">
        <v>0</v>
      </c>
      <c r="Z421" t="s">
        <v>1412</v>
      </c>
      <c r="AA421" t="s">
        <v>1412</v>
      </c>
      <c r="AB421" t="s">
        <v>1412</v>
      </c>
      <c r="AC421" t="s">
        <v>1384</v>
      </c>
      <c r="AD421" t="s">
        <v>1385</v>
      </c>
      <c r="AE421" t="s">
        <v>1391</v>
      </c>
    </row>
    <row r="422" spans="1:31" x14ac:dyDescent="0.3">
      <c r="A422" t="s">
        <v>586</v>
      </c>
      <c r="B422" s="4">
        <v>45444.454861111109</v>
      </c>
      <c r="C422" t="s">
        <v>26</v>
      </c>
      <c r="D422" t="s">
        <v>1153</v>
      </c>
      <c r="E422" t="s">
        <v>1191</v>
      </c>
      <c r="F422" t="str" cm="1">
        <f t="array" ref="F422">_xlfn.IFS(
E422="Ahmedabad","Gujarat",
E422="Bengaluru","Karnataka",
E422="Bhopal","Madhya Pradesh",
E422="Bhubaneswar","Odisha",
E422="Chandigarh","Chandigarh",
E422="Chennai","Tamil Nadu",
E422="Delhi","Delhi",
E422="Guwahati","Assam",
E422="Hyderabad","Telangana",
E422="Indore","Madhya Pradesh",
E422="Jaipur","Rajasthan",
E422="Kochi","Kerala",
E422="Kolkata","West Bengal",
E422="Lucknow","Uttar Pradesh",
E422="Mumbai","Maharashtra",
E422="Nagpur","Maharashtra",
E422="Patna","Bihar",
E422="Pune","Maharashtra",
E422="Raipur","Chhattisgarh",
E422="Surat","Gujarat",
TRUE,"Not Found"
)</f>
        <v>Madhya Pradesh</v>
      </c>
      <c r="G422" t="s">
        <v>1143</v>
      </c>
      <c r="H422" t="s">
        <v>1177</v>
      </c>
      <c r="I422" t="s">
        <v>1236</v>
      </c>
      <c r="J422" t="s">
        <v>1338</v>
      </c>
      <c r="K422" t="s">
        <v>1339</v>
      </c>
      <c r="L422">
        <v>4</v>
      </c>
      <c r="M422">
        <v>2998</v>
      </c>
      <c r="N422">
        <v>0.05</v>
      </c>
      <c r="O422">
        <v>2848.1</v>
      </c>
      <c r="P422">
        <v>0.12</v>
      </c>
      <c r="Q422">
        <v>11392.4</v>
      </c>
      <c r="R422">
        <v>1367.088</v>
      </c>
      <c r="S422">
        <v>12759.487999999999</v>
      </c>
      <c r="T422">
        <f>ROUND(Table2[[#This Row],[TotalAmount]],0)</f>
        <v>12759</v>
      </c>
      <c r="U422" t="s">
        <v>1362</v>
      </c>
      <c r="V422" t="s">
        <v>1361</v>
      </c>
      <c r="W422" s="4">
        <v>45445</v>
      </c>
      <c r="X422" s="4">
        <v>45449</v>
      </c>
      <c r="Y422" t="b">
        <v>0</v>
      </c>
      <c r="Z422" t="s">
        <v>1412</v>
      </c>
      <c r="AA422" t="s">
        <v>1412</v>
      </c>
      <c r="AB422" t="s">
        <v>1412</v>
      </c>
      <c r="AC422" t="s">
        <v>1396</v>
      </c>
      <c r="AD422" t="s">
        <v>1399</v>
      </c>
      <c r="AE422" t="s">
        <v>1393</v>
      </c>
    </row>
    <row r="423" spans="1:31" x14ac:dyDescent="0.3">
      <c r="A423" t="s">
        <v>587</v>
      </c>
      <c r="B423" s="4">
        <v>45672.552083333343</v>
      </c>
      <c r="C423" t="s">
        <v>16</v>
      </c>
      <c r="D423" t="s">
        <v>1148</v>
      </c>
      <c r="E423" t="s">
        <v>1171</v>
      </c>
      <c r="F423" t="str" cm="1">
        <f t="array" ref="F423">_xlfn.IFS(
E423="Ahmedabad","Gujarat",
E423="Bengaluru","Karnataka",
E423="Bhopal","Madhya Pradesh",
E423="Bhubaneswar","Odisha",
E423="Chandigarh","Chandigarh",
E423="Chennai","Tamil Nadu",
E423="Delhi","Delhi",
E423="Guwahati","Assam",
E423="Hyderabad","Telangana",
E423="Indore","Madhya Pradesh",
E423="Jaipur","Rajasthan",
E423="Kochi","Kerala",
E423="Kolkata","West Bengal",
E423="Lucknow","Uttar Pradesh",
E423="Mumbai","Maharashtra",
E423="Nagpur","Maharashtra",
E423="Patna","Bihar",
E423="Pune","Maharashtra",
E423="Raipur","Chhattisgarh",
E423="Surat","Gujarat",
TRUE,"Not Found"
)</f>
        <v>Chandigarh</v>
      </c>
      <c r="G423" t="s">
        <v>1228</v>
      </c>
      <c r="H423" t="s">
        <v>1144</v>
      </c>
      <c r="I423" t="s">
        <v>1145</v>
      </c>
      <c r="J423" t="s">
        <v>1146</v>
      </c>
      <c r="K423" t="s">
        <v>1147</v>
      </c>
      <c r="L423">
        <v>2</v>
      </c>
      <c r="M423">
        <v>3849</v>
      </c>
      <c r="N423">
        <v>0</v>
      </c>
      <c r="O423">
        <v>3849</v>
      </c>
      <c r="P423">
        <v>0.12</v>
      </c>
      <c r="Q423">
        <v>7698</v>
      </c>
      <c r="R423">
        <v>923.76</v>
      </c>
      <c r="S423">
        <v>8621.76</v>
      </c>
      <c r="T423">
        <f>ROUND(Table2[[#This Row],[TotalAmount]],0)</f>
        <v>8622</v>
      </c>
      <c r="U423" t="s">
        <v>1366</v>
      </c>
      <c r="V423" t="s">
        <v>1361</v>
      </c>
      <c r="W423" s="4">
        <v>45672</v>
      </c>
      <c r="X423" s="4">
        <v>45677</v>
      </c>
      <c r="Y423" t="b">
        <v>0</v>
      </c>
      <c r="Z423" t="s">
        <v>1412</v>
      </c>
      <c r="AA423" t="s">
        <v>1412</v>
      </c>
      <c r="AB423" t="s">
        <v>1412</v>
      </c>
      <c r="AC423" t="s">
        <v>1376</v>
      </c>
      <c r="AD423" t="s">
        <v>1394</v>
      </c>
      <c r="AE423" t="s">
        <v>1395</v>
      </c>
    </row>
    <row r="424" spans="1:31" x14ac:dyDescent="0.3">
      <c r="A424" t="s">
        <v>588</v>
      </c>
      <c r="B424" s="4">
        <v>45631.482638888891</v>
      </c>
      <c r="C424" t="s">
        <v>160</v>
      </c>
      <c r="D424" t="s">
        <v>1157</v>
      </c>
      <c r="E424" t="s">
        <v>1201</v>
      </c>
      <c r="F424" t="str" cm="1">
        <f t="array" ref="F424">_xlfn.IFS(
E424="Ahmedabad","Gujarat",
E424="Bengaluru","Karnataka",
E424="Bhopal","Madhya Pradesh",
E424="Bhubaneswar","Odisha",
E424="Chandigarh","Chandigarh",
E424="Chennai","Tamil Nadu",
E424="Delhi","Delhi",
E424="Guwahati","Assam",
E424="Hyderabad","Telangana",
E424="Indore","Madhya Pradesh",
E424="Jaipur","Rajasthan",
E424="Kochi","Kerala",
E424="Kolkata","West Bengal",
E424="Lucknow","Uttar Pradesh",
E424="Mumbai","Maharashtra",
E424="Nagpur","Maharashtra",
E424="Patna","Bihar",
E424="Pune","Maharashtra",
E424="Raipur","Chhattisgarh",
E424="Surat","Gujarat",
TRUE,"Not Found"
)</f>
        <v>Maharashtra</v>
      </c>
      <c r="G424" t="s">
        <v>1143</v>
      </c>
      <c r="H424" t="s">
        <v>1167</v>
      </c>
      <c r="I424" t="s">
        <v>1211</v>
      </c>
      <c r="J424" t="s">
        <v>1212</v>
      </c>
      <c r="K424" t="s">
        <v>1213</v>
      </c>
      <c r="L424">
        <v>2</v>
      </c>
      <c r="M424">
        <v>49215</v>
      </c>
      <c r="N424">
        <v>0</v>
      </c>
      <c r="O424">
        <v>49215</v>
      </c>
      <c r="P424">
        <v>0.12</v>
      </c>
      <c r="Q424">
        <v>98430</v>
      </c>
      <c r="R424">
        <v>11811.6</v>
      </c>
      <c r="S424">
        <v>110241.60000000001</v>
      </c>
      <c r="T424">
        <f>ROUND(Table2[[#This Row],[TotalAmount]],0)</f>
        <v>110242</v>
      </c>
      <c r="U424" t="s">
        <v>1360</v>
      </c>
      <c r="V424" t="s">
        <v>1361</v>
      </c>
      <c r="W424" s="4">
        <v>45631</v>
      </c>
      <c r="X424" s="4">
        <v>45636</v>
      </c>
      <c r="Y424" t="b">
        <v>0</v>
      </c>
      <c r="Z424" t="s">
        <v>1412</v>
      </c>
      <c r="AA424" t="s">
        <v>1412</v>
      </c>
      <c r="AB424" t="s">
        <v>1412</v>
      </c>
      <c r="AC424" t="s">
        <v>1384</v>
      </c>
      <c r="AD424" t="s">
        <v>1399</v>
      </c>
      <c r="AE424" t="s">
        <v>1393</v>
      </c>
    </row>
    <row r="425" spans="1:31" x14ac:dyDescent="0.3">
      <c r="A425" t="s">
        <v>589</v>
      </c>
      <c r="B425" s="4">
        <v>45718.384722222218</v>
      </c>
      <c r="C425" t="s">
        <v>28</v>
      </c>
      <c r="D425" t="s">
        <v>1153</v>
      </c>
      <c r="E425" t="s">
        <v>1162</v>
      </c>
      <c r="F425" t="str" cm="1">
        <f t="array" ref="F425">_xlfn.IFS(
E425="Ahmedabad","Gujarat",
E425="Bengaluru","Karnataka",
E425="Bhopal","Madhya Pradesh",
E425="Bhubaneswar","Odisha",
E425="Chandigarh","Chandigarh",
E425="Chennai","Tamil Nadu",
E425="Delhi","Delhi",
E425="Guwahati","Assam",
E425="Hyderabad","Telangana",
E425="Indore","Madhya Pradesh",
E425="Jaipur","Rajasthan",
E425="Kochi","Kerala",
E425="Kolkata","West Bengal",
E425="Lucknow","Uttar Pradesh",
E425="Mumbai","Maharashtra",
E425="Nagpur","Maharashtra",
E425="Patna","Bihar",
E425="Pune","Maharashtra",
E425="Raipur","Chhattisgarh",
E425="Surat","Gujarat",
TRUE,"Not Found"
)</f>
        <v>Madhya Pradesh</v>
      </c>
      <c r="G425" t="s">
        <v>1143</v>
      </c>
      <c r="H425" t="s">
        <v>1163</v>
      </c>
      <c r="I425" t="s">
        <v>1164</v>
      </c>
      <c r="J425" t="s">
        <v>1324</v>
      </c>
      <c r="K425" t="s">
        <v>1325</v>
      </c>
      <c r="L425">
        <v>1</v>
      </c>
      <c r="M425">
        <v>87</v>
      </c>
      <c r="N425">
        <v>0.15</v>
      </c>
      <c r="O425">
        <v>73.95</v>
      </c>
      <c r="P425">
        <v>0.18</v>
      </c>
      <c r="Q425">
        <v>73.95</v>
      </c>
      <c r="R425">
        <v>13.311</v>
      </c>
      <c r="S425">
        <v>87.260999999999996</v>
      </c>
      <c r="T425">
        <f>ROUND(Table2[[#This Row],[TotalAmount]],0)</f>
        <v>87</v>
      </c>
      <c r="U425" t="s">
        <v>1363</v>
      </c>
      <c r="V425" t="s">
        <v>1367</v>
      </c>
      <c r="W425" s="4">
        <v>45718</v>
      </c>
      <c r="X425" s="4" t="s">
        <v>1412</v>
      </c>
      <c r="Y425" t="b">
        <v>0</v>
      </c>
      <c r="Z425" t="s">
        <v>1412</v>
      </c>
      <c r="AA425" t="s">
        <v>1412</v>
      </c>
      <c r="AB425" t="s">
        <v>1412</v>
      </c>
      <c r="AC425" t="s">
        <v>1396</v>
      </c>
      <c r="AD425" t="s">
        <v>1400</v>
      </c>
      <c r="AE425" t="s">
        <v>1383</v>
      </c>
    </row>
    <row r="426" spans="1:31" x14ac:dyDescent="0.3">
      <c r="A426" t="s">
        <v>590</v>
      </c>
      <c r="B426" s="4">
        <v>45560.697916666657</v>
      </c>
      <c r="C426" t="s">
        <v>271</v>
      </c>
      <c r="D426" t="s">
        <v>1148</v>
      </c>
      <c r="E426" t="s">
        <v>1149</v>
      </c>
      <c r="F426" t="str" cm="1">
        <f t="array" ref="F426">_xlfn.IFS(
E426="Ahmedabad","Gujarat",
E426="Bengaluru","Karnataka",
E426="Bhopal","Madhya Pradesh",
E426="Bhubaneswar","Odisha",
E426="Chandigarh","Chandigarh",
E426="Chennai","Tamil Nadu",
E426="Delhi","Delhi",
E426="Guwahati","Assam",
E426="Hyderabad","Telangana",
E426="Indore","Madhya Pradesh",
E426="Jaipur","Rajasthan",
E426="Kochi","Kerala",
E426="Kolkata","West Bengal",
E426="Lucknow","Uttar Pradesh",
E426="Mumbai","Maharashtra",
E426="Nagpur","Maharashtra",
E426="Patna","Bihar",
E426="Pune","Maharashtra",
E426="Raipur","Chhattisgarh",
E426="Surat","Gujarat",
TRUE,"Not Found"
)</f>
        <v>Uttar Pradesh</v>
      </c>
      <c r="G426" t="s">
        <v>1228</v>
      </c>
      <c r="H426" t="s">
        <v>1177</v>
      </c>
      <c r="I426" t="s">
        <v>1195</v>
      </c>
      <c r="J426" t="s">
        <v>1196</v>
      </c>
      <c r="K426" t="s">
        <v>1197</v>
      </c>
      <c r="L426">
        <v>3</v>
      </c>
      <c r="M426">
        <v>2725</v>
      </c>
      <c r="N426">
        <v>0</v>
      </c>
      <c r="O426">
        <v>2725</v>
      </c>
      <c r="P426">
        <v>0.05</v>
      </c>
      <c r="Q426">
        <v>8175</v>
      </c>
      <c r="R426">
        <v>408.75</v>
      </c>
      <c r="S426">
        <v>8583.75</v>
      </c>
      <c r="T426">
        <f>ROUND(Table2[[#This Row],[TotalAmount]],0)</f>
        <v>8584</v>
      </c>
      <c r="U426" t="s">
        <v>1363</v>
      </c>
      <c r="V426" t="s">
        <v>1361</v>
      </c>
      <c r="W426" s="4">
        <v>45561</v>
      </c>
      <c r="X426" s="4">
        <v>45563</v>
      </c>
      <c r="Y426" t="b">
        <v>0</v>
      </c>
      <c r="Z426" t="s">
        <v>1412</v>
      </c>
      <c r="AA426" t="s">
        <v>1412</v>
      </c>
      <c r="AB426" t="s">
        <v>1412</v>
      </c>
      <c r="AC426" t="s">
        <v>1390</v>
      </c>
      <c r="AD426" t="s">
        <v>1397</v>
      </c>
      <c r="AE426" t="s">
        <v>1393</v>
      </c>
    </row>
    <row r="427" spans="1:31" x14ac:dyDescent="0.3">
      <c r="A427" t="s">
        <v>591</v>
      </c>
      <c r="B427" s="4">
        <v>45771.441666666673</v>
      </c>
      <c r="C427" t="s">
        <v>325</v>
      </c>
      <c r="D427" t="s">
        <v>1153</v>
      </c>
      <c r="E427" t="s">
        <v>1154</v>
      </c>
      <c r="F427" t="str" cm="1">
        <f t="array" ref="F427">_xlfn.IFS(
E427="Ahmedabad","Gujarat",
E427="Bengaluru","Karnataka",
E427="Bhopal","Madhya Pradesh",
E427="Bhubaneswar","Odisha",
E427="Chandigarh","Chandigarh",
E427="Chennai","Tamil Nadu",
E427="Delhi","Delhi",
E427="Guwahati","Assam",
E427="Hyderabad","Telangana",
E427="Indore","Madhya Pradesh",
E427="Jaipur","Rajasthan",
E427="Kochi","Kerala",
E427="Kolkata","West Bengal",
E427="Lucknow","Uttar Pradesh",
E427="Mumbai","Maharashtra",
E427="Nagpur","Maharashtra",
E427="Patna","Bihar",
E427="Pune","Maharashtra",
E427="Raipur","Chhattisgarh",
E427="Surat","Gujarat",
TRUE,"Not Found"
)</f>
        <v>Maharashtra</v>
      </c>
      <c r="G427" t="s">
        <v>1150</v>
      </c>
      <c r="H427" t="s">
        <v>1167</v>
      </c>
      <c r="I427" t="s">
        <v>1263</v>
      </c>
      <c r="J427" t="s">
        <v>1346</v>
      </c>
      <c r="K427" t="s">
        <v>1347</v>
      </c>
      <c r="L427">
        <v>2</v>
      </c>
      <c r="M427">
        <v>30115</v>
      </c>
      <c r="N427">
        <v>0</v>
      </c>
      <c r="O427">
        <v>30115</v>
      </c>
      <c r="P427">
        <v>0.12</v>
      </c>
      <c r="Q427">
        <v>60230</v>
      </c>
      <c r="R427">
        <v>7227.5999999999995</v>
      </c>
      <c r="S427">
        <v>67457.600000000006</v>
      </c>
      <c r="T427">
        <f>ROUND(Table2[[#This Row],[TotalAmount]],0)</f>
        <v>67458</v>
      </c>
      <c r="U427" t="s">
        <v>1365</v>
      </c>
      <c r="V427" t="s">
        <v>1361</v>
      </c>
      <c r="W427" s="4">
        <v>45771</v>
      </c>
      <c r="X427" s="4">
        <v>45776</v>
      </c>
      <c r="Y427" t="b">
        <v>0</v>
      </c>
      <c r="Z427" t="s">
        <v>1412</v>
      </c>
      <c r="AA427" t="s">
        <v>1412</v>
      </c>
      <c r="AB427" t="s">
        <v>1412</v>
      </c>
      <c r="AC427" t="s">
        <v>1384</v>
      </c>
      <c r="AD427" t="s">
        <v>1385</v>
      </c>
      <c r="AE427" t="s">
        <v>1389</v>
      </c>
    </row>
    <row r="428" spans="1:31" x14ac:dyDescent="0.3">
      <c r="A428" t="s">
        <v>592</v>
      </c>
      <c r="B428" s="4">
        <v>45744.661111111112</v>
      </c>
      <c r="C428" t="s">
        <v>385</v>
      </c>
      <c r="D428" t="s">
        <v>1182</v>
      </c>
      <c r="E428" t="s">
        <v>1207</v>
      </c>
      <c r="F428" t="str" cm="1">
        <f t="array" ref="F428">_xlfn.IFS(
E428="Ahmedabad","Gujarat",
E428="Bengaluru","Karnataka",
E428="Bhopal","Madhya Pradesh",
E428="Bhubaneswar","Odisha",
E428="Chandigarh","Chandigarh",
E428="Chennai","Tamil Nadu",
E428="Delhi","Delhi",
E428="Guwahati","Assam",
E428="Hyderabad","Telangana",
E428="Indore","Madhya Pradesh",
E428="Jaipur","Rajasthan",
E428="Kochi","Kerala",
E428="Kolkata","West Bengal",
E428="Lucknow","Uttar Pradesh",
E428="Mumbai","Maharashtra",
E428="Nagpur","Maharashtra",
E428="Patna","Bihar",
E428="Pune","Maharashtra",
E428="Raipur","Chhattisgarh",
E428="Surat","Gujarat",
TRUE,"Not Found"
)</f>
        <v>Tamil Nadu</v>
      </c>
      <c r="G428" t="s">
        <v>1143</v>
      </c>
      <c r="H428" t="s">
        <v>1167</v>
      </c>
      <c r="I428" t="s">
        <v>1263</v>
      </c>
      <c r="J428" t="s">
        <v>1274</v>
      </c>
      <c r="K428" t="s">
        <v>1275</v>
      </c>
      <c r="L428">
        <v>1</v>
      </c>
      <c r="M428">
        <v>15885</v>
      </c>
      <c r="N428">
        <v>0.05</v>
      </c>
      <c r="O428">
        <v>15090.75</v>
      </c>
      <c r="P428">
        <v>0.05</v>
      </c>
      <c r="Q428">
        <v>15090.75</v>
      </c>
      <c r="R428">
        <v>754.53750000000002</v>
      </c>
      <c r="S428">
        <v>15845.2875</v>
      </c>
      <c r="T428">
        <f>ROUND(Table2[[#This Row],[TotalAmount]],0)</f>
        <v>15845</v>
      </c>
      <c r="U428" t="s">
        <v>1360</v>
      </c>
      <c r="V428" t="s">
        <v>1361</v>
      </c>
      <c r="W428" s="4">
        <v>45746</v>
      </c>
      <c r="X428" s="4">
        <v>45748</v>
      </c>
      <c r="Y428" t="b">
        <v>0</v>
      </c>
      <c r="Z428" t="s">
        <v>1412</v>
      </c>
      <c r="AA428" t="s">
        <v>1412</v>
      </c>
      <c r="AB428" t="s">
        <v>1412</v>
      </c>
      <c r="AC428" t="s">
        <v>1376</v>
      </c>
      <c r="AD428" t="s">
        <v>1385</v>
      </c>
      <c r="AE428" t="s">
        <v>1383</v>
      </c>
    </row>
    <row r="429" spans="1:31" x14ac:dyDescent="0.3">
      <c r="A429" t="s">
        <v>593</v>
      </c>
      <c r="B429" s="4">
        <v>45369.486111111109</v>
      </c>
      <c r="C429" t="s">
        <v>243</v>
      </c>
      <c r="D429" t="s">
        <v>1153</v>
      </c>
      <c r="E429" t="s">
        <v>1176</v>
      </c>
      <c r="F429" t="str" cm="1">
        <f t="array" ref="F429">_xlfn.IFS(
E429="Ahmedabad","Gujarat",
E429="Bengaluru","Karnataka",
E429="Bhopal","Madhya Pradesh",
E429="Bhubaneswar","Odisha",
E429="Chandigarh","Chandigarh",
E429="Chennai","Tamil Nadu",
E429="Delhi","Delhi",
E429="Guwahati","Assam",
E429="Hyderabad","Telangana",
E429="Indore","Madhya Pradesh",
E429="Jaipur","Rajasthan",
E429="Kochi","Kerala",
E429="Kolkata","West Bengal",
E429="Lucknow","Uttar Pradesh",
E429="Mumbai","Maharashtra",
E429="Nagpur","Maharashtra",
E429="Patna","Bihar",
E429="Pune","Maharashtra",
E429="Raipur","Chhattisgarh",
E429="Surat","Gujarat",
TRUE,"Not Found"
)</f>
        <v>Chhattisgarh</v>
      </c>
      <c r="G429" t="s">
        <v>1143</v>
      </c>
      <c r="H429" t="s">
        <v>1177</v>
      </c>
      <c r="I429" t="s">
        <v>1192</v>
      </c>
      <c r="J429" t="s">
        <v>1193</v>
      </c>
      <c r="K429" t="s">
        <v>1194</v>
      </c>
      <c r="L429">
        <v>4</v>
      </c>
      <c r="M429">
        <v>867</v>
      </c>
      <c r="N429">
        <v>0.1</v>
      </c>
      <c r="O429">
        <v>780.30000000000007</v>
      </c>
      <c r="P429">
        <v>0.18</v>
      </c>
      <c r="Q429">
        <v>3121.2</v>
      </c>
      <c r="R429">
        <v>561.81600000000003</v>
      </c>
      <c r="S429">
        <v>3683.016000000001</v>
      </c>
      <c r="T429">
        <f>ROUND(Table2[[#This Row],[TotalAmount]],0)</f>
        <v>3683</v>
      </c>
      <c r="U429" t="s">
        <v>1360</v>
      </c>
      <c r="V429" t="s">
        <v>1361</v>
      </c>
      <c r="W429" s="4">
        <v>45369</v>
      </c>
      <c r="X429" s="4">
        <v>45371</v>
      </c>
      <c r="Y429" t="b">
        <v>0</v>
      </c>
      <c r="Z429" t="s">
        <v>1412</v>
      </c>
      <c r="AA429" t="s">
        <v>1412</v>
      </c>
      <c r="AB429" t="s">
        <v>1412</v>
      </c>
      <c r="AC429" t="s">
        <v>1376</v>
      </c>
      <c r="AD429" t="s">
        <v>1385</v>
      </c>
      <c r="AE429" t="s">
        <v>1378</v>
      </c>
    </row>
    <row r="430" spans="1:31" x14ac:dyDescent="0.3">
      <c r="A430" t="s">
        <v>594</v>
      </c>
      <c r="B430" s="4">
        <v>45709.478472222218</v>
      </c>
      <c r="C430" t="s">
        <v>14</v>
      </c>
      <c r="D430" t="s">
        <v>1153</v>
      </c>
      <c r="E430" t="s">
        <v>1162</v>
      </c>
      <c r="F430" t="str" cm="1">
        <f t="array" ref="F430">_xlfn.IFS(
E430="Ahmedabad","Gujarat",
E430="Bengaluru","Karnataka",
E430="Bhopal","Madhya Pradesh",
E430="Bhubaneswar","Odisha",
E430="Chandigarh","Chandigarh",
E430="Chennai","Tamil Nadu",
E430="Delhi","Delhi",
E430="Guwahati","Assam",
E430="Hyderabad","Telangana",
E430="Indore","Madhya Pradesh",
E430="Jaipur","Rajasthan",
E430="Kochi","Kerala",
E430="Kolkata","West Bengal",
E430="Lucknow","Uttar Pradesh",
E430="Mumbai","Maharashtra",
E430="Nagpur","Maharashtra",
E430="Patna","Bihar",
E430="Pune","Maharashtra",
E430="Raipur","Chhattisgarh",
E430="Surat","Gujarat",
TRUE,"Not Found"
)</f>
        <v>Madhya Pradesh</v>
      </c>
      <c r="G430" t="s">
        <v>1143</v>
      </c>
      <c r="H430" t="s">
        <v>1144</v>
      </c>
      <c r="I430" t="s">
        <v>1269</v>
      </c>
      <c r="J430" t="s">
        <v>1301</v>
      </c>
      <c r="K430" t="s">
        <v>1302</v>
      </c>
      <c r="L430">
        <v>1</v>
      </c>
      <c r="M430">
        <v>1306</v>
      </c>
      <c r="N430">
        <v>0</v>
      </c>
      <c r="O430">
        <v>1306</v>
      </c>
      <c r="P430">
        <v>0.12</v>
      </c>
      <c r="Q430">
        <v>1306</v>
      </c>
      <c r="R430">
        <v>156.72</v>
      </c>
      <c r="S430">
        <v>1462.72</v>
      </c>
      <c r="T430">
        <f>ROUND(Table2[[#This Row],[TotalAmount]],0)</f>
        <v>1463</v>
      </c>
      <c r="U430" t="s">
        <v>1360</v>
      </c>
      <c r="V430" t="s">
        <v>1361</v>
      </c>
      <c r="W430" s="4">
        <v>45710</v>
      </c>
      <c r="X430" s="4">
        <v>45711</v>
      </c>
      <c r="Y430" t="b">
        <v>0</v>
      </c>
      <c r="Z430" t="s">
        <v>1412</v>
      </c>
      <c r="AA430" t="s">
        <v>1412</v>
      </c>
      <c r="AB430" t="s">
        <v>1412</v>
      </c>
      <c r="AC430" t="s">
        <v>1396</v>
      </c>
      <c r="AD430" t="s">
        <v>1387</v>
      </c>
      <c r="AE430" t="s">
        <v>1393</v>
      </c>
    </row>
    <row r="431" spans="1:31" x14ac:dyDescent="0.3">
      <c r="A431" t="s">
        <v>595</v>
      </c>
      <c r="B431" s="4">
        <v>45760.472916666673</v>
      </c>
      <c r="C431" t="s">
        <v>115</v>
      </c>
      <c r="D431" t="s">
        <v>1157</v>
      </c>
      <c r="E431" t="s">
        <v>1249</v>
      </c>
      <c r="F431" t="str" cm="1">
        <f t="array" ref="F431">_xlfn.IFS(
E431="Ahmedabad","Gujarat",
E431="Bengaluru","Karnataka",
E431="Bhopal","Madhya Pradesh",
E431="Bhubaneswar","Odisha",
E431="Chandigarh","Chandigarh",
E431="Chennai","Tamil Nadu",
E431="Delhi","Delhi",
E431="Guwahati","Assam",
E431="Hyderabad","Telangana",
E431="Indore","Madhya Pradesh",
E431="Jaipur","Rajasthan",
E431="Kochi","Kerala",
E431="Kolkata","West Bengal",
E431="Lucknow","Uttar Pradesh",
E431="Mumbai","Maharashtra",
E431="Nagpur","Maharashtra",
E431="Patna","Bihar",
E431="Pune","Maharashtra",
E431="Raipur","Chhattisgarh",
E431="Surat","Gujarat",
TRUE,"Not Found"
)</f>
        <v>Maharashtra</v>
      </c>
      <c r="G431" t="s">
        <v>1228</v>
      </c>
      <c r="H431" t="s">
        <v>1172</v>
      </c>
      <c r="I431" t="s">
        <v>1204</v>
      </c>
      <c r="J431" t="s">
        <v>1234</v>
      </c>
      <c r="K431" t="s">
        <v>1235</v>
      </c>
      <c r="L431">
        <v>4</v>
      </c>
      <c r="M431">
        <v>3218</v>
      </c>
      <c r="N431">
        <v>0</v>
      </c>
      <c r="O431">
        <v>3218</v>
      </c>
      <c r="P431">
        <v>0.18</v>
      </c>
      <c r="Q431">
        <v>12872</v>
      </c>
      <c r="R431">
        <v>2316.96</v>
      </c>
      <c r="S431">
        <v>15188.96</v>
      </c>
      <c r="T431">
        <f>ROUND(Table2[[#This Row],[TotalAmount]],0)</f>
        <v>15189</v>
      </c>
      <c r="U431" t="s">
        <v>1360</v>
      </c>
      <c r="V431" t="s">
        <v>1361</v>
      </c>
      <c r="W431" s="4">
        <v>45760</v>
      </c>
      <c r="X431" s="4">
        <v>45764</v>
      </c>
      <c r="Y431" t="b">
        <v>0</v>
      </c>
      <c r="Z431" t="s">
        <v>1412</v>
      </c>
      <c r="AA431" t="s">
        <v>1412</v>
      </c>
      <c r="AB431" t="s">
        <v>1412</v>
      </c>
      <c r="AC431" t="s">
        <v>1379</v>
      </c>
      <c r="AD431" t="s">
        <v>1397</v>
      </c>
      <c r="AE431" t="s">
        <v>1391</v>
      </c>
    </row>
    <row r="432" spans="1:31" x14ac:dyDescent="0.3">
      <c r="A432" t="s">
        <v>596</v>
      </c>
      <c r="B432" s="4">
        <v>45697.490972222222</v>
      </c>
      <c r="C432" t="s">
        <v>155</v>
      </c>
      <c r="D432" t="s">
        <v>1157</v>
      </c>
      <c r="E432" t="s">
        <v>1158</v>
      </c>
      <c r="F432" t="str" cm="1">
        <f t="array" ref="F432">_xlfn.IFS(
E432="Ahmedabad","Gujarat",
E432="Bengaluru","Karnataka",
E432="Bhopal","Madhya Pradesh",
E432="Bhubaneswar","Odisha",
E432="Chandigarh","Chandigarh",
E432="Chennai","Tamil Nadu",
E432="Delhi","Delhi",
E432="Guwahati","Assam",
E432="Hyderabad","Telangana",
E432="Indore","Madhya Pradesh",
E432="Jaipur","Rajasthan",
E432="Kochi","Kerala",
E432="Kolkata","West Bengal",
E432="Lucknow","Uttar Pradesh",
E432="Mumbai","Maharashtra",
E432="Nagpur","Maharashtra",
E432="Patna","Bihar",
E432="Pune","Maharashtra",
E432="Raipur","Chhattisgarh",
E432="Surat","Gujarat",
TRUE,"Not Found"
)</f>
        <v>Gujarat</v>
      </c>
      <c r="G432" t="s">
        <v>1187</v>
      </c>
      <c r="H432" t="s">
        <v>1172</v>
      </c>
      <c r="I432" t="s">
        <v>1173</v>
      </c>
      <c r="J432" t="s">
        <v>1342</v>
      </c>
      <c r="K432" t="s">
        <v>1343</v>
      </c>
      <c r="L432">
        <v>1</v>
      </c>
      <c r="M432">
        <v>8547</v>
      </c>
      <c r="N432">
        <v>0</v>
      </c>
      <c r="O432">
        <v>8547</v>
      </c>
      <c r="P432">
        <v>0.12</v>
      </c>
      <c r="Q432">
        <v>8547</v>
      </c>
      <c r="R432">
        <v>1025.6400000000001</v>
      </c>
      <c r="S432">
        <v>9572.64</v>
      </c>
      <c r="T432">
        <f>ROUND(Table2[[#This Row],[TotalAmount]],0)</f>
        <v>9573</v>
      </c>
      <c r="U432" t="s">
        <v>1362</v>
      </c>
      <c r="V432" t="s">
        <v>1361</v>
      </c>
      <c r="W432" s="4">
        <v>45697</v>
      </c>
      <c r="X432" s="4">
        <v>45700</v>
      </c>
      <c r="Y432" t="b">
        <v>0</v>
      </c>
      <c r="Z432" t="s">
        <v>1412</v>
      </c>
      <c r="AA432" t="s">
        <v>1412</v>
      </c>
      <c r="AB432" t="s">
        <v>1412</v>
      </c>
      <c r="AC432" t="s">
        <v>1376</v>
      </c>
      <c r="AD432" t="s">
        <v>1397</v>
      </c>
      <c r="AE432" t="s">
        <v>1395</v>
      </c>
    </row>
    <row r="433" spans="1:31" x14ac:dyDescent="0.3">
      <c r="A433" t="s">
        <v>597</v>
      </c>
      <c r="B433" s="4">
        <v>45752.376388888893</v>
      </c>
      <c r="C433" t="s">
        <v>213</v>
      </c>
      <c r="D433" t="s">
        <v>1182</v>
      </c>
      <c r="E433" t="s">
        <v>1256</v>
      </c>
      <c r="F433" t="str" cm="1">
        <f t="array" ref="F433">_xlfn.IFS(
E433="Ahmedabad","Gujarat",
E433="Bengaluru","Karnataka",
E433="Bhopal","Madhya Pradesh",
E433="Bhubaneswar","Odisha",
E433="Chandigarh","Chandigarh",
E433="Chennai","Tamil Nadu",
E433="Delhi","Delhi",
E433="Guwahati","Assam",
E433="Hyderabad","Telangana",
E433="Indore","Madhya Pradesh",
E433="Jaipur","Rajasthan",
E433="Kochi","Kerala",
E433="Kolkata","West Bengal",
E433="Lucknow","Uttar Pradesh",
E433="Mumbai","Maharashtra",
E433="Nagpur","Maharashtra",
E433="Patna","Bihar",
E433="Pune","Maharashtra",
E433="Raipur","Chhattisgarh",
E433="Surat","Gujarat",
TRUE,"Not Found"
)</f>
        <v>Karnataka</v>
      </c>
      <c r="G433" t="s">
        <v>1143</v>
      </c>
      <c r="H433" t="s">
        <v>1144</v>
      </c>
      <c r="I433" t="s">
        <v>1159</v>
      </c>
      <c r="J433" t="s">
        <v>1334</v>
      </c>
      <c r="K433" t="s">
        <v>1335</v>
      </c>
      <c r="L433">
        <v>3</v>
      </c>
      <c r="M433">
        <v>7011</v>
      </c>
      <c r="N433">
        <v>0</v>
      </c>
      <c r="O433">
        <v>7011</v>
      </c>
      <c r="P433">
        <v>0.05</v>
      </c>
      <c r="Q433">
        <v>21033</v>
      </c>
      <c r="R433">
        <v>1051.6500000000001</v>
      </c>
      <c r="S433">
        <v>22084.65</v>
      </c>
      <c r="T433">
        <f>ROUND(Table2[[#This Row],[TotalAmount]],0)</f>
        <v>22085</v>
      </c>
      <c r="U433" t="s">
        <v>1363</v>
      </c>
      <c r="V433" t="s">
        <v>1369</v>
      </c>
      <c r="W433" s="4" t="s">
        <v>1412</v>
      </c>
      <c r="X433" s="4" t="s">
        <v>1412</v>
      </c>
      <c r="Y433" t="b">
        <v>0</v>
      </c>
      <c r="Z433" t="s">
        <v>1412</v>
      </c>
      <c r="AA433" t="s">
        <v>1412</v>
      </c>
      <c r="AB433" t="s">
        <v>1412</v>
      </c>
      <c r="AC433" t="s">
        <v>1396</v>
      </c>
      <c r="AD433" t="s">
        <v>1400</v>
      </c>
      <c r="AE433" t="s">
        <v>1378</v>
      </c>
    </row>
    <row r="434" spans="1:31" x14ac:dyDescent="0.3">
      <c r="A434" t="s">
        <v>598</v>
      </c>
      <c r="B434" s="4">
        <v>45704.559027777781</v>
      </c>
      <c r="C434" t="s">
        <v>313</v>
      </c>
      <c r="D434" t="s">
        <v>1148</v>
      </c>
      <c r="E434" t="s">
        <v>1149</v>
      </c>
      <c r="F434" t="str" cm="1">
        <f t="array" ref="F434">_xlfn.IFS(
E434="Ahmedabad","Gujarat",
E434="Bengaluru","Karnataka",
E434="Bhopal","Madhya Pradesh",
E434="Bhubaneswar","Odisha",
E434="Chandigarh","Chandigarh",
E434="Chennai","Tamil Nadu",
E434="Delhi","Delhi",
E434="Guwahati","Assam",
E434="Hyderabad","Telangana",
E434="Indore","Madhya Pradesh",
E434="Jaipur","Rajasthan",
E434="Kochi","Kerala",
E434="Kolkata","West Bengal",
E434="Lucknow","Uttar Pradesh",
E434="Mumbai","Maharashtra",
E434="Nagpur","Maharashtra",
E434="Patna","Bihar",
E434="Pune","Maharashtra",
E434="Raipur","Chhattisgarh",
E434="Surat","Gujarat",
TRUE,"Not Found"
)</f>
        <v>Uttar Pradesh</v>
      </c>
      <c r="G434" t="s">
        <v>1187</v>
      </c>
      <c r="H434" t="s">
        <v>1163</v>
      </c>
      <c r="I434" t="s">
        <v>1224</v>
      </c>
      <c r="J434" t="s">
        <v>1225</v>
      </c>
      <c r="K434" t="s">
        <v>1226</v>
      </c>
      <c r="L434">
        <v>3</v>
      </c>
      <c r="M434">
        <v>1154</v>
      </c>
      <c r="N434">
        <v>0</v>
      </c>
      <c r="O434">
        <v>1154</v>
      </c>
      <c r="P434">
        <v>0.18</v>
      </c>
      <c r="Q434">
        <v>3462</v>
      </c>
      <c r="R434">
        <v>623.16</v>
      </c>
      <c r="S434">
        <v>4085.16</v>
      </c>
      <c r="T434">
        <f>ROUND(Table2[[#This Row],[TotalAmount]],0)</f>
        <v>4085</v>
      </c>
      <c r="U434" t="s">
        <v>1360</v>
      </c>
      <c r="V434" t="s">
        <v>1368</v>
      </c>
      <c r="W434" s="4">
        <v>45706</v>
      </c>
      <c r="X434" s="4" t="s">
        <v>1412</v>
      </c>
      <c r="Y434" t="b">
        <v>0</v>
      </c>
      <c r="Z434" t="s">
        <v>1412</v>
      </c>
      <c r="AA434" t="s">
        <v>1412</v>
      </c>
      <c r="AB434" t="s">
        <v>1412</v>
      </c>
      <c r="AC434" t="s">
        <v>1390</v>
      </c>
      <c r="AD434" t="s">
        <v>1394</v>
      </c>
      <c r="AE434" t="s">
        <v>1378</v>
      </c>
    </row>
    <row r="435" spans="1:31" x14ac:dyDescent="0.3">
      <c r="A435" t="s">
        <v>599</v>
      </c>
      <c r="B435" s="4">
        <v>45604.489583333343</v>
      </c>
      <c r="C435" t="s">
        <v>105</v>
      </c>
      <c r="D435" t="s">
        <v>1182</v>
      </c>
      <c r="E435" t="s">
        <v>1207</v>
      </c>
      <c r="F435" t="str" cm="1">
        <f t="array" ref="F435">_xlfn.IFS(
E435="Ahmedabad","Gujarat",
E435="Bengaluru","Karnataka",
E435="Bhopal","Madhya Pradesh",
E435="Bhubaneswar","Odisha",
E435="Chandigarh","Chandigarh",
E435="Chennai","Tamil Nadu",
E435="Delhi","Delhi",
E435="Guwahati","Assam",
E435="Hyderabad","Telangana",
E435="Indore","Madhya Pradesh",
E435="Jaipur","Rajasthan",
E435="Kochi","Kerala",
E435="Kolkata","West Bengal",
E435="Lucknow","Uttar Pradesh",
E435="Mumbai","Maharashtra",
E435="Nagpur","Maharashtra",
E435="Patna","Bihar",
E435="Pune","Maharashtra",
E435="Raipur","Chhattisgarh",
E435="Surat","Gujarat",
TRUE,"Not Found"
)</f>
        <v>Tamil Nadu</v>
      </c>
      <c r="G435" t="s">
        <v>1143</v>
      </c>
      <c r="H435" t="s">
        <v>1177</v>
      </c>
      <c r="I435" t="s">
        <v>1192</v>
      </c>
      <c r="J435" t="s">
        <v>1283</v>
      </c>
      <c r="K435" t="s">
        <v>1284</v>
      </c>
      <c r="L435">
        <v>3</v>
      </c>
      <c r="M435">
        <v>2954</v>
      </c>
      <c r="N435">
        <v>0</v>
      </c>
      <c r="O435">
        <v>2954</v>
      </c>
      <c r="P435">
        <v>0.18</v>
      </c>
      <c r="Q435">
        <v>8862</v>
      </c>
      <c r="R435">
        <v>1595.16</v>
      </c>
      <c r="S435">
        <v>10457.16</v>
      </c>
      <c r="T435">
        <f>ROUND(Table2[[#This Row],[TotalAmount]],0)</f>
        <v>10457</v>
      </c>
      <c r="U435" t="s">
        <v>1363</v>
      </c>
      <c r="V435" t="s">
        <v>1369</v>
      </c>
      <c r="W435" s="4" t="s">
        <v>1412</v>
      </c>
      <c r="X435" s="4" t="s">
        <v>1412</v>
      </c>
      <c r="Y435" t="b">
        <v>0</v>
      </c>
      <c r="Z435" t="s">
        <v>1412</v>
      </c>
      <c r="AA435" t="s">
        <v>1412</v>
      </c>
      <c r="AB435" t="s">
        <v>1412</v>
      </c>
      <c r="AC435" t="s">
        <v>1392</v>
      </c>
      <c r="AD435" t="s">
        <v>1387</v>
      </c>
      <c r="AE435" t="s">
        <v>1383</v>
      </c>
    </row>
    <row r="436" spans="1:31" x14ac:dyDescent="0.3">
      <c r="A436" t="s">
        <v>600</v>
      </c>
      <c r="B436" s="4">
        <v>45769.398611111108</v>
      </c>
      <c r="C436" t="s">
        <v>153</v>
      </c>
      <c r="D436" t="s">
        <v>1141</v>
      </c>
      <c r="E436" t="s">
        <v>1239</v>
      </c>
      <c r="F436" t="str" cm="1">
        <f t="array" ref="F436">_xlfn.IFS(
E436="Ahmedabad","Gujarat",
E436="Bengaluru","Karnataka",
E436="Bhopal","Madhya Pradesh",
E436="Bhubaneswar","Odisha",
E436="Chandigarh","Chandigarh",
E436="Chennai","Tamil Nadu",
E436="Delhi","Delhi",
E436="Guwahati","Assam",
E436="Hyderabad","Telangana",
E436="Indore","Madhya Pradesh",
E436="Jaipur","Rajasthan",
E436="Kochi","Kerala",
E436="Kolkata","West Bengal",
E436="Lucknow","Uttar Pradesh",
E436="Mumbai","Maharashtra",
E436="Nagpur","Maharashtra",
E436="Patna","Bihar",
E436="Pune","Maharashtra",
E436="Raipur","Chhattisgarh",
E436="Surat","Gujarat",
TRUE,"Not Found"
)</f>
        <v>Odisha</v>
      </c>
      <c r="G436" t="s">
        <v>1187</v>
      </c>
      <c r="H436" t="s">
        <v>1172</v>
      </c>
      <c r="I436" t="s">
        <v>1229</v>
      </c>
      <c r="J436" t="s">
        <v>1230</v>
      </c>
      <c r="K436" t="s">
        <v>1231</v>
      </c>
      <c r="L436">
        <v>1</v>
      </c>
      <c r="M436">
        <v>3823</v>
      </c>
      <c r="N436">
        <v>0</v>
      </c>
      <c r="O436">
        <v>3823</v>
      </c>
      <c r="P436">
        <v>0.12</v>
      </c>
      <c r="Q436">
        <v>3823</v>
      </c>
      <c r="R436">
        <v>458.76</v>
      </c>
      <c r="S436">
        <v>4281.76</v>
      </c>
      <c r="T436">
        <f>ROUND(Table2[[#This Row],[TotalAmount]],0)</f>
        <v>4282</v>
      </c>
      <c r="U436" t="s">
        <v>1360</v>
      </c>
      <c r="V436" t="s">
        <v>1361</v>
      </c>
      <c r="W436" s="4">
        <v>45769</v>
      </c>
      <c r="X436" s="4">
        <v>45770</v>
      </c>
      <c r="Y436" t="b">
        <v>0</v>
      </c>
      <c r="Z436" t="s">
        <v>1412</v>
      </c>
      <c r="AA436" t="s">
        <v>1412</v>
      </c>
      <c r="AB436" t="s">
        <v>1412</v>
      </c>
      <c r="AC436" t="s">
        <v>1386</v>
      </c>
      <c r="AD436" t="s">
        <v>1400</v>
      </c>
      <c r="AE436" t="s">
        <v>1395</v>
      </c>
    </row>
    <row r="437" spans="1:31" x14ac:dyDescent="0.3">
      <c r="A437" t="s">
        <v>601</v>
      </c>
      <c r="B437" s="4">
        <v>45554.577777777777</v>
      </c>
      <c r="C437" t="s">
        <v>229</v>
      </c>
      <c r="D437" t="s">
        <v>1148</v>
      </c>
      <c r="E437" t="s">
        <v>1149</v>
      </c>
      <c r="F437" t="str" cm="1">
        <f t="array" ref="F437">_xlfn.IFS(
E437="Ahmedabad","Gujarat",
E437="Bengaluru","Karnataka",
E437="Bhopal","Madhya Pradesh",
E437="Bhubaneswar","Odisha",
E437="Chandigarh","Chandigarh",
E437="Chennai","Tamil Nadu",
E437="Delhi","Delhi",
E437="Guwahati","Assam",
E437="Hyderabad","Telangana",
E437="Indore","Madhya Pradesh",
E437="Jaipur","Rajasthan",
E437="Kochi","Kerala",
E437="Kolkata","West Bengal",
E437="Lucknow","Uttar Pradesh",
E437="Mumbai","Maharashtra",
E437="Nagpur","Maharashtra",
E437="Patna","Bihar",
E437="Pune","Maharashtra",
E437="Raipur","Chhattisgarh",
E437="Surat","Gujarat",
TRUE,"Not Found"
)</f>
        <v>Uttar Pradesh</v>
      </c>
      <c r="G437" t="s">
        <v>1150</v>
      </c>
      <c r="H437" t="s">
        <v>1177</v>
      </c>
      <c r="I437" t="s">
        <v>1192</v>
      </c>
      <c r="J437" t="s">
        <v>1344</v>
      </c>
      <c r="K437" t="s">
        <v>1345</v>
      </c>
      <c r="L437">
        <v>1</v>
      </c>
      <c r="M437">
        <v>1409</v>
      </c>
      <c r="N437">
        <v>0</v>
      </c>
      <c r="O437">
        <v>1409</v>
      </c>
      <c r="P437">
        <v>0.12</v>
      </c>
      <c r="Q437">
        <v>1409</v>
      </c>
      <c r="R437">
        <v>169.08</v>
      </c>
      <c r="S437">
        <v>1578.08</v>
      </c>
      <c r="T437">
        <f>ROUND(Table2[[#This Row],[TotalAmount]],0)</f>
        <v>1578</v>
      </c>
      <c r="U437" t="s">
        <v>1363</v>
      </c>
      <c r="V437" t="s">
        <v>1361</v>
      </c>
      <c r="W437" s="4">
        <v>45555</v>
      </c>
      <c r="X437" s="4">
        <v>45556</v>
      </c>
      <c r="Y437" t="b">
        <v>0</v>
      </c>
      <c r="Z437" t="s">
        <v>1412</v>
      </c>
      <c r="AA437" t="s">
        <v>1412</v>
      </c>
      <c r="AB437" t="s">
        <v>1412</v>
      </c>
      <c r="AC437" t="s">
        <v>1386</v>
      </c>
      <c r="AD437" t="s">
        <v>1394</v>
      </c>
      <c r="AE437" t="s">
        <v>1393</v>
      </c>
    </row>
    <row r="438" spans="1:31" x14ac:dyDescent="0.3">
      <c r="A438" t="s">
        <v>602</v>
      </c>
      <c r="B438" s="4">
        <v>45537.446527777778</v>
      </c>
      <c r="C438" t="s">
        <v>603</v>
      </c>
      <c r="D438" t="s">
        <v>1157</v>
      </c>
      <c r="E438" t="s">
        <v>1249</v>
      </c>
      <c r="F438" t="str" cm="1">
        <f t="array" ref="F438">_xlfn.IFS(
E438="Ahmedabad","Gujarat",
E438="Bengaluru","Karnataka",
E438="Bhopal","Madhya Pradesh",
E438="Bhubaneswar","Odisha",
E438="Chandigarh","Chandigarh",
E438="Chennai","Tamil Nadu",
E438="Delhi","Delhi",
E438="Guwahati","Assam",
E438="Hyderabad","Telangana",
E438="Indore","Madhya Pradesh",
E438="Jaipur","Rajasthan",
E438="Kochi","Kerala",
E438="Kolkata","West Bengal",
E438="Lucknow","Uttar Pradesh",
E438="Mumbai","Maharashtra",
E438="Nagpur","Maharashtra",
E438="Patna","Bihar",
E438="Pune","Maharashtra",
E438="Raipur","Chhattisgarh",
E438="Surat","Gujarat",
TRUE,"Not Found"
)</f>
        <v>Maharashtra</v>
      </c>
      <c r="G438" t="s">
        <v>1187</v>
      </c>
      <c r="H438" t="s">
        <v>1177</v>
      </c>
      <c r="I438" t="s">
        <v>1309</v>
      </c>
      <c r="J438" t="s">
        <v>1310</v>
      </c>
      <c r="K438" t="s">
        <v>1311</v>
      </c>
      <c r="L438">
        <v>3</v>
      </c>
      <c r="M438">
        <v>1843</v>
      </c>
      <c r="N438">
        <v>0.2</v>
      </c>
      <c r="O438">
        <v>1474.4</v>
      </c>
      <c r="P438">
        <v>0.05</v>
      </c>
      <c r="Q438">
        <v>4423.2000000000007</v>
      </c>
      <c r="R438">
        <v>221.16000000000011</v>
      </c>
      <c r="S438">
        <v>4644.3600000000006</v>
      </c>
      <c r="T438">
        <f>ROUND(Table2[[#This Row],[TotalAmount]],0)</f>
        <v>4644</v>
      </c>
      <c r="U438" t="s">
        <v>1362</v>
      </c>
      <c r="V438" t="s">
        <v>1361</v>
      </c>
      <c r="W438" s="4">
        <v>45539</v>
      </c>
      <c r="X438" s="4">
        <v>45540</v>
      </c>
      <c r="Y438" t="b">
        <v>0</v>
      </c>
      <c r="Z438" t="s">
        <v>1412</v>
      </c>
      <c r="AA438" t="s">
        <v>1412</v>
      </c>
      <c r="AB438" t="s">
        <v>1412</v>
      </c>
      <c r="AC438" t="s">
        <v>1382</v>
      </c>
      <c r="AD438" t="s">
        <v>1399</v>
      </c>
      <c r="AE438" t="s">
        <v>1395</v>
      </c>
    </row>
    <row r="439" spans="1:31" x14ac:dyDescent="0.3">
      <c r="A439" t="s">
        <v>604</v>
      </c>
      <c r="B439" s="4">
        <v>45507.810416666667</v>
      </c>
      <c r="C439" t="s">
        <v>117</v>
      </c>
      <c r="D439" t="s">
        <v>1141</v>
      </c>
      <c r="E439" t="s">
        <v>1285</v>
      </c>
      <c r="F439" t="str" cm="1">
        <f t="array" ref="F439">_xlfn.IFS(
E439="Ahmedabad","Gujarat",
E439="Bengaluru","Karnataka",
E439="Bhopal","Madhya Pradesh",
E439="Bhubaneswar","Odisha",
E439="Chandigarh","Chandigarh",
E439="Chennai","Tamil Nadu",
E439="Delhi","Delhi",
E439="Guwahati","Assam",
E439="Hyderabad","Telangana",
E439="Indore","Madhya Pradesh",
E439="Jaipur","Rajasthan",
E439="Kochi","Kerala",
E439="Kolkata","West Bengal",
E439="Lucknow","Uttar Pradesh",
E439="Mumbai","Maharashtra",
E439="Nagpur","Maharashtra",
E439="Patna","Bihar",
E439="Pune","Maharashtra",
E439="Raipur","Chhattisgarh",
E439="Surat","Gujarat",
TRUE,"Not Found"
)</f>
        <v>Assam</v>
      </c>
      <c r="G439" t="s">
        <v>1143</v>
      </c>
      <c r="H439" t="s">
        <v>1177</v>
      </c>
      <c r="I439" t="s">
        <v>1236</v>
      </c>
      <c r="J439" t="s">
        <v>1237</v>
      </c>
      <c r="K439" t="s">
        <v>1238</v>
      </c>
      <c r="L439">
        <v>1</v>
      </c>
      <c r="M439">
        <v>530</v>
      </c>
      <c r="N439">
        <v>0</v>
      </c>
      <c r="O439">
        <v>530</v>
      </c>
      <c r="P439">
        <v>0.12</v>
      </c>
      <c r="Q439">
        <v>530</v>
      </c>
      <c r="R439">
        <v>63.599999999999987</v>
      </c>
      <c r="S439">
        <v>593.6</v>
      </c>
      <c r="T439">
        <f>ROUND(Table2[[#This Row],[TotalAmount]],0)</f>
        <v>594</v>
      </c>
      <c r="U439" t="s">
        <v>1360</v>
      </c>
      <c r="V439" t="s">
        <v>1361</v>
      </c>
      <c r="W439" s="4">
        <v>45508</v>
      </c>
      <c r="X439" s="4">
        <v>45512</v>
      </c>
      <c r="Y439" t="b">
        <v>0</v>
      </c>
      <c r="Z439" t="s">
        <v>1412</v>
      </c>
      <c r="AA439" t="s">
        <v>1412</v>
      </c>
      <c r="AB439" t="s">
        <v>1412</v>
      </c>
      <c r="AC439" t="s">
        <v>1376</v>
      </c>
      <c r="AD439" t="s">
        <v>1387</v>
      </c>
      <c r="AE439" t="s">
        <v>1391</v>
      </c>
    </row>
    <row r="440" spans="1:31" x14ac:dyDescent="0.3">
      <c r="A440" t="s">
        <v>605</v>
      </c>
      <c r="B440" s="4">
        <v>45563.564583333333</v>
      </c>
      <c r="C440" t="s">
        <v>117</v>
      </c>
      <c r="D440" t="s">
        <v>1141</v>
      </c>
      <c r="E440" t="s">
        <v>1285</v>
      </c>
      <c r="F440" t="str" cm="1">
        <f t="array" ref="F440">_xlfn.IFS(
E440="Ahmedabad","Gujarat",
E440="Bengaluru","Karnataka",
E440="Bhopal","Madhya Pradesh",
E440="Bhubaneswar","Odisha",
E440="Chandigarh","Chandigarh",
E440="Chennai","Tamil Nadu",
E440="Delhi","Delhi",
E440="Guwahati","Assam",
E440="Hyderabad","Telangana",
E440="Indore","Madhya Pradesh",
E440="Jaipur","Rajasthan",
E440="Kochi","Kerala",
E440="Kolkata","West Bengal",
E440="Lucknow","Uttar Pradesh",
E440="Mumbai","Maharashtra",
E440="Nagpur","Maharashtra",
E440="Patna","Bihar",
E440="Pune","Maharashtra",
E440="Raipur","Chhattisgarh",
E440="Surat","Gujarat",
TRUE,"Not Found"
)</f>
        <v>Assam</v>
      </c>
      <c r="G440" t="s">
        <v>1143</v>
      </c>
      <c r="H440" t="s">
        <v>1167</v>
      </c>
      <c r="I440" t="s">
        <v>1288</v>
      </c>
      <c r="J440" t="s">
        <v>1289</v>
      </c>
      <c r="K440" t="s">
        <v>1290</v>
      </c>
      <c r="L440">
        <v>1</v>
      </c>
      <c r="M440">
        <v>19222</v>
      </c>
      <c r="N440">
        <v>0.05</v>
      </c>
      <c r="O440">
        <v>18260.900000000001</v>
      </c>
      <c r="P440">
        <v>0.18</v>
      </c>
      <c r="Q440">
        <v>18260.900000000001</v>
      </c>
      <c r="R440">
        <v>3286.962</v>
      </c>
      <c r="S440">
        <v>21547.862000000001</v>
      </c>
      <c r="T440">
        <f>ROUND(Table2[[#This Row],[TotalAmount]],0)</f>
        <v>21548</v>
      </c>
      <c r="U440" t="s">
        <v>1366</v>
      </c>
      <c r="V440" t="s">
        <v>1368</v>
      </c>
      <c r="W440" s="4">
        <v>45563</v>
      </c>
      <c r="X440" s="4" t="s">
        <v>1412</v>
      </c>
      <c r="Y440" t="b">
        <v>0</v>
      </c>
      <c r="Z440" t="s">
        <v>1412</v>
      </c>
      <c r="AA440" t="s">
        <v>1412</v>
      </c>
      <c r="AB440" t="s">
        <v>1412</v>
      </c>
      <c r="AC440" t="s">
        <v>1379</v>
      </c>
      <c r="AD440" t="s">
        <v>1385</v>
      </c>
      <c r="AE440" t="s">
        <v>1395</v>
      </c>
    </row>
    <row r="441" spans="1:31" x14ac:dyDescent="0.3">
      <c r="A441" t="s">
        <v>606</v>
      </c>
      <c r="B441" s="4">
        <v>45769.550694444442</v>
      </c>
      <c r="C441" t="s">
        <v>551</v>
      </c>
      <c r="D441" t="s">
        <v>1157</v>
      </c>
      <c r="E441" t="s">
        <v>1201</v>
      </c>
      <c r="F441" t="str" cm="1">
        <f t="array" ref="F441">_xlfn.IFS(
E441="Ahmedabad","Gujarat",
E441="Bengaluru","Karnataka",
E441="Bhopal","Madhya Pradesh",
E441="Bhubaneswar","Odisha",
E441="Chandigarh","Chandigarh",
E441="Chennai","Tamil Nadu",
E441="Delhi","Delhi",
E441="Guwahati","Assam",
E441="Hyderabad","Telangana",
E441="Indore","Madhya Pradesh",
E441="Jaipur","Rajasthan",
E441="Kochi","Kerala",
E441="Kolkata","West Bengal",
E441="Lucknow","Uttar Pradesh",
E441="Mumbai","Maharashtra",
E441="Nagpur","Maharashtra",
E441="Patna","Bihar",
E441="Pune","Maharashtra",
E441="Raipur","Chhattisgarh",
E441="Surat","Gujarat",
TRUE,"Not Found"
)</f>
        <v>Maharashtra</v>
      </c>
      <c r="G441" t="s">
        <v>1143</v>
      </c>
      <c r="H441" t="s">
        <v>1167</v>
      </c>
      <c r="I441" t="s">
        <v>1208</v>
      </c>
      <c r="J441" t="s">
        <v>1209</v>
      </c>
      <c r="K441" t="s">
        <v>1210</v>
      </c>
      <c r="L441">
        <v>2</v>
      </c>
      <c r="M441">
        <v>54308</v>
      </c>
      <c r="N441">
        <v>0.15</v>
      </c>
      <c r="O441">
        <v>46161.8</v>
      </c>
      <c r="P441">
        <v>0.18</v>
      </c>
      <c r="Q441">
        <v>92323.599999999991</v>
      </c>
      <c r="R441">
        <v>16618.248</v>
      </c>
      <c r="S441">
        <v>108941.848</v>
      </c>
      <c r="T441">
        <f>ROUND(Table2[[#This Row],[TotalAmount]],0)</f>
        <v>108942</v>
      </c>
      <c r="U441" t="s">
        <v>1362</v>
      </c>
      <c r="V441" t="s">
        <v>1361</v>
      </c>
      <c r="W441" s="4">
        <v>45769</v>
      </c>
      <c r="X441" s="4">
        <v>45772</v>
      </c>
      <c r="Y441" t="b">
        <v>0</v>
      </c>
      <c r="Z441" t="s">
        <v>1412</v>
      </c>
      <c r="AA441" t="s">
        <v>1412</v>
      </c>
      <c r="AB441" t="s">
        <v>1412</v>
      </c>
      <c r="AC441" t="s">
        <v>1382</v>
      </c>
      <c r="AD441" t="s">
        <v>1400</v>
      </c>
      <c r="AE441" t="s">
        <v>1393</v>
      </c>
    </row>
    <row r="442" spans="1:31" x14ac:dyDescent="0.3">
      <c r="A442" t="s">
        <v>607</v>
      </c>
      <c r="B442" s="4">
        <v>45401.650694444441</v>
      </c>
      <c r="C442" t="s">
        <v>105</v>
      </c>
      <c r="D442" t="s">
        <v>1182</v>
      </c>
      <c r="E442" t="s">
        <v>1207</v>
      </c>
      <c r="F442" t="str" cm="1">
        <f t="array" ref="F442">_xlfn.IFS(
E442="Ahmedabad","Gujarat",
E442="Bengaluru","Karnataka",
E442="Bhopal","Madhya Pradesh",
E442="Bhubaneswar","Odisha",
E442="Chandigarh","Chandigarh",
E442="Chennai","Tamil Nadu",
E442="Delhi","Delhi",
E442="Guwahati","Assam",
E442="Hyderabad","Telangana",
E442="Indore","Madhya Pradesh",
E442="Jaipur","Rajasthan",
E442="Kochi","Kerala",
E442="Kolkata","West Bengal",
E442="Lucknow","Uttar Pradesh",
E442="Mumbai","Maharashtra",
E442="Nagpur","Maharashtra",
E442="Patna","Bihar",
E442="Pune","Maharashtra",
E442="Raipur","Chhattisgarh",
E442="Surat","Gujarat",
TRUE,"Not Found"
)</f>
        <v>Tamil Nadu</v>
      </c>
      <c r="G442" t="s">
        <v>1150</v>
      </c>
      <c r="H442" t="s">
        <v>1177</v>
      </c>
      <c r="I442" t="s">
        <v>1236</v>
      </c>
      <c r="J442" t="s">
        <v>1338</v>
      </c>
      <c r="K442" t="s">
        <v>1339</v>
      </c>
      <c r="L442">
        <v>2</v>
      </c>
      <c r="M442">
        <v>2996</v>
      </c>
      <c r="N442">
        <v>0.1</v>
      </c>
      <c r="O442">
        <v>2696.4</v>
      </c>
      <c r="P442">
        <v>0.12</v>
      </c>
      <c r="Q442">
        <v>5392.8</v>
      </c>
      <c r="R442">
        <v>647.13599999999997</v>
      </c>
      <c r="S442">
        <v>6039.9359999999997</v>
      </c>
      <c r="T442">
        <f>ROUND(Table2[[#This Row],[TotalAmount]],0)</f>
        <v>6040</v>
      </c>
      <c r="U442" t="s">
        <v>1365</v>
      </c>
      <c r="V442" t="s">
        <v>1361</v>
      </c>
      <c r="W442" s="4">
        <v>45402</v>
      </c>
      <c r="X442" s="4">
        <v>45403</v>
      </c>
      <c r="Y442" t="b">
        <v>0</v>
      </c>
      <c r="Z442" t="s">
        <v>1412</v>
      </c>
      <c r="AA442" t="s">
        <v>1412</v>
      </c>
      <c r="AB442" t="s">
        <v>1412</v>
      </c>
      <c r="AC442" t="s">
        <v>1390</v>
      </c>
      <c r="AD442" t="s">
        <v>1400</v>
      </c>
      <c r="AE442" t="s">
        <v>1389</v>
      </c>
    </row>
    <row r="443" spans="1:31" x14ac:dyDescent="0.3">
      <c r="A443" t="s">
        <v>608</v>
      </c>
      <c r="B443" s="4">
        <v>45408.458333333343</v>
      </c>
      <c r="C443" t="s">
        <v>235</v>
      </c>
      <c r="D443" t="s">
        <v>1157</v>
      </c>
      <c r="E443" t="s">
        <v>1158</v>
      </c>
      <c r="F443" t="str" cm="1">
        <f t="array" ref="F443">_xlfn.IFS(
E443="Ahmedabad","Gujarat",
E443="Bengaluru","Karnataka",
E443="Bhopal","Madhya Pradesh",
E443="Bhubaneswar","Odisha",
E443="Chandigarh","Chandigarh",
E443="Chennai","Tamil Nadu",
E443="Delhi","Delhi",
E443="Guwahati","Assam",
E443="Hyderabad","Telangana",
E443="Indore","Madhya Pradesh",
E443="Jaipur","Rajasthan",
E443="Kochi","Kerala",
E443="Kolkata","West Bengal",
E443="Lucknow","Uttar Pradesh",
E443="Mumbai","Maharashtra",
E443="Nagpur","Maharashtra",
E443="Patna","Bihar",
E443="Pune","Maharashtra",
E443="Raipur","Chhattisgarh",
E443="Surat","Gujarat",
TRUE,"Not Found"
)</f>
        <v>Gujarat</v>
      </c>
      <c r="G443" t="s">
        <v>1143</v>
      </c>
      <c r="H443" t="s">
        <v>1177</v>
      </c>
      <c r="I443" t="s">
        <v>1195</v>
      </c>
      <c r="J443" t="s">
        <v>1202</v>
      </c>
      <c r="K443" t="s">
        <v>1203</v>
      </c>
      <c r="L443">
        <v>1</v>
      </c>
      <c r="M443">
        <v>1671</v>
      </c>
      <c r="N443">
        <v>0.1</v>
      </c>
      <c r="O443">
        <v>1503.9</v>
      </c>
      <c r="P443">
        <v>0.05</v>
      </c>
      <c r="Q443">
        <v>1503.9</v>
      </c>
      <c r="R443">
        <v>75.195000000000007</v>
      </c>
      <c r="S443">
        <v>1579.095</v>
      </c>
      <c r="T443">
        <f>ROUND(Table2[[#This Row],[TotalAmount]],0)</f>
        <v>1579</v>
      </c>
      <c r="U443" t="s">
        <v>1362</v>
      </c>
      <c r="V443" t="s">
        <v>1361</v>
      </c>
      <c r="W443" s="4">
        <v>45409</v>
      </c>
      <c r="X443" s="4">
        <v>45411</v>
      </c>
      <c r="Y443" t="b">
        <v>0</v>
      </c>
      <c r="Z443" t="s">
        <v>1412</v>
      </c>
      <c r="AA443" t="s">
        <v>1412</v>
      </c>
      <c r="AB443" t="s">
        <v>1412</v>
      </c>
      <c r="AC443" t="s">
        <v>1386</v>
      </c>
      <c r="AD443" t="s">
        <v>1385</v>
      </c>
      <c r="AE443" t="s">
        <v>1378</v>
      </c>
    </row>
    <row r="444" spans="1:31" x14ac:dyDescent="0.3">
      <c r="A444" t="s">
        <v>609</v>
      </c>
      <c r="B444" s="4">
        <v>45507.404861111107</v>
      </c>
      <c r="C444" t="s">
        <v>610</v>
      </c>
      <c r="D444" t="s">
        <v>1157</v>
      </c>
      <c r="E444" t="s">
        <v>1181</v>
      </c>
      <c r="F444" t="str" cm="1">
        <f t="array" ref="F444">_xlfn.IFS(
E444="Ahmedabad","Gujarat",
E444="Bengaluru","Karnataka",
E444="Bhopal","Madhya Pradesh",
E444="Bhubaneswar","Odisha",
E444="Chandigarh","Chandigarh",
E444="Chennai","Tamil Nadu",
E444="Delhi","Delhi",
E444="Guwahati","Assam",
E444="Hyderabad","Telangana",
E444="Indore","Madhya Pradesh",
E444="Jaipur","Rajasthan",
E444="Kochi","Kerala",
E444="Kolkata","West Bengal",
E444="Lucknow","Uttar Pradesh",
E444="Mumbai","Maharashtra",
E444="Nagpur","Maharashtra",
E444="Patna","Bihar",
E444="Pune","Maharashtra",
E444="Raipur","Chhattisgarh",
E444="Surat","Gujarat",
TRUE,"Not Found"
)</f>
        <v>Gujarat</v>
      </c>
      <c r="G444" t="s">
        <v>1187</v>
      </c>
      <c r="H444" t="s">
        <v>1163</v>
      </c>
      <c r="I444" t="s">
        <v>1240</v>
      </c>
      <c r="J444" t="s">
        <v>1247</v>
      </c>
      <c r="K444" t="s">
        <v>1248</v>
      </c>
      <c r="L444">
        <v>1</v>
      </c>
      <c r="M444">
        <v>272</v>
      </c>
      <c r="N444">
        <v>0</v>
      </c>
      <c r="O444">
        <v>272</v>
      </c>
      <c r="P444">
        <v>0.05</v>
      </c>
      <c r="Q444">
        <v>272</v>
      </c>
      <c r="R444">
        <v>13.6</v>
      </c>
      <c r="S444">
        <v>285.60000000000002</v>
      </c>
      <c r="T444">
        <f>ROUND(Table2[[#This Row],[TotalAmount]],0)</f>
        <v>286</v>
      </c>
      <c r="U444" t="s">
        <v>1362</v>
      </c>
      <c r="V444" t="s">
        <v>1361</v>
      </c>
      <c r="W444" s="4">
        <v>45509</v>
      </c>
      <c r="X444" s="4">
        <v>45511</v>
      </c>
      <c r="Y444" t="b">
        <v>0</v>
      </c>
      <c r="Z444" t="s">
        <v>1412</v>
      </c>
      <c r="AA444" t="s">
        <v>1412</v>
      </c>
      <c r="AB444" t="s">
        <v>1412</v>
      </c>
      <c r="AC444" t="s">
        <v>1390</v>
      </c>
      <c r="AD444" t="s">
        <v>1385</v>
      </c>
      <c r="AE444" t="s">
        <v>1395</v>
      </c>
    </row>
    <row r="445" spans="1:31" x14ac:dyDescent="0.3">
      <c r="A445" t="s">
        <v>611</v>
      </c>
      <c r="B445" s="4">
        <v>45767.480555555558</v>
      </c>
      <c r="C445" t="s">
        <v>79</v>
      </c>
      <c r="D445" t="s">
        <v>1182</v>
      </c>
      <c r="E445" t="s">
        <v>1257</v>
      </c>
      <c r="F445" t="str" cm="1">
        <f t="array" ref="F445">_xlfn.IFS(
E445="Ahmedabad","Gujarat",
E445="Bengaluru","Karnataka",
E445="Bhopal","Madhya Pradesh",
E445="Bhubaneswar","Odisha",
E445="Chandigarh","Chandigarh",
E445="Chennai","Tamil Nadu",
E445="Delhi","Delhi",
E445="Guwahati","Assam",
E445="Hyderabad","Telangana",
E445="Indore","Madhya Pradesh",
E445="Jaipur","Rajasthan",
E445="Kochi","Kerala",
E445="Kolkata","West Bengal",
E445="Lucknow","Uttar Pradesh",
E445="Mumbai","Maharashtra",
E445="Nagpur","Maharashtra",
E445="Patna","Bihar",
E445="Pune","Maharashtra",
E445="Raipur","Chhattisgarh",
E445="Surat","Gujarat",
TRUE,"Not Found"
)</f>
        <v>Kerala</v>
      </c>
      <c r="G445" t="s">
        <v>1143</v>
      </c>
      <c r="H445" t="s">
        <v>1172</v>
      </c>
      <c r="I445" t="s">
        <v>1198</v>
      </c>
      <c r="J445" t="s">
        <v>1303</v>
      </c>
      <c r="K445" t="s">
        <v>1304</v>
      </c>
      <c r="L445">
        <v>1</v>
      </c>
      <c r="M445">
        <v>8380</v>
      </c>
      <c r="N445">
        <v>0.05</v>
      </c>
      <c r="O445">
        <v>7961</v>
      </c>
      <c r="P445">
        <v>0.05</v>
      </c>
      <c r="Q445">
        <v>7961</v>
      </c>
      <c r="R445">
        <v>398.05</v>
      </c>
      <c r="S445">
        <v>8359.0499999999993</v>
      </c>
      <c r="T445">
        <f>ROUND(Table2[[#This Row],[TotalAmount]],0)</f>
        <v>8359</v>
      </c>
      <c r="U445" t="s">
        <v>1363</v>
      </c>
      <c r="V445" t="s">
        <v>1361</v>
      </c>
      <c r="W445" s="4">
        <v>45767</v>
      </c>
      <c r="X445" s="4">
        <v>45769</v>
      </c>
      <c r="Y445" t="b">
        <v>0</v>
      </c>
      <c r="Z445" t="s">
        <v>1412</v>
      </c>
      <c r="AA445" t="s">
        <v>1412</v>
      </c>
      <c r="AB445" t="s">
        <v>1412</v>
      </c>
      <c r="AC445" t="s">
        <v>1386</v>
      </c>
      <c r="AD445" t="s">
        <v>1387</v>
      </c>
      <c r="AE445" t="s">
        <v>1391</v>
      </c>
    </row>
    <row r="446" spans="1:31" x14ac:dyDescent="0.3">
      <c r="A446" t="s">
        <v>612</v>
      </c>
      <c r="B446" s="4">
        <v>45770.432638888888</v>
      </c>
      <c r="C446" t="s">
        <v>40</v>
      </c>
      <c r="D446" t="s">
        <v>1141</v>
      </c>
      <c r="E446" t="s">
        <v>1142</v>
      </c>
      <c r="F446" t="str" cm="1">
        <f t="array" ref="F446">_xlfn.IFS(
E446="Ahmedabad","Gujarat",
E446="Bengaluru","Karnataka",
E446="Bhopal","Madhya Pradesh",
E446="Bhubaneswar","Odisha",
E446="Chandigarh","Chandigarh",
E446="Chennai","Tamil Nadu",
E446="Delhi","Delhi",
E446="Guwahati","Assam",
E446="Hyderabad","Telangana",
E446="Indore","Madhya Pradesh",
E446="Jaipur","Rajasthan",
E446="Kochi","Kerala",
E446="Kolkata","West Bengal",
E446="Lucknow","Uttar Pradesh",
E446="Mumbai","Maharashtra",
E446="Nagpur","Maharashtra",
E446="Patna","Bihar",
E446="Pune","Maharashtra",
E446="Raipur","Chhattisgarh",
E446="Surat","Gujarat",
TRUE,"Not Found"
)</f>
        <v>West Bengal</v>
      </c>
      <c r="G446" t="s">
        <v>1143</v>
      </c>
      <c r="H446" t="s">
        <v>1172</v>
      </c>
      <c r="I446" t="s">
        <v>1188</v>
      </c>
      <c r="J446" t="s">
        <v>1258</v>
      </c>
      <c r="K446" t="s">
        <v>1259</v>
      </c>
      <c r="L446">
        <v>2</v>
      </c>
      <c r="M446">
        <v>4483</v>
      </c>
      <c r="N446">
        <v>0.05</v>
      </c>
      <c r="O446">
        <v>4258.8499999999995</v>
      </c>
      <c r="P446">
        <v>0.12</v>
      </c>
      <c r="Q446">
        <v>8517.6999999999989</v>
      </c>
      <c r="R446">
        <v>1022.124</v>
      </c>
      <c r="S446">
        <v>9539.8239999999987</v>
      </c>
      <c r="T446">
        <f>ROUND(Table2[[#This Row],[TotalAmount]],0)</f>
        <v>9540</v>
      </c>
      <c r="U446" t="s">
        <v>1360</v>
      </c>
      <c r="V446" t="s">
        <v>1361</v>
      </c>
      <c r="W446" s="4">
        <v>45771</v>
      </c>
      <c r="X446" s="4">
        <v>45775</v>
      </c>
      <c r="Y446" t="b">
        <v>0</v>
      </c>
      <c r="Z446" t="s">
        <v>1412</v>
      </c>
      <c r="AA446" t="s">
        <v>1412</v>
      </c>
      <c r="AB446" t="s">
        <v>1412</v>
      </c>
      <c r="AC446" t="s">
        <v>1388</v>
      </c>
      <c r="AD446" t="s">
        <v>1400</v>
      </c>
      <c r="AE446" t="s">
        <v>1378</v>
      </c>
    </row>
    <row r="447" spans="1:31" x14ac:dyDescent="0.3">
      <c r="A447" t="s">
        <v>613</v>
      </c>
      <c r="B447" s="4">
        <v>45610.697916666657</v>
      </c>
      <c r="C447" t="s">
        <v>614</v>
      </c>
      <c r="D447" t="s">
        <v>1141</v>
      </c>
      <c r="E447" t="s">
        <v>1285</v>
      </c>
      <c r="F447" t="str" cm="1">
        <f t="array" ref="F447">_xlfn.IFS(
E447="Ahmedabad","Gujarat",
E447="Bengaluru","Karnataka",
E447="Bhopal","Madhya Pradesh",
E447="Bhubaneswar","Odisha",
E447="Chandigarh","Chandigarh",
E447="Chennai","Tamil Nadu",
E447="Delhi","Delhi",
E447="Guwahati","Assam",
E447="Hyderabad","Telangana",
E447="Indore","Madhya Pradesh",
E447="Jaipur","Rajasthan",
E447="Kochi","Kerala",
E447="Kolkata","West Bengal",
E447="Lucknow","Uttar Pradesh",
E447="Mumbai","Maharashtra",
E447="Nagpur","Maharashtra",
E447="Patna","Bihar",
E447="Pune","Maharashtra",
E447="Raipur","Chhattisgarh",
E447="Surat","Gujarat",
TRUE,"Not Found"
)</f>
        <v>Assam</v>
      </c>
      <c r="G447" t="s">
        <v>1150</v>
      </c>
      <c r="H447" t="s">
        <v>1167</v>
      </c>
      <c r="I447" t="s">
        <v>1211</v>
      </c>
      <c r="J447" t="s">
        <v>1212</v>
      </c>
      <c r="K447" t="s">
        <v>1213</v>
      </c>
      <c r="L447">
        <v>1</v>
      </c>
      <c r="M447">
        <v>3928</v>
      </c>
      <c r="N447">
        <v>0</v>
      </c>
      <c r="O447">
        <v>3928</v>
      </c>
      <c r="P447">
        <v>0.18</v>
      </c>
      <c r="Q447">
        <v>3928</v>
      </c>
      <c r="R447">
        <v>707.04</v>
      </c>
      <c r="S447">
        <v>4635.04</v>
      </c>
      <c r="T447">
        <f>ROUND(Table2[[#This Row],[TotalAmount]],0)</f>
        <v>4635</v>
      </c>
      <c r="U447" t="s">
        <v>1363</v>
      </c>
      <c r="V447" t="s">
        <v>1361</v>
      </c>
      <c r="W447" s="4">
        <v>45610</v>
      </c>
      <c r="X447" s="4">
        <v>45613</v>
      </c>
      <c r="Y447" t="b">
        <v>0</v>
      </c>
      <c r="Z447" t="s">
        <v>1412</v>
      </c>
      <c r="AA447" t="s">
        <v>1412</v>
      </c>
      <c r="AB447" t="s">
        <v>1412</v>
      </c>
      <c r="AC447" t="s">
        <v>1392</v>
      </c>
      <c r="AD447" t="s">
        <v>1385</v>
      </c>
      <c r="AE447" t="s">
        <v>1393</v>
      </c>
    </row>
    <row r="448" spans="1:31" x14ac:dyDescent="0.3">
      <c r="A448" t="s">
        <v>615</v>
      </c>
      <c r="B448" s="4">
        <v>45351.493055555547</v>
      </c>
      <c r="C448" t="s">
        <v>197</v>
      </c>
      <c r="D448" t="s">
        <v>1148</v>
      </c>
      <c r="E448" t="s">
        <v>1262</v>
      </c>
      <c r="F448" t="str" cm="1">
        <f t="array" ref="F448">_xlfn.IFS(
E448="Ahmedabad","Gujarat",
E448="Bengaluru","Karnataka",
E448="Bhopal","Madhya Pradesh",
E448="Bhubaneswar","Odisha",
E448="Chandigarh","Chandigarh",
E448="Chennai","Tamil Nadu",
E448="Delhi","Delhi",
E448="Guwahati","Assam",
E448="Hyderabad","Telangana",
E448="Indore","Madhya Pradesh",
E448="Jaipur","Rajasthan",
E448="Kochi","Kerala",
E448="Kolkata","West Bengal",
E448="Lucknow","Uttar Pradesh",
E448="Mumbai","Maharashtra",
E448="Nagpur","Maharashtra",
E448="Patna","Bihar",
E448="Pune","Maharashtra",
E448="Raipur","Chhattisgarh",
E448="Surat","Gujarat",
TRUE,"Not Found"
)</f>
        <v>Rajasthan</v>
      </c>
      <c r="G448" t="s">
        <v>1187</v>
      </c>
      <c r="H448" t="s">
        <v>1177</v>
      </c>
      <c r="I448" t="s">
        <v>1309</v>
      </c>
      <c r="J448" t="s">
        <v>1310</v>
      </c>
      <c r="K448" t="s">
        <v>1311</v>
      </c>
      <c r="L448">
        <v>3</v>
      </c>
      <c r="M448">
        <v>2729</v>
      </c>
      <c r="N448">
        <v>0</v>
      </c>
      <c r="O448">
        <v>2729</v>
      </c>
      <c r="P448">
        <v>0.18</v>
      </c>
      <c r="Q448">
        <v>8187</v>
      </c>
      <c r="R448">
        <v>1473.66</v>
      </c>
      <c r="S448">
        <v>9660.66</v>
      </c>
      <c r="T448">
        <f>ROUND(Table2[[#This Row],[TotalAmount]],0)</f>
        <v>9661</v>
      </c>
      <c r="U448" t="s">
        <v>1360</v>
      </c>
      <c r="V448" t="s">
        <v>1361</v>
      </c>
      <c r="W448" s="4">
        <v>45353</v>
      </c>
      <c r="X448" s="4">
        <v>45356</v>
      </c>
      <c r="Y448" t="b">
        <v>0</v>
      </c>
      <c r="Z448" t="s">
        <v>1412</v>
      </c>
      <c r="AA448" t="s">
        <v>1412</v>
      </c>
      <c r="AB448" t="s">
        <v>1412</v>
      </c>
      <c r="AC448" t="s">
        <v>1379</v>
      </c>
      <c r="AD448" t="s">
        <v>1377</v>
      </c>
      <c r="AE448" t="s">
        <v>1389</v>
      </c>
    </row>
    <row r="449" spans="1:31" x14ac:dyDescent="0.3">
      <c r="A449" t="s">
        <v>616</v>
      </c>
      <c r="B449" s="4">
        <v>45435.629166666673</v>
      </c>
      <c r="C449" t="s">
        <v>354</v>
      </c>
      <c r="D449" t="s">
        <v>1148</v>
      </c>
      <c r="E449" t="s">
        <v>1217</v>
      </c>
      <c r="F449" t="str" cm="1">
        <f t="array" ref="F449">_xlfn.IFS(
E449="Ahmedabad","Gujarat",
E449="Bengaluru","Karnataka",
E449="Bhopal","Madhya Pradesh",
E449="Bhubaneswar","Odisha",
E449="Chandigarh","Chandigarh",
E449="Chennai","Tamil Nadu",
E449="Delhi","Delhi",
E449="Guwahati","Assam",
E449="Hyderabad","Telangana",
E449="Indore","Madhya Pradesh",
E449="Jaipur","Rajasthan",
E449="Kochi","Kerala",
E449="Kolkata","West Bengal",
E449="Lucknow","Uttar Pradesh",
E449="Mumbai","Maharashtra",
E449="Nagpur","Maharashtra",
E449="Patna","Bihar",
E449="Pune","Maharashtra",
E449="Raipur","Chhattisgarh",
E449="Surat","Gujarat",
TRUE,"Not Found"
)</f>
        <v>Delhi</v>
      </c>
      <c r="G449" t="s">
        <v>1143</v>
      </c>
      <c r="H449" t="s">
        <v>1163</v>
      </c>
      <c r="I449" t="s">
        <v>1164</v>
      </c>
      <c r="J449" t="s">
        <v>1318</v>
      </c>
      <c r="K449" t="s">
        <v>1319</v>
      </c>
      <c r="L449">
        <v>3</v>
      </c>
      <c r="M449">
        <v>368</v>
      </c>
      <c r="N449">
        <v>0</v>
      </c>
      <c r="O449">
        <v>368</v>
      </c>
      <c r="P449">
        <v>0.18</v>
      </c>
      <c r="Q449">
        <v>1104</v>
      </c>
      <c r="R449">
        <v>198.72</v>
      </c>
      <c r="S449">
        <v>1302.72</v>
      </c>
      <c r="T449">
        <f>ROUND(Table2[[#This Row],[TotalAmount]],0)</f>
        <v>1303</v>
      </c>
      <c r="U449" t="s">
        <v>1365</v>
      </c>
      <c r="V449" t="s">
        <v>1361</v>
      </c>
      <c r="W449" s="4">
        <v>45436</v>
      </c>
      <c r="X449" s="4">
        <v>45440</v>
      </c>
      <c r="Y449" t="b">
        <v>0</v>
      </c>
      <c r="Z449" t="s">
        <v>1412</v>
      </c>
      <c r="AA449" t="s">
        <v>1412</v>
      </c>
      <c r="AB449" t="s">
        <v>1412</v>
      </c>
      <c r="AC449" t="s">
        <v>1379</v>
      </c>
      <c r="AD449" t="s">
        <v>1394</v>
      </c>
      <c r="AE449" t="s">
        <v>1389</v>
      </c>
    </row>
    <row r="450" spans="1:31" x14ac:dyDescent="0.3">
      <c r="A450" t="s">
        <v>617</v>
      </c>
      <c r="B450" s="4">
        <v>45674.456250000003</v>
      </c>
      <c r="C450" t="s">
        <v>153</v>
      </c>
      <c r="D450" t="s">
        <v>1141</v>
      </c>
      <c r="E450" t="s">
        <v>1239</v>
      </c>
      <c r="F450" t="str" cm="1">
        <f t="array" ref="F450">_xlfn.IFS(
E450="Ahmedabad","Gujarat",
E450="Bengaluru","Karnataka",
E450="Bhopal","Madhya Pradesh",
E450="Bhubaneswar","Odisha",
E450="Chandigarh","Chandigarh",
E450="Chennai","Tamil Nadu",
E450="Delhi","Delhi",
E450="Guwahati","Assam",
E450="Hyderabad","Telangana",
E450="Indore","Madhya Pradesh",
E450="Jaipur","Rajasthan",
E450="Kochi","Kerala",
E450="Kolkata","West Bengal",
E450="Lucknow","Uttar Pradesh",
E450="Mumbai","Maharashtra",
E450="Nagpur","Maharashtra",
E450="Patna","Bihar",
E450="Pune","Maharashtra",
E450="Raipur","Chhattisgarh",
E450="Surat","Gujarat",
TRUE,"Not Found"
)</f>
        <v>Odisha</v>
      </c>
      <c r="G450" t="s">
        <v>1143</v>
      </c>
      <c r="H450" t="s">
        <v>1177</v>
      </c>
      <c r="I450" t="s">
        <v>1236</v>
      </c>
      <c r="J450" t="s">
        <v>1254</v>
      </c>
      <c r="K450" t="s">
        <v>1255</v>
      </c>
      <c r="L450">
        <v>1</v>
      </c>
      <c r="M450">
        <v>2840</v>
      </c>
      <c r="N450">
        <v>0</v>
      </c>
      <c r="O450">
        <v>2840</v>
      </c>
      <c r="P450">
        <v>0.18</v>
      </c>
      <c r="Q450">
        <v>2840</v>
      </c>
      <c r="R450">
        <v>511.2</v>
      </c>
      <c r="S450">
        <v>3351.2</v>
      </c>
      <c r="T450">
        <f>ROUND(Table2[[#This Row],[TotalAmount]],0)</f>
        <v>3351</v>
      </c>
      <c r="U450" t="s">
        <v>1362</v>
      </c>
      <c r="V450" t="s">
        <v>1361</v>
      </c>
      <c r="W450" s="4">
        <v>45675</v>
      </c>
      <c r="X450" s="4">
        <v>45678</v>
      </c>
      <c r="Y450" t="b">
        <v>0</v>
      </c>
      <c r="Z450" t="s">
        <v>1412</v>
      </c>
      <c r="AA450" t="s">
        <v>1412</v>
      </c>
      <c r="AB450" t="s">
        <v>1412</v>
      </c>
      <c r="AC450" t="s">
        <v>1390</v>
      </c>
      <c r="AD450" t="s">
        <v>1399</v>
      </c>
      <c r="AE450" t="s">
        <v>1378</v>
      </c>
    </row>
    <row r="451" spans="1:31" x14ac:dyDescent="0.3">
      <c r="A451" t="s">
        <v>618</v>
      </c>
      <c r="B451" s="4">
        <v>45447.618750000001</v>
      </c>
      <c r="C451" t="s">
        <v>510</v>
      </c>
      <c r="D451" t="s">
        <v>1153</v>
      </c>
      <c r="E451" t="s">
        <v>1191</v>
      </c>
      <c r="F451" t="str" cm="1">
        <f t="array" ref="F451">_xlfn.IFS(
E451="Ahmedabad","Gujarat",
E451="Bengaluru","Karnataka",
E451="Bhopal","Madhya Pradesh",
E451="Bhubaneswar","Odisha",
E451="Chandigarh","Chandigarh",
E451="Chennai","Tamil Nadu",
E451="Delhi","Delhi",
E451="Guwahati","Assam",
E451="Hyderabad","Telangana",
E451="Indore","Madhya Pradesh",
E451="Jaipur","Rajasthan",
E451="Kochi","Kerala",
E451="Kolkata","West Bengal",
E451="Lucknow","Uttar Pradesh",
E451="Mumbai","Maharashtra",
E451="Nagpur","Maharashtra",
E451="Patna","Bihar",
E451="Pune","Maharashtra",
E451="Raipur","Chhattisgarh",
E451="Surat","Gujarat",
TRUE,"Not Found"
)</f>
        <v>Madhya Pradesh</v>
      </c>
      <c r="G451" t="s">
        <v>1150</v>
      </c>
      <c r="H451" t="s">
        <v>1172</v>
      </c>
      <c r="I451" t="s">
        <v>1198</v>
      </c>
      <c r="J451" t="s">
        <v>1250</v>
      </c>
      <c r="K451" t="s">
        <v>1251</v>
      </c>
      <c r="L451">
        <v>3</v>
      </c>
      <c r="M451">
        <v>3566</v>
      </c>
      <c r="N451">
        <v>0.1</v>
      </c>
      <c r="O451">
        <v>3209.4</v>
      </c>
      <c r="P451">
        <v>0.18</v>
      </c>
      <c r="Q451">
        <v>9628.2000000000007</v>
      </c>
      <c r="R451">
        <v>1733.076</v>
      </c>
      <c r="S451">
        <v>11361.276</v>
      </c>
      <c r="T451">
        <f>ROUND(Table2[[#This Row],[TotalAmount]],0)</f>
        <v>11361</v>
      </c>
      <c r="U451" t="s">
        <v>1360</v>
      </c>
      <c r="V451" t="s">
        <v>1369</v>
      </c>
      <c r="W451" s="4" t="s">
        <v>1412</v>
      </c>
      <c r="X451" s="4" t="s">
        <v>1412</v>
      </c>
      <c r="Y451" t="b">
        <v>0</v>
      </c>
      <c r="Z451" t="s">
        <v>1412</v>
      </c>
      <c r="AA451" t="s">
        <v>1412</v>
      </c>
      <c r="AB451" t="s">
        <v>1412</v>
      </c>
      <c r="AC451" t="s">
        <v>1384</v>
      </c>
      <c r="AD451" t="s">
        <v>1387</v>
      </c>
      <c r="AE451" t="s">
        <v>1393</v>
      </c>
    </row>
    <row r="452" spans="1:31" x14ac:dyDescent="0.3">
      <c r="A452" t="s">
        <v>619</v>
      </c>
      <c r="B452" s="4">
        <v>45549.599305555559</v>
      </c>
      <c r="C452" t="s">
        <v>510</v>
      </c>
      <c r="D452" t="s">
        <v>1153</v>
      </c>
      <c r="E452" t="s">
        <v>1191</v>
      </c>
      <c r="F452" t="str" cm="1">
        <f t="array" ref="F452">_xlfn.IFS(
E452="Ahmedabad","Gujarat",
E452="Bengaluru","Karnataka",
E452="Bhopal","Madhya Pradesh",
E452="Bhubaneswar","Odisha",
E452="Chandigarh","Chandigarh",
E452="Chennai","Tamil Nadu",
E452="Delhi","Delhi",
E452="Guwahati","Assam",
E452="Hyderabad","Telangana",
E452="Indore","Madhya Pradesh",
E452="Jaipur","Rajasthan",
E452="Kochi","Kerala",
E452="Kolkata","West Bengal",
E452="Lucknow","Uttar Pradesh",
E452="Mumbai","Maharashtra",
E452="Nagpur","Maharashtra",
E452="Patna","Bihar",
E452="Pune","Maharashtra",
E452="Raipur","Chhattisgarh",
E452="Surat","Gujarat",
TRUE,"Not Found"
)</f>
        <v>Madhya Pradesh</v>
      </c>
      <c r="G452" t="s">
        <v>1143</v>
      </c>
      <c r="H452" t="s">
        <v>1163</v>
      </c>
      <c r="I452" t="s">
        <v>1184</v>
      </c>
      <c r="J452" t="s">
        <v>1245</v>
      </c>
      <c r="K452" t="s">
        <v>1246</v>
      </c>
      <c r="L452">
        <v>2</v>
      </c>
      <c r="M452">
        <v>859</v>
      </c>
      <c r="N452">
        <v>0</v>
      </c>
      <c r="O452">
        <v>859</v>
      </c>
      <c r="P452">
        <v>0.05</v>
      </c>
      <c r="Q452">
        <v>1718</v>
      </c>
      <c r="R452">
        <v>85.9</v>
      </c>
      <c r="S452">
        <v>1803.9</v>
      </c>
      <c r="T452">
        <f>ROUND(Table2[[#This Row],[TotalAmount]],0)</f>
        <v>1804</v>
      </c>
      <c r="U452" t="s">
        <v>1365</v>
      </c>
      <c r="V452" t="s">
        <v>1361</v>
      </c>
      <c r="W452" s="4">
        <v>45549</v>
      </c>
      <c r="X452" s="4">
        <v>45554</v>
      </c>
      <c r="Y452" t="b">
        <v>0</v>
      </c>
      <c r="Z452" t="s">
        <v>1412</v>
      </c>
      <c r="AA452" t="s">
        <v>1412</v>
      </c>
      <c r="AB452" t="s">
        <v>1412</v>
      </c>
      <c r="AC452" t="s">
        <v>1382</v>
      </c>
      <c r="AD452" t="s">
        <v>1387</v>
      </c>
      <c r="AE452" t="s">
        <v>1383</v>
      </c>
    </row>
    <row r="453" spans="1:31" x14ac:dyDescent="0.3">
      <c r="A453" t="s">
        <v>620</v>
      </c>
      <c r="B453" s="4">
        <v>45426.554166666669</v>
      </c>
      <c r="C453" t="s">
        <v>216</v>
      </c>
      <c r="D453" t="s">
        <v>1157</v>
      </c>
      <c r="E453" t="s">
        <v>1201</v>
      </c>
      <c r="F453" t="str" cm="1">
        <f t="array" ref="F453">_xlfn.IFS(
E453="Ahmedabad","Gujarat",
E453="Bengaluru","Karnataka",
E453="Bhopal","Madhya Pradesh",
E453="Bhubaneswar","Odisha",
E453="Chandigarh","Chandigarh",
E453="Chennai","Tamil Nadu",
E453="Delhi","Delhi",
E453="Guwahati","Assam",
E453="Hyderabad","Telangana",
E453="Indore","Madhya Pradesh",
E453="Jaipur","Rajasthan",
E453="Kochi","Kerala",
E453="Kolkata","West Bengal",
E453="Lucknow","Uttar Pradesh",
E453="Mumbai","Maharashtra",
E453="Nagpur","Maharashtra",
E453="Patna","Bihar",
E453="Pune","Maharashtra",
E453="Raipur","Chhattisgarh",
E453="Surat","Gujarat",
TRUE,"Not Found"
)</f>
        <v>Maharashtra</v>
      </c>
      <c r="G453" t="s">
        <v>1150</v>
      </c>
      <c r="H453" t="s">
        <v>1167</v>
      </c>
      <c r="I453" t="s">
        <v>1208</v>
      </c>
      <c r="J453" t="s">
        <v>1291</v>
      </c>
      <c r="K453" t="s">
        <v>1292</v>
      </c>
      <c r="L453">
        <v>3</v>
      </c>
      <c r="M453">
        <v>10220</v>
      </c>
      <c r="N453">
        <v>0</v>
      </c>
      <c r="O453">
        <v>10220</v>
      </c>
      <c r="P453">
        <v>0.12</v>
      </c>
      <c r="Q453">
        <v>30660</v>
      </c>
      <c r="R453">
        <v>3679.2</v>
      </c>
      <c r="S453">
        <v>34339.199999999997</v>
      </c>
      <c r="T453">
        <f>ROUND(Table2[[#This Row],[TotalAmount]],0)</f>
        <v>34339</v>
      </c>
      <c r="U453" t="s">
        <v>1363</v>
      </c>
      <c r="V453" t="s">
        <v>1361</v>
      </c>
      <c r="W453" s="4">
        <v>45427</v>
      </c>
      <c r="X453" s="4">
        <v>45428</v>
      </c>
      <c r="Y453" t="b">
        <v>0</v>
      </c>
      <c r="Z453" t="s">
        <v>1412</v>
      </c>
      <c r="AA453" t="s">
        <v>1412</v>
      </c>
      <c r="AB453" t="s">
        <v>1412</v>
      </c>
      <c r="AC453" t="s">
        <v>1386</v>
      </c>
      <c r="AD453" t="s">
        <v>1385</v>
      </c>
      <c r="AE453" t="s">
        <v>1393</v>
      </c>
    </row>
    <row r="454" spans="1:31" x14ac:dyDescent="0.3">
      <c r="A454" t="s">
        <v>621</v>
      </c>
      <c r="B454" s="4">
        <v>45696.336111111108</v>
      </c>
      <c r="C454" t="s">
        <v>95</v>
      </c>
      <c r="D454" t="s">
        <v>1182</v>
      </c>
      <c r="E454" t="s">
        <v>1207</v>
      </c>
      <c r="F454" t="str" cm="1">
        <f t="array" ref="F454">_xlfn.IFS(
E454="Ahmedabad","Gujarat",
E454="Bengaluru","Karnataka",
E454="Bhopal","Madhya Pradesh",
E454="Bhubaneswar","Odisha",
E454="Chandigarh","Chandigarh",
E454="Chennai","Tamil Nadu",
E454="Delhi","Delhi",
E454="Guwahati","Assam",
E454="Hyderabad","Telangana",
E454="Indore","Madhya Pradesh",
E454="Jaipur","Rajasthan",
E454="Kochi","Kerala",
E454="Kolkata","West Bengal",
E454="Lucknow","Uttar Pradesh",
E454="Mumbai","Maharashtra",
E454="Nagpur","Maharashtra",
E454="Patna","Bihar",
E454="Pune","Maharashtra",
E454="Raipur","Chhattisgarh",
E454="Surat","Gujarat",
TRUE,"Not Found"
)</f>
        <v>Tamil Nadu</v>
      </c>
      <c r="G454" t="s">
        <v>1187</v>
      </c>
      <c r="H454" t="s">
        <v>1144</v>
      </c>
      <c r="I454" t="s">
        <v>1214</v>
      </c>
      <c r="J454" t="s">
        <v>1252</v>
      </c>
      <c r="K454" t="s">
        <v>1253</v>
      </c>
      <c r="L454">
        <v>1</v>
      </c>
      <c r="M454">
        <v>3407</v>
      </c>
      <c r="N454">
        <v>0.15</v>
      </c>
      <c r="O454">
        <v>2895.95</v>
      </c>
      <c r="P454">
        <v>0.12</v>
      </c>
      <c r="Q454">
        <v>2895.95</v>
      </c>
      <c r="R454">
        <v>347.51400000000001</v>
      </c>
      <c r="S454">
        <v>3243.4639999999999</v>
      </c>
      <c r="T454">
        <f>ROUND(Table2[[#This Row],[TotalAmount]],0)</f>
        <v>3243</v>
      </c>
      <c r="U454" t="s">
        <v>1362</v>
      </c>
      <c r="V454" t="s">
        <v>1369</v>
      </c>
      <c r="W454" s="4" t="s">
        <v>1412</v>
      </c>
      <c r="X454" s="4" t="s">
        <v>1412</v>
      </c>
      <c r="Y454" t="b">
        <v>0</v>
      </c>
      <c r="Z454" t="s">
        <v>1412</v>
      </c>
      <c r="AA454" t="s">
        <v>1412</v>
      </c>
      <c r="AB454" t="s">
        <v>1412</v>
      </c>
      <c r="AC454" t="s">
        <v>1398</v>
      </c>
      <c r="AD454" t="s">
        <v>1397</v>
      </c>
      <c r="AE454" t="s">
        <v>1391</v>
      </c>
    </row>
    <row r="455" spans="1:31" x14ac:dyDescent="0.3">
      <c r="A455" t="s">
        <v>622</v>
      </c>
      <c r="B455" s="4">
        <v>45644.536805555559</v>
      </c>
      <c r="C455" t="s">
        <v>32</v>
      </c>
      <c r="D455" t="s">
        <v>1157</v>
      </c>
      <c r="E455" t="s">
        <v>1201</v>
      </c>
      <c r="F455" t="str" cm="1">
        <f t="array" ref="F455">_xlfn.IFS(
E455="Ahmedabad","Gujarat",
E455="Bengaluru","Karnataka",
E455="Bhopal","Madhya Pradesh",
E455="Bhubaneswar","Odisha",
E455="Chandigarh","Chandigarh",
E455="Chennai","Tamil Nadu",
E455="Delhi","Delhi",
E455="Guwahati","Assam",
E455="Hyderabad","Telangana",
E455="Indore","Madhya Pradesh",
E455="Jaipur","Rajasthan",
E455="Kochi","Kerala",
E455="Kolkata","West Bengal",
E455="Lucknow","Uttar Pradesh",
E455="Mumbai","Maharashtra",
E455="Nagpur","Maharashtra",
E455="Patna","Bihar",
E455="Pune","Maharashtra",
E455="Raipur","Chhattisgarh",
E455="Surat","Gujarat",
TRUE,"Not Found"
)</f>
        <v>Maharashtra</v>
      </c>
      <c r="G455" t="s">
        <v>1143</v>
      </c>
      <c r="H455" t="s">
        <v>1167</v>
      </c>
      <c r="I455" t="s">
        <v>1263</v>
      </c>
      <c r="J455" t="s">
        <v>1264</v>
      </c>
      <c r="K455" t="s">
        <v>1265</v>
      </c>
      <c r="L455">
        <v>2</v>
      </c>
      <c r="M455">
        <v>48524</v>
      </c>
      <c r="N455">
        <v>0.1</v>
      </c>
      <c r="O455">
        <v>43671.6</v>
      </c>
      <c r="P455">
        <v>0.18</v>
      </c>
      <c r="Q455">
        <v>87343.2</v>
      </c>
      <c r="R455">
        <v>15721.776</v>
      </c>
      <c r="S455">
        <v>103064.976</v>
      </c>
      <c r="T455">
        <f>ROUND(Table2[[#This Row],[TotalAmount]],0)</f>
        <v>103065</v>
      </c>
      <c r="U455" t="s">
        <v>1362</v>
      </c>
      <c r="V455" t="s">
        <v>1361</v>
      </c>
      <c r="W455" s="4">
        <v>45645</v>
      </c>
      <c r="X455" s="4">
        <v>45646</v>
      </c>
      <c r="Y455" t="b">
        <v>0</v>
      </c>
      <c r="Z455" t="s">
        <v>1412</v>
      </c>
      <c r="AA455" t="s">
        <v>1412</v>
      </c>
      <c r="AB455" t="s">
        <v>1412</v>
      </c>
      <c r="AC455" t="s">
        <v>1382</v>
      </c>
      <c r="AD455" t="s">
        <v>1400</v>
      </c>
      <c r="AE455" t="s">
        <v>1391</v>
      </c>
    </row>
    <row r="456" spans="1:31" x14ac:dyDescent="0.3">
      <c r="A456" t="s">
        <v>623</v>
      </c>
      <c r="B456" s="4">
        <v>45353.604861111111</v>
      </c>
      <c r="C456" t="s">
        <v>109</v>
      </c>
      <c r="D456" t="s">
        <v>1157</v>
      </c>
      <c r="E456" t="s">
        <v>1181</v>
      </c>
      <c r="F456" t="str" cm="1">
        <f t="array" ref="F456">_xlfn.IFS(
E456="Ahmedabad","Gujarat",
E456="Bengaluru","Karnataka",
E456="Bhopal","Madhya Pradesh",
E456="Bhubaneswar","Odisha",
E456="Chandigarh","Chandigarh",
E456="Chennai","Tamil Nadu",
E456="Delhi","Delhi",
E456="Guwahati","Assam",
E456="Hyderabad","Telangana",
E456="Indore","Madhya Pradesh",
E456="Jaipur","Rajasthan",
E456="Kochi","Kerala",
E456="Kolkata","West Bengal",
E456="Lucknow","Uttar Pradesh",
E456="Mumbai","Maharashtra",
E456="Nagpur","Maharashtra",
E456="Patna","Bihar",
E456="Pune","Maharashtra",
E456="Raipur","Chhattisgarh",
E456="Surat","Gujarat",
TRUE,"Not Found"
)</f>
        <v>Gujarat</v>
      </c>
      <c r="G456" t="s">
        <v>1143</v>
      </c>
      <c r="H456" t="s">
        <v>1177</v>
      </c>
      <c r="I456" t="s">
        <v>1309</v>
      </c>
      <c r="J456" t="s">
        <v>1310</v>
      </c>
      <c r="K456" t="s">
        <v>1311</v>
      </c>
      <c r="L456">
        <v>4</v>
      </c>
      <c r="M456">
        <v>539</v>
      </c>
      <c r="N456">
        <v>0</v>
      </c>
      <c r="O456">
        <v>539</v>
      </c>
      <c r="P456">
        <v>0.05</v>
      </c>
      <c r="Q456">
        <v>2156</v>
      </c>
      <c r="R456">
        <v>107.8</v>
      </c>
      <c r="S456">
        <v>2263.8000000000002</v>
      </c>
      <c r="T456">
        <f>ROUND(Table2[[#This Row],[TotalAmount]],0)</f>
        <v>2264</v>
      </c>
      <c r="U456" t="s">
        <v>1363</v>
      </c>
      <c r="V456" t="s">
        <v>1361</v>
      </c>
      <c r="W456" s="4">
        <v>45355</v>
      </c>
      <c r="X456" s="4">
        <v>45359</v>
      </c>
      <c r="Y456" t="b">
        <v>0</v>
      </c>
      <c r="Z456" t="s">
        <v>1412</v>
      </c>
      <c r="AA456" t="s">
        <v>1412</v>
      </c>
      <c r="AB456" t="s">
        <v>1412</v>
      </c>
      <c r="AC456" t="s">
        <v>1398</v>
      </c>
      <c r="AD456" t="s">
        <v>1400</v>
      </c>
      <c r="AE456" t="s">
        <v>1383</v>
      </c>
    </row>
    <row r="457" spans="1:31" x14ac:dyDescent="0.3">
      <c r="A457" t="s">
        <v>624</v>
      </c>
      <c r="B457" s="4">
        <v>45519.597222222219</v>
      </c>
      <c r="C457" t="s">
        <v>65</v>
      </c>
      <c r="D457" t="s">
        <v>1141</v>
      </c>
      <c r="E457" t="s">
        <v>1142</v>
      </c>
      <c r="F457" t="str" cm="1">
        <f t="array" ref="F457">_xlfn.IFS(
E457="Ahmedabad","Gujarat",
E457="Bengaluru","Karnataka",
E457="Bhopal","Madhya Pradesh",
E457="Bhubaneswar","Odisha",
E457="Chandigarh","Chandigarh",
E457="Chennai","Tamil Nadu",
E457="Delhi","Delhi",
E457="Guwahati","Assam",
E457="Hyderabad","Telangana",
E457="Indore","Madhya Pradesh",
E457="Jaipur","Rajasthan",
E457="Kochi","Kerala",
E457="Kolkata","West Bengal",
E457="Lucknow","Uttar Pradesh",
E457="Mumbai","Maharashtra",
E457="Nagpur","Maharashtra",
E457="Patna","Bihar",
E457="Pune","Maharashtra",
E457="Raipur","Chhattisgarh",
E457="Surat","Gujarat",
TRUE,"Not Found"
)</f>
        <v>West Bengal</v>
      </c>
      <c r="G457" t="s">
        <v>1150</v>
      </c>
      <c r="H457" t="s">
        <v>1163</v>
      </c>
      <c r="I457" t="s">
        <v>1224</v>
      </c>
      <c r="J457" t="s">
        <v>1225</v>
      </c>
      <c r="K457" t="s">
        <v>1226</v>
      </c>
      <c r="L457">
        <v>2</v>
      </c>
      <c r="M457">
        <v>490</v>
      </c>
      <c r="N457">
        <v>0</v>
      </c>
      <c r="O457">
        <v>490</v>
      </c>
      <c r="P457">
        <v>0.05</v>
      </c>
      <c r="Q457">
        <v>980</v>
      </c>
      <c r="R457">
        <v>49</v>
      </c>
      <c r="S457">
        <v>1029</v>
      </c>
      <c r="T457">
        <f>ROUND(Table2[[#This Row],[TotalAmount]],0)</f>
        <v>1029</v>
      </c>
      <c r="U457" t="s">
        <v>1360</v>
      </c>
      <c r="V457" t="s">
        <v>1368</v>
      </c>
      <c r="W457" s="4">
        <v>45521</v>
      </c>
      <c r="X457" s="4" t="s">
        <v>1412</v>
      </c>
      <c r="Y457" t="b">
        <v>0</v>
      </c>
      <c r="Z457" t="s">
        <v>1412</v>
      </c>
      <c r="AA457" t="s">
        <v>1412</v>
      </c>
      <c r="AB457" t="s">
        <v>1412</v>
      </c>
      <c r="AC457" t="s">
        <v>1390</v>
      </c>
      <c r="AD457" t="s">
        <v>1397</v>
      </c>
      <c r="AE457" t="s">
        <v>1380</v>
      </c>
    </row>
    <row r="458" spans="1:31" x14ac:dyDescent="0.3">
      <c r="A458" t="s">
        <v>625</v>
      </c>
      <c r="B458" s="4">
        <v>45382.588888888888</v>
      </c>
      <c r="C458" t="s">
        <v>313</v>
      </c>
      <c r="D458" t="s">
        <v>1148</v>
      </c>
      <c r="E458" t="s">
        <v>1149</v>
      </c>
      <c r="F458" t="str" cm="1">
        <f t="array" ref="F458">_xlfn.IFS(
E458="Ahmedabad","Gujarat",
E458="Bengaluru","Karnataka",
E458="Bhopal","Madhya Pradesh",
E458="Bhubaneswar","Odisha",
E458="Chandigarh","Chandigarh",
E458="Chennai","Tamil Nadu",
E458="Delhi","Delhi",
E458="Guwahati","Assam",
E458="Hyderabad","Telangana",
E458="Indore","Madhya Pradesh",
E458="Jaipur","Rajasthan",
E458="Kochi","Kerala",
E458="Kolkata","West Bengal",
E458="Lucknow","Uttar Pradesh",
E458="Mumbai","Maharashtra",
E458="Nagpur","Maharashtra",
E458="Patna","Bihar",
E458="Pune","Maharashtra",
E458="Raipur","Chhattisgarh",
E458="Surat","Gujarat",
TRUE,"Not Found"
)</f>
        <v>Uttar Pradesh</v>
      </c>
      <c r="G458" t="s">
        <v>1150</v>
      </c>
      <c r="H458" t="s">
        <v>1144</v>
      </c>
      <c r="I458" t="s">
        <v>1145</v>
      </c>
      <c r="J458" t="s">
        <v>1155</v>
      </c>
      <c r="K458" t="s">
        <v>1156</v>
      </c>
      <c r="L458">
        <v>2</v>
      </c>
      <c r="M458">
        <v>3041</v>
      </c>
      <c r="N458">
        <v>0</v>
      </c>
      <c r="O458">
        <v>3041</v>
      </c>
      <c r="P458">
        <v>0.12</v>
      </c>
      <c r="Q458">
        <v>6082</v>
      </c>
      <c r="R458">
        <v>729.83999999999992</v>
      </c>
      <c r="S458">
        <v>6811.84</v>
      </c>
      <c r="T458">
        <f>ROUND(Table2[[#This Row],[TotalAmount]],0)</f>
        <v>6812</v>
      </c>
      <c r="U458" t="s">
        <v>1363</v>
      </c>
      <c r="V458" t="s">
        <v>1361</v>
      </c>
      <c r="W458" s="4">
        <v>45384</v>
      </c>
      <c r="X458" s="4">
        <v>45388</v>
      </c>
      <c r="Y458" t="b">
        <v>0</v>
      </c>
      <c r="Z458" t="s">
        <v>1412</v>
      </c>
      <c r="AA458" t="s">
        <v>1412</v>
      </c>
      <c r="AB458" t="s">
        <v>1412</v>
      </c>
      <c r="AC458" t="s">
        <v>1379</v>
      </c>
      <c r="AD458" t="s">
        <v>1387</v>
      </c>
      <c r="AE458" t="s">
        <v>1393</v>
      </c>
    </row>
    <row r="459" spans="1:31" x14ac:dyDescent="0.3">
      <c r="A459" t="s">
        <v>626</v>
      </c>
      <c r="B459" s="4">
        <v>45367.534722222219</v>
      </c>
      <c r="C459" t="s">
        <v>627</v>
      </c>
      <c r="D459" t="s">
        <v>1182</v>
      </c>
      <c r="E459" t="s">
        <v>1256</v>
      </c>
      <c r="F459" t="str" cm="1">
        <f t="array" ref="F459">_xlfn.IFS(
E459="Ahmedabad","Gujarat",
E459="Bengaluru","Karnataka",
E459="Bhopal","Madhya Pradesh",
E459="Bhubaneswar","Odisha",
E459="Chandigarh","Chandigarh",
E459="Chennai","Tamil Nadu",
E459="Delhi","Delhi",
E459="Guwahati","Assam",
E459="Hyderabad","Telangana",
E459="Indore","Madhya Pradesh",
E459="Jaipur","Rajasthan",
E459="Kochi","Kerala",
E459="Kolkata","West Bengal",
E459="Lucknow","Uttar Pradesh",
E459="Mumbai","Maharashtra",
E459="Nagpur","Maharashtra",
E459="Patna","Bihar",
E459="Pune","Maharashtra",
E459="Raipur","Chhattisgarh",
E459="Surat","Gujarat",
TRUE,"Not Found"
)</f>
        <v>Karnataka</v>
      </c>
      <c r="G459" t="s">
        <v>1143</v>
      </c>
      <c r="H459" t="s">
        <v>1167</v>
      </c>
      <c r="I459" t="s">
        <v>1168</v>
      </c>
      <c r="J459" t="s">
        <v>1314</v>
      </c>
      <c r="K459" t="s">
        <v>1315</v>
      </c>
      <c r="L459">
        <v>2</v>
      </c>
      <c r="M459">
        <v>41572</v>
      </c>
      <c r="N459">
        <v>0.2</v>
      </c>
      <c r="O459">
        <v>33257.599999999999</v>
      </c>
      <c r="P459">
        <v>0.12</v>
      </c>
      <c r="Q459">
        <v>66515.199999999997</v>
      </c>
      <c r="R459">
        <v>7981.8239999999996</v>
      </c>
      <c r="S459">
        <v>74497.02399999999</v>
      </c>
      <c r="T459">
        <f>ROUND(Table2[[#This Row],[TotalAmount]],0)</f>
        <v>74497</v>
      </c>
      <c r="U459" t="s">
        <v>1366</v>
      </c>
      <c r="V459" t="s">
        <v>1367</v>
      </c>
      <c r="W459" s="4">
        <v>45369</v>
      </c>
      <c r="X459" s="4" t="s">
        <v>1412</v>
      </c>
      <c r="Y459" t="b">
        <v>0</v>
      </c>
      <c r="Z459" t="s">
        <v>1412</v>
      </c>
      <c r="AA459" t="s">
        <v>1412</v>
      </c>
      <c r="AB459" t="s">
        <v>1412</v>
      </c>
      <c r="AC459" t="s">
        <v>1382</v>
      </c>
      <c r="AD459" t="s">
        <v>1400</v>
      </c>
      <c r="AE459" t="s">
        <v>1383</v>
      </c>
    </row>
    <row r="460" spans="1:31" x14ac:dyDescent="0.3">
      <c r="A460" t="s">
        <v>628</v>
      </c>
      <c r="B460" s="4">
        <v>45463.55972222222</v>
      </c>
      <c r="C460" t="s">
        <v>629</v>
      </c>
      <c r="D460" t="s">
        <v>1153</v>
      </c>
      <c r="E460" t="s">
        <v>1191</v>
      </c>
      <c r="F460" t="str" cm="1">
        <f t="array" ref="F460">_xlfn.IFS(
E460="Ahmedabad","Gujarat",
E460="Bengaluru","Karnataka",
E460="Bhopal","Madhya Pradesh",
E460="Bhubaneswar","Odisha",
E460="Chandigarh","Chandigarh",
E460="Chennai","Tamil Nadu",
E460="Delhi","Delhi",
E460="Guwahati","Assam",
E460="Hyderabad","Telangana",
E460="Indore","Madhya Pradesh",
E460="Jaipur","Rajasthan",
E460="Kochi","Kerala",
E460="Kolkata","West Bengal",
E460="Lucknow","Uttar Pradesh",
E460="Mumbai","Maharashtra",
E460="Nagpur","Maharashtra",
E460="Patna","Bihar",
E460="Pune","Maharashtra",
E460="Raipur","Chhattisgarh",
E460="Surat","Gujarat",
TRUE,"Not Found"
)</f>
        <v>Madhya Pradesh</v>
      </c>
      <c r="G460" t="s">
        <v>1143</v>
      </c>
      <c r="H460" t="s">
        <v>1144</v>
      </c>
      <c r="I460" t="s">
        <v>1159</v>
      </c>
      <c r="J460" t="s">
        <v>1272</v>
      </c>
      <c r="K460" t="s">
        <v>1273</v>
      </c>
      <c r="L460">
        <v>1</v>
      </c>
      <c r="M460">
        <v>6955</v>
      </c>
      <c r="N460">
        <v>0.05</v>
      </c>
      <c r="O460">
        <v>6607.25</v>
      </c>
      <c r="P460">
        <v>0.12</v>
      </c>
      <c r="Q460">
        <v>6607.25</v>
      </c>
      <c r="R460">
        <v>792.87</v>
      </c>
      <c r="S460">
        <v>7400.12</v>
      </c>
      <c r="T460">
        <f>ROUND(Table2[[#This Row],[TotalAmount]],0)</f>
        <v>7400</v>
      </c>
      <c r="U460" t="s">
        <v>1363</v>
      </c>
      <c r="V460" t="s">
        <v>1361</v>
      </c>
      <c r="W460" s="4">
        <v>45464</v>
      </c>
      <c r="X460" s="4">
        <v>45469</v>
      </c>
      <c r="Y460" t="b">
        <v>0</v>
      </c>
      <c r="Z460" t="s">
        <v>1412</v>
      </c>
      <c r="AA460" t="s">
        <v>1412</v>
      </c>
      <c r="AB460" t="s">
        <v>1412</v>
      </c>
      <c r="AC460" t="s">
        <v>1382</v>
      </c>
      <c r="AD460" t="s">
        <v>1385</v>
      </c>
      <c r="AE460" t="s">
        <v>1389</v>
      </c>
    </row>
    <row r="461" spans="1:31" x14ac:dyDescent="0.3">
      <c r="A461" t="s">
        <v>630</v>
      </c>
      <c r="B461" s="4">
        <v>45563.661805555559</v>
      </c>
      <c r="C461" t="s">
        <v>176</v>
      </c>
      <c r="D461" t="s">
        <v>1148</v>
      </c>
      <c r="E461" t="s">
        <v>1262</v>
      </c>
      <c r="F461" t="str" cm="1">
        <f t="array" ref="F461">_xlfn.IFS(
E461="Ahmedabad","Gujarat",
E461="Bengaluru","Karnataka",
E461="Bhopal","Madhya Pradesh",
E461="Bhubaneswar","Odisha",
E461="Chandigarh","Chandigarh",
E461="Chennai","Tamil Nadu",
E461="Delhi","Delhi",
E461="Guwahati","Assam",
E461="Hyderabad","Telangana",
E461="Indore","Madhya Pradesh",
E461="Jaipur","Rajasthan",
E461="Kochi","Kerala",
E461="Kolkata","West Bengal",
E461="Lucknow","Uttar Pradesh",
E461="Mumbai","Maharashtra",
E461="Nagpur","Maharashtra",
E461="Patna","Bihar",
E461="Pune","Maharashtra",
E461="Raipur","Chhattisgarh",
E461="Surat","Gujarat",
TRUE,"Not Found"
)</f>
        <v>Rajasthan</v>
      </c>
      <c r="G461" t="s">
        <v>1143</v>
      </c>
      <c r="H461" t="s">
        <v>1144</v>
      </c>
      <c r="I461" t="s">
        <v>1159</v>
      </c>
      <c r="J461" t="s">
        <v>1334</v>
      </c>
      <c r="K461" t="s">
        <v>1335</v>
      </c>
      <c r="L461">
        <v>1</v>
      </c>
      <c r="M461">
        <v>6778</v>
      </c>
      <c r="N461">
        <v>0.1</v>
      </c>
      <c r="O461">
        <v>6100.2</v>
      </c>
      <c r="P461">
        <v>0.12</v>
      </c>
      <c r="Q461">
        <v>6100.2</v>
      </c>
      <c r="R461">
        <v>732.024</v>
      </c>
      <c r="S461">
        <v>6832.2240000000002</v>
      </c>
      <c r="T461">
        <f>ROUND(Table2[[#This Row],[TotalAmount]],0)</f>
        <v>6832</v>
      </c>
      <c r="U461" t="s">
        <v>1360</v>
      </c>
      <c r="V461" t="s">
        <v>1368</v>
      </c>
      <c r="W461" s="4">
        <v>45563</v>
      </c>
      <c r="X461" s="4" t="s">
        <v>1412</v>
      </c>
      <c r="Y461" t="b">
        <v>0</v>
      </c>
      <c r="Z461" t="s">
        <v>1412</v>
      </c>
      <c r="AA461" t="s">
        <v>1412</v>
      </c>
      <c r="AB461" t="s">
        <v>1412</v>
      </c>
      <c r="AC461" t="s">
        <v>1392</v>
      </c>
      <c r="AD461" t="s">
        <v>1387</v>
      </c>
      <c r="AE461" t="s">
        <v>1378</v>
      </c>
    </row>
    <row r="462" spans="1:31" x14ac:dyDescent="0.3">
      <c r="A462" t="s">
        <v>631</v>
      </c>
      <c r="B462" s="4">
        <v>45670.519444444442</v>
      </c>
      <c r="C462" t="s">
        <v>491</v>
      </c>
      <c r="D462" t="s">
        <v>1148</v>
      </c>
      <c r="E462" t="s">
        <v>1149</v>
      </c>
      <c r="F462" t="str" cm="1">
        <f t="array" ref="F462">_xlfn.IFS(
E462="Ahmedabad","Gujarat",
E462="Bengaluru","Karnataka",
E462="Bhopal","Madhya Pradesh",
E462="Bhubaneswar","Odisha",
E462="Chandigarh","Chandigarh",
E462="Chennai","Tamil Nadu",
E462="Delhi","Delhi",
E462="Guwahati","Assam",
E462="Hyderabad","Telangana",
E462="Indore","Madhya Pradesh",
E462="Jaipur","Rajasthan",
E462="Kochi","Kerala",
E462="Kolkata","West Bengal",
E462="Lucknow","Uttar Pradesh",
E462="Mumbai","Maharashtra",
E462="Nagpur","Maharashtra",
E462="Patna","Bihar",
E462="Pune","Maharashtra",
E462="Raipur","Chhattisgarh",
E462="Surat","Gujarat",
TRUE,"Not Found"
)</f>
        <v>Uttar Pradesh</v>
      </c>
      <c r="G462" t="s">
        <v>1143</v>
      </c>
      <c r="H462" t="s">
        <v>1163</v>
      </c>
      <c r="I462" t="s">
        <v>1184</v>
      </c>
      <c r="J462" t="s">
        <v>1185</v>
      </c>
      <c r="K462" t="s">
        <v>1186</v>
      </c>
      <c r="L462">
        <v>5</v>
      </c>
      <c r="M462">
        <v>253</v>
      </c>
      <c r="N462">
        <v>0.1</v>
      </c>
      <c r="O462">
        <v>227.7</v>
      </c>
      <c r="P462">
        <v>0.05</v>
      </c>
      <c r="Q462">
        <v>1138.5</v>
      </c>
      <c r="R462">
        <v>56.924999999999997</v>
      </c>
      <c r="S462">
        <v>1195.425</v>
      </c>
      <c r="T462">
        <f>ROUND(Table2[[#This Row],[TotalAmount]],0)</f>
        <v>1195</v>
      </c>
      <c r="U462" t="s">
        <v>1365</v>
      </c>
      <c r="V462" t="s">
        <v>1369</v>
      </c>
      <c r="W462" s="4" t="s">
        <v>1412</v>
      </c>
      <c r="X462" s="4" t="s">
        <v>1412</v>
      </c>
      <c r="Y462" t="b">
        <v>0</v>
      </c>
      <c r="Z462" t="s">
        <v>1412</v>
      </c>
      <c r="AA462" t="s">
        <v>1412</v>
      </c>
      <c r="AB462" t="s">
        <v>1412</v>
      </c>
      <c r="AC462" t="s">
        <v>1376</v>
      </c>
      <c r="AD462" t="s">
        <v>1397</v>
      </c>
      <c r="AE462" t="s">
        <v>1378</v>
      </c>
    </row>
    <row r="463" spans="1:31" x14ac:dyDescent="0.3">
      <c r="A463" t="s">
        <v>632</v>
      </c>
      <c r="B463" s="4">
        <v>45681.652777777781</v>
      </c>
      <c r="C463" t="s">
        <v>124</v>
      </c>
      <c r="D463" t="s">
        <v>1153</v>
      </c>
      <c r="E463" t="s">
        <v>1191</v>
      </c>
      <c r="F463" t="str" cm="1">
        <f t="array" ref="F463">_xlfn.IFS(
E463="Ahmedabad","Gujarat",
E463="Bengaluru","Karnataka",
E463="Bhopal","Madhya Pradesh",
E463="Bhubaneswar","Odisha",
E463="Chandigarh","Chandigarh",
E463="Chennai","Tamil Nadu",
E463="Delhi","Delhi",
E463="Guwahati","Assam",
E463="Hyderabad","Telangana",
E463="Indore","Madhya Pradesh",
E463="Jaipur","Rajasthan",
E463="Kochi","Kerala",
E463="Kolkata","West Bengal",
E463="Lucknow","Uttar Pradesh",
E463="Mumbai","Maharashtra",
E463="Nagpur","Maharashtra",
E463="Patna","Bihar",
E463="Pune","Maharashtra",
E463="Raipur","Chhattisgarh",
E463="Surat","Gujarat",
TRUE,"Not Found"
)</f>
        <v>Madhya Pradesh</v>
      </c>
      <c r="G463" t="s">
        <v>1150</v>
      </c>
      <c r="H463" t="s">
        <v>1163</v>
      </c>
      <c r="I463" t="s">
        <v>1240</v>
      </c>
      <c r="J463" t="s">
        <v>1281</v>
      </c>
      <c r="K463" t="s">
        <v>1282</v>
      </c>
      <c r="L463">
        <v>2</v>
      </c>
      <c r="M463">
        <v>319</v>
      </c>
      <c r="N463">
        <v>0.1</v>
      </c>
      <c r="O463">
        <v>287.10000000000002</v>
      </c>
      <c r="P463">
        <v>0.18</v>
      </c>
      <c r="Q463">
        <v>574.20000000000005</v>
      </c>
      <c r="R463">
        <v>103.35599999999999</v>
      </c>
      <c r="S463">
        <v>677.55600000000004</v>
      </c>
      <c r="T463">
        <f>ROUND(Table2[[#This Row],[TotalAmount]],0)</f>
        <v>678</v>
      </c>
      <c r="U463" t="s">
        <v>1362</v>
      </c>
      <c r="V463" t="s">
        <v>1361</v>
      </c>
      <c r="W463" s="4">
        <v>45681</v>
      </c>
      <c r="X463" s="4">
        <v>45683</v>
      </c>
      <c r="Y463" t="b">
        <v>0</v>
      </c>
      <c r="Z463" t="s">
        <v>1412</v>
      </c>
      <c r="AA463" t="s">
        <v>1412</v>
      </c>
      <c r="AB463" t="s">
        <v>1412</v>
      </c>
      <c r="AC463" t="s">
        <v>1376</v>
      </c>
      <c r="AD463" t="s">
        <v>1399</v>
      </c>
      <c r="AE463" t="s">
        <v>1389</v>
      </c>
    </row>
    <row r="464" spans="1:31" x14ac:dyDescent="0.3">
      <c r="A464" t="s">
        <v>633</v>
      </c>
      <c r="B464" s="4">
        <v>45552.427777777782</v>
      </c>
      <c r="C464" t="s">
        <v>51</v>
      </c>
      <c r="D464" t="s">
        <v>1141</v>
      </c>
      <c r="E464" t="s">
        <v>1227</v>
      </c>
      <c r="F464" t="str" cm="1">
        <f t="array" ref="F464">_xlfn.IFS(
E464="Ahmedabad","Gujarat",
E464="Bengaluru","Karnataka",
E464="Bhopal","Madhya Pradesh",
E464="Bhubaneswar","Odisha",
E464="Chandigarh","Chandigarh",
E464="Chennai","Tamil Nadu",
E464="Delhi","Delhi",
E464="Guwahati","Assam",
E464="Hyderabad","Telangana",
E464="Indore","Madhya Pradesh",
E464="Jaipur","Rajasthan",
E464="Kochi","Kerala",
E464="Kolkata","West Bengal",
E464="Lucknow","Uttar Pradesh",
E464="Mumbai","Maharashtra",
E464="Nagpur","Maharashtra",
E464="Patna","Bihar",
E464="Pune","Maharashtra",
E464="Raipur","Chhattisgarh",
E464="Surat","Gujarat",
TRUE,"Not Found"
)</f>
        <v>Bihar</v>
      </c>
      <c r="G464" t="s">
        <v>1143</v>
      </c>
      <c r="H464" t="s">
        <v>1167</v>
      </c>
      <c r="I464" t="s">
        <v>1288</v>
      </c>
      <c r="J464" t="s">
        <v>1289</v>
      </c>
      <c r="K464" t="s">
        <v>1290</v>
      </c>
      <c r="L464">
        <v>3</v>
      </c>
      <c r="M464">
        <v>33429</v>
      </c>
      <c r="N464">
        <v>0</v>
      </c>
      <c r="O464">
        <v>33429</v>
      </c>
      <c r="P464">
        <v>0.12</v>
      </c>
      <c r="Q464">
        <v>100287</v>
      </c>
      <c r="R464">
        <v>12034.44</v>
      </c>
      <c r="S464">
        <v>112321.44</v>
      </c>
      <c r="T464">
        <f>ROUND(Table2[[#This Row],[TotalAmount]],0)</f>
        <v>112321</v>
      </c>
      <c r="U464" t="s">
        <v>1362</v>
      </c>
      <c r="V464" t="s">
        <v>1361</v>
      </c>
      <c r="W464" s="4">
        <v>45553</v>
      </c>
      <c r="X464" s="4">
        <v>45555</v>
      </c>
      <c r="Y464" t="b">
        <v>0</v>
      </c>
      <c r="Z464" t="s">
        <v>1412</v>
      </c>
      <c r="AA464" t="s">
        <v>1412</v>
      </c>
      <c r="AB464" t="s">
        <v>1412</v>
      </c>
      <c r="AC464" t="s">
        <v>1379</v>
      </c>
      <c r="AD464" t="s">
        <v>1397</v>
      </c>
      <c r="AE464" t="s">
        <v>1393</v>
      </c>
    </row>
    <row r="465" spans="1:31" x14ac:dyDescent="0.3">
      <c r="A465" t="s">
        <v>634</v>
      </c>
      <c r="B465" s="4">
        <v>45759.547222222223</v>
      </c>
      <c r="C465" t="s">
        <v>213</v>
      </c>
      <c r="D465" t="s">
        <v>1182</v>
      </c>
      <c r="E465" t="s">
        <v>1256</v>
      </c>
      <c r="F465" t="str" cm="1">
        <f t="array" ref="F465">_xlfn.IFS(
E465="Ahmedabad","Gujarat",
E465="Bengaluru","Karnataka",
E465="Bhopal","Madhya Pradesh",
E465="Bhubaneswar","Odisha",
E465="Chandigarh","Chandigarh",
E465="Chennai","Tamil Nadu",
E465="Delhi","Delhi",
E465="Guwahati","Assam",
E465="Hyderabad","Telangana",
E465="Indore","Madhya Pradesh",
E465="Jaipur","Rajasthan",
E465="Kochi","Kerala",
E465="Kolkata","West Bengal",
E465="Lucknow","Uttar Pradesh",
E465="Mumbai","Maharashtra",
E465="Nagpur","Maharashtra",
E465="Patna","Bihar",
E465="Pune","Maharashtra",
E465="Raipur","Chhattisgarh",
E465="Surat","Gujarat",
TRUE,"Not Found"
)</f>
        <v>Karnataka</v>
      </c>
      <c r="G465" t="s">
        <v>1143</v>
      </c>
      <c r="H465" t="s">
        <v>1172</v>
      </c>
      <c r="I465" t="s">
        <v>1188</v>
      </c>
      <c r="J465" t="s">
        <v>1232</v>
      </c>
      <c r="K465" t="s">
        <v>1233</v>
      </c>
      <c r="L465">
        <v>2</v>
      </c>
      <c r="M465">
        <v>9004</v>
      </c>
      <c r="N465">
        <v>0.05</v>
      </c>
      <c r="O465">
        <v>8553.7999999999993</v>
      </c>
      <c r="P465">
        <v>0.12</v>
      </c>
      <c r="Q465">
        <v>17107.599999999999</v>
      </c>
      <c r="R465">
        <v>2052.9119999999998</v>
      </c>
      <c r="S465">
        <v>19160.511999999999</v>
      </c>
      <c r="T465">
        <f>ROUND(Table2[[#This Row],[TotalAmount]],0)</f>
        <v>19161</v>
      </c>
      <c r="U465" t="s">
        <v>1365</v>
      </c>
      <c r="V465" t="s">
        <v>1361</v>
      </c>
      <c r="W465" s="4">
        <v>45759</v>
      </c>
      <c r="X465" s="4">
        <v>45764</v>
      </c>
      <c r="Y465" t="b">
        <v>0</v>
      </c>
      <c r="Z465" t="s">
        <v>1412</v>
      </c>
      <c r="AA465" t="s">
        <v>1412</v>
      </c>
      <c r="AB465" t="s">
        <v>1412</v>
      </c>
      <c r="AC465" t="s">
        <v>1379</v>
      </c>
      <c r="AD465" t="s">
        <v>1377</v>
      </c>
      <c r="AE465" t="s">
        <v>1391</v>
      </c>
    </row>
    <row r="466" spans="1:31" x14ac:dyDescent="0.3">
      <c r="A466" t="s">
        <v>635</v>
      </c>
      <c r="B466" s="4">
        <v>45519.658333333333</v>
      </c>
      <c r="C466" t="s">
        <v>241</v>
      </c>
      <c r="D466" t="s">
        <v>1182</v>
      </c>
      <c r="E466" t="s">
        <v>1183</v>
      </c>
      <c r="F466" t="str" cm="1">
        <f t="array" ref="F466">_xlfn.IFS(
E466="Ahmedabad","Gujarat",
E466="Bengaluru","Karnataka",
E466="Bhopal","Madhya Pradesh",
E466="Bhubaneswar","Odisha",
E466="Chandigarh","Chandigarh",
E466="Chennai","Tamil Nadu",
E466="Delhi","Delhi",
E466="Guwahati","Assam",
E466="Hyderabad","Telangana",
E466="Indore","Madhya Pradesh",
E466="Jaipur","Rajasthan",
E466="Kochi","Kerala",
E466="Kolkata","West Bengal",
E466="Lucknow","Uttar Pradesh",
E466="Mumbai","Maharashtra",
E466="Nagpur","Maharashtra",
E466="Patna","Bihar",
E466="Pune","Maharashtra",
E466="Raipur","Chhattisgarh",
E466="Surat","Gujarat",
TRUE,"Not Found"
)</f>
        <v>Telangana</v>
      </c>
      <c r="G466" t="s">
        <v>1150</v>
      </c>
      <c r="H466" t="s">
        <v>1177</v>
      </c>
      <c r="I466" t="s">
        <v>1178</v>
      </c>
      <c r="J466" t="s">
        <v>1220</v>
      </c>
      <c r="K466" t="s">
        <v>1221</v>
      </c>
      <c r="L466">
        <v>3</v>
      </c>
      <c r="M466">
        <v>2460</v>
      </c>
      <c r="N466">
        <v>0.05</v>
      </c>
      <c r="O466">
        <v>2337</v>
      </c>
      <c r="P466">
        <v>0.12</v>
      </c>
      <c r="Q466">
        <v>7011</v>
      </c>
      <c r="R466">
        <v>841.31999999999994</v>
      </c>
      <c r="S466">
        <v>7852.32</v>
      </c>
      <c r="T466">
        <f>ROUND(Table2[[#This Row],[TotalAmount]],0)</f>
        <v>7852</v>
      </c>
      <c r="U466" t="s">
        <v>1360</v>
      </c>
      <c r="V466" t="s">
        <v>1361</v>
      </c>
      <c r="W466" s="4">
        <v>45521</v>
      </c>
      <c r="X466" s="4">
        <v>45525</v>
      </c>
      <c r="Y466" t="b">
        <v>0</v>
      </c>
      <c r="Z466" t="s">
        <v>1412</v>
      </c>
      <c r="AA466" t="s">
        <v>1412</v>
      </c>
      <c r="AB466" t="s">
        <v>1412</v>
      </c>
      <c r="AC466" t="s">
        <v>1379</v>
      </c>
      <c r="AD466" t="s">
        <v>1385</v>
      </c>
      <c r="AE466" t="s">
        <v>1393</v>
      </c>
    </row>
    <row r="467" spans="1:31" x14ac:dyDescent="0.3">
      <c r="A467" t="s">
        <v>636</v>
      </c>
      <c r="B467" s="4">
        <v>45767.661805555559</v>
      </c>
      <c r="C467" t="s">
        <v>494</v>
      </c>
      <c r="D467" t="s">
        <v>1153</v>
      </c>
      <c r="E467" t="s">
        <v>1191</v>
      </c>
      <c r="F467" t="str" cm="1">
        <f t="array" ref="F467">_xlfn.IFS(
E467="Ahmedabad","Gujarat",
E467="Bengaluru","Karnataka",
E467="Bhopal","Madhya Pradesh",
E467="Bhubaneswar","Odisha",
E467="Chandigarh","Chandigarh",
E467="Chennai","Tamil Nadu",
E467="Delhi","Delhi",
E467="Guwahati","Assam",
E467="Hyderabad","Telangana",
E467="Indore","Madhya Pradesh",
E467="Jaipur","Rajasthan",
E467="Kochi","Kerala",
E467="Kolkata","West Bengal",
E467="Lucknow","Uttar Pradesh",
E467="Mumbai","Maharashtra",
E467="Nagpur","Maharashtra",
E467="Patna","Bihar",
E467="Pune","Maharashtra",
E467="Raipur","Chhattisgarh",
E467="Surat","Gujarat",
TRUE,"Not Found"
)</f>
        <v>Madhya Pradesh</v>
      </c>
      <c r="G467" t="s">
        <v>1150</v>
      </c>
      <c r="H467" t="s">
        <v>1177</v>
      </c>
      <c r="I467" t="s">
        <v>1195</v>
      </c>
      <c r="J467" t="s">
        <v>1196</v>
      </c>
      <c r="K467" t="s">
        <v>1197</v>
      </c>
      <c r="L467">
        <v>1</v>
      </c>
      <c r="M467">
        <v>2491</v>
      </c>
      <c r="N467">
        <v>0</v>
      </c>
      <c r="O467">
        <v>2491</v>
      </c>
      <c r="P467">
        <v>0.12</v>
      </c>
      <c r="Q467">
        <v>2491</v>
      </c>
      <c r="R467">
        <v>298.92</v>
      </c>
      <c r="S467">
        <v>2789.92</v>
      </c>
      <c r="T467">
        <f>ROUND(Table2[[#This Row],[TotalAmount]],0)</f>
        <v>2790</v>
      </c>
      <c r="U467" t="s">
        <v>1360</v>
      </c>
      <c r="V467" t="s">
        <v>1361</v>
      </c>
      <c r="W467" s="4">
        <v>45769</v>
      </c>
      <c r="X467" s="4">
        <v>45774</v>
      </c>
      <c r="Y467" t="b">
        <v>0</v>
      </c>
      <c r="Z467" t="s">
        <v>1412</v>
      </c>
      <c r="AA467" t="s">
        <v>1412</v>
      </c>
      <c r="AB467" t="s">
        <v>1412</v>
      </c>
      <c r="AC467" t="s">
        <v>1392</v>
      </c>
      <c r="AD467" t="s">
        <v>1397</v>
      </c>
      <c r="AE467" t="s">
        <v>1378</v>
      </c>
    </row>
    <row r="468" spans="1:31" x14ac:dyDescent="0.3">
      <c r="A468" t="s">
        <v>637</v>
      </c>
      <c r="B468" s="4">
        <v>45562.463194444441</v>
      </c>
      <c r="C468" t="s">
        <v>65</v>
      </c>
      <c r="D468" t="s">
        <v>1141</v>
      </c>
      <c r="E468" t="s">
        <v>1142</v>
      </c>
      <c r="F468" t="str" cm="1">
        <f t="array" ref="F468">_xlfn.IFS(
E468="Ahmedabad","Gujarat",
E468="Bengaluru","Karnataka",
E468="Bhopal","Madhya Pradesh",
E468="Bhubaneswar","Odisha",
E468="Chandigarh","Chandigarh",
E468="Chennai","Tamil Nadu",
E468="Delhi","Delhi",
E468="Guwahati","Assam",
E468="Hyderabad","Telangana",
E468="Indore","Madhya Pradesh",
E468="Jaipur","Rajasthan",
E468="Kochi","Kerala",
E468="Kolkata","West Bengal",
E468="Lucknow","Uttar Pradesh",
E468="Mumbai","Maharashtra",
E468="Nagpur","Maharashtra",
E468="Patna","Bihar",
E468="Pune","Maharashtra",
E468="Raipur","Chhattisgarh",
E468="Surat","Gujarat",
TRUE,"Not Found"
)</f>
        <v>West Bengal</v>
      </c>
      <c r="G468" t="s">
        <v>1143</v>
      </c>
      <c r="H468" t="s">
        <v>1163</v>
      </c>
      <c r="I468" t="s">
        <v>1184</v>
      </c>
      <c r="J468" t="s">
        <v>1185</v>
      </c>
      <c r="K468" t="s">
        <v>1186</v>
      </c>
      <c r="L468">
        <v>3</v>
      </c>
      <c r="M468">
        <v>918</v>
      </c>
      <c r="N468">
        <v>0.1</v>
      </c>
      <c r="O468">
        <v>826.2</v>
      </c>
      <c r="P468">
        <v>0.12</v>
      </c>
      <c r="Q468">
        <v>2478.6</v>
      </c>
      <c r="R468">
        <v>297.43200000000002</v>
      </c>
      <c r="S468">
        <v>2776.0320000000002</v>
      </c>
      <c r="T468">
        <f>ROUND(Table2[[#This Row],[TotalAmount]],0)</f>
        <v>2776</v>
      </c>
      <c r="U468" t="s">
        <v>1363</v>
      </c>
      <c r="V468" t="s">
        <v>1361</v>
      </c>
      <c r="W468" s="4">
        <v>45564</v>
      </c>
      <c r="X468" s="4">
        <v>45566</v>
      </c>
      <c r="Y468" t="b">
        <v>0</v>
      </c>
      <c r="Z468" t="s">
        <v>1412</v>
      </c>
      <c r="AA468" t="s">
        <v>1412</v>
      </c>
      <c r="AB468" t="s">
        <v>1412</v>
      </c>
      <c r="AC468" t="s">
        <v>1396</v>
      </c>
      <c r="AD468" t="s">
        <v>1399</v>
      </c>
      <c r="AE468" t="s">
        <v>1389</v>
      </c>
    </row>
    <row r="469" spans="1:31" x14ac:dyDescent="0.3">
      <c r="A469" t="s">
        <v>638</v>
      </c>
      <c r="B469" s="4">
        <v>45762.57916666667</v>
      </c>
      <c r="C469" t="s">
        <v>614</v>
      </c>
      <c r="D469" t="s">
        <v>1141</v>
      </c>
      <c r="E469" t="s">
        <v>1285</v>
      </c>
      <c r="F469" t="str" cm="1">
        <f t="array" ref="F469">_xlfn.IFS(
E469="Ahmedabad","Gujarat",
E469="Bengaluru","Karnataka",
E469="Bhopal","Madhya Pradesh",
E469="Bhubaneswar","Odisha",
E469="Chandigarh","Chandigarh",
E469="Chennai","Tamil Nadu",
E469="Delhi","Delhi",
E469="Guwahati","Assam",
E469="Hyderabad","Telangana",
E469="Indore","Madhya Pradesh",
E469="Jaipur","Rajasthan",
E469="Kochi","Kerala",
E469="Kolkata","West Bengal",
E469="Lucknow","Uttar Pradesh",
E469="Mumbai","Maharashtra",
E469="Nagpur","Maharashtra",
E469="Patna","Bihar",
E469="Pune","Maharashtra",
E469="Raipur","Chhattisgarh",
E469="Surat","Gujarat",
TRUE,"Not Found"
)</f>
        <v>Assam</v>
      </c>
      <c r="G469" t="s">
        <v>1228</v>
      </c>
      <c r="H469" t="s">
        <v>1144</v>
      </c>
      <c r="I469" t="s">
        <v>1214</v>
      </c>
      <c r="J469" t="s">
        <v>1215</v>
      </c>
      <c r="K469" t="s">
        <v>1216</v>
      </c>
      <c r="L469">
        <v>3</v>
      </c>
      <c r="M469">
        <v>2141</v>
      </c>
      <c r="N469">
        <v>0.05</v>
      </c>
      <c r="O469">
        <v>2033.95</v>
      </c>
      <c r="P469">
        <v>0.12</v>
      </c>
      <c r="Q469">
        <v>6101.8499999999995</v>
      </c>
      <c r="R469">
        <v>732.22199999999987</v>
      </c>
      <c r="S469">
        <v>6834.0719999999992</v>
      </c>
      <c r="T469">
        <f>ROUND(Table2[[#This Row],[TotalAmount]],0)</f>
        <v>6834</v>
      </c>
      <c r="U469" t="s">
        <v>1363</v>
      </c>
      <c r="V469" t="s">
        <v>1361</v>
      </c>
      <c r="W469" s="4">
        <v>45764</v>
      </c>
      <c r="X469" s="4">
        <v>45769</v>
      </c>
      <c r="Y469" t="b">
        <v>0</v>
      </c>
      <c r="Z469" t="s">
        <v>1412</v>
      </c>
      <c r="AA469" t="s">
        <v>1412</v>
      </c>
      <c r="AB469" t="s">
        <v>1412</v>
      </c>
      <c r="AC469" t="s">
        <v>1376</v>
      </c>
      <c r="AD469" t="s">
        <v>1377</v>
      </c>
      <c r="AE469" t="s">
        <v>1395</v>
      </c>
    </row>
    <row r="470" spans="1:31" x14ac:dyDescent="0.3">
      <c r="A470" t="s">
        <v>639</v>
      </c>
      <c r="B470" s="4">
        <v>45521.593055555553</v>
      </c>
      <c r="C470" t="s">
        <v>264</v>
      </c>
      <c r="D470" t="s">
        <v>1153</v>
      </c>
      <c r="E470" t="s">
        <v>1162</v>
      </c>
      <c r="F470" t="str" cm="1">
        <f t="array" ref="F470">_xlfn.IFS(
E470="Ahmedabad","Gujarat",
E470="Bengaluru","Karnataka",
E470="Bhopal","Madhya Pradesh",
E470="Bhubaneswar","Odisha",
E470="Chandigarh","Chandigarh",
E470="Chennai","Tamil Nadu",
E470="Delhi","Delhi",
E470="Guwahati","Assam",
E470="Hyderabad","Telangana",
E470="Indore","Madhya Pradesh",
E470="Jaipur","Rajasthan",
E470="Kochi","Kerala",
E470="Kolkata","West Bengal",
E470="Lucknow","Uttar Pradesh",
E470="Mumbai","Maharashtra",
E470="Nagpur","Maharashtra",
E470="Patna","Bihar",
E470="Pune","Maharashtra",
E470="Raipur","Chhattisgarh",
E470="Surat","Gujarat",
TRUE,"Not Found"
)</f>
        <v>Madhya Pradesh</v>
      </c>
      <c r="G470" t="s">
        <v>1228</v>
      </c>
      <c r="H470" t="s">
        <v>1172</v>
      </c>
      <c r="I470" t="s">
        <v>1229</v>
      </c>
      <c r="J470" t="s">
        <v>1295</v>
      </c>
      <c r="K470" t="s">
        <v>1296</v>
      </c>
      <c r="L470">
        <v>3</v>
      </c>
      <c r="M470">
        <v>7391</v>
      </c>
      <c r="N470">
        <v>0</v>
      </c>
      <c r="O470">
        <v>7391</v>
      </c>
      <c r="P470">
        <v>0.12</v>
      </c>
      <c r="Q470">
        <v>22173</v>
      </c>
      <c r="R470">
        <v>2660.76</v>
      </c>
      <c r="S470">
        <v>24833.759999999998</v>
      </c>
      <c r="T470">
        <f>ROUND(Table2[[#This Row],[TotalAmount]],0)</f>
        <v>24834</v>
      </c>
      <c r="U470" t="s">
        <v>1360</v>
      </c>
      <c r="V470" t="s">
        <v>1368</v>
      </c>
      <c r="W470" s="4">
        <v>45521</v>
      </c>
      <c r="X470" s="4" t="s">
        <v>1412</v>
      </c>
      <c r="Y470" t="b">
        <v>0</v>
      </c>
      <c r="Z470" t="s">
        <v>1412</v>
      </c>
      <c r="AA470" t="s">
        <v>1412</v>
      </c>
      <c r="AB470" t="s">
        <v>1412</v>
      </c>
      <c r="AC470" t="s">
        <v>1388</v>
      </c>
      <c r="AD470" t="s">
        <v>1394</v>
      </c>
      <c r="AE470" t="s">
        <v>1393</v>
      </c>
    </row>
    <row r="471" spans="1:31" x14ac:dyDescent="0.3">
      <c r="A471" t="s">
        <v>640</v>
      </c>
      <c r="B471" s="4">
        <v>45750.475694444453</v>
      </c>
      <c r="C471" t="s">
        <v>419</v>
      </c>
      <c r="D471" t="s">
        <v>1153</v>
      </c>
      <c r="E471" t="s">
        <v>1154</v>
      </c>
      <c r="F471" t="str" cm="1">
        <f t="array" ref="F471">_xlfn.IFS(
E471="Ahmedabad","Gujarat",
E471="Bengaluru","Karnataka",
E471="Bhopal","Madhya Pradesh",
E471="Bhubaneswar","Odisha",
E471="Chandigarh","Chandigarh",
E471="Chennai","Tamil Nadu",
E471="Delhi","Delhi",
E471="Guwahati","Assam",
E471="Hyderabad","Telangana",
E471="Indore","Madhya Pradesh",
E471="Jaipur","Rajasthan",
E471="Kochi","Kerala",
E471="Kolkata","West Bengal",
E471="Lucknow","Uttar Pradesh",
E471="Mumbai","Maharashtra",
E471="Nagpur","Maharashtra",
E471="Patna","Bihar",
E471="Pune","Maharashtra",
E471="Raipur","Chhattisgarh",
E471="Surat","Gujarat",
TRUE,"Not Found"
)</f>
        <v>Maharashtra</v>
      </c>
      <c r="G471" t="s">
        <v>1150</v>
      </c>
      <c r="H471" t="s">
        <v>1167</v>
      </c>
      <c r="I471" t="s">
        <v>1211</v>
      </c>
      <c r="J471" t="s">
        <v>1212</v>
      </c>
      <c r="K471" t="s">
        <v>1213</v>
      </c>
      <c r="L471">
        <v>2</v>
      </c>
      <c r="M471">
        <v>17050</v>
      </c>
      <c r="N471">
        <v>0.2</v>
      </c>
      <c r="O471">
        <v>13640</v>
      </c>
      <c r="P471">
        <v>0.05</v>
      </c>
      <c r="Q471">
        <v>27280</v>
      </c>
      <c r="R471">
        <v>1364</v>
      </c>
      <c r="S471">
        <v>28644</v>
      </c>
      <c r="T471">
        <f>ROUND(Table2[[#This Row],[TotalAmount]],0)</f>
        <v>28644</v>
      </c>
      <c r="U471" t="s">
        <v>1360</v>
      </c>
      <c r="V471" t="s">
        <v>1361</v>
      </c>
      <c r="W471" s="4">
        <v>45751</v>
      </c>
      <c r="X471" s="4">
        <v>45752</v>
      </c>
      <c r="Y471" t="b">
        <v>0</v>
      </c>
      <c r="Z471" t="s">
        <v>1412</v>
      </c>
      <c r="AA471" t="s">
        <v>1412</v>
      </c>
      <c r="AB471" t="s">
        <v>1412</v>
      </c>
      <c r="AC471" t="s">
        <v>1386</v>
      </c>
      <c r="AD471" t="s">
        <v>1377</v>
      </c>
      <c r="AE471" t="s">
        <v>1383</v>
      </c>
    </row>
    <row r="472" spans="1:31" x14ac:dyDescent="0.3">
      <c r="A472" t="s">
        <v>641</v>
      </c>
      <c r="B472" s="4">
        <v>45518.668749999997</v>
      </c>
      <c r="C472" t="s">
        <v>51</v>
      </c>
      <c r="D472" t="s">
        <v>1141</v>
      </c>
      <c r="E472" t="s">
        <v>1227</v>
      </c>
      <c r="F472" t="str" cm="1">
        <f t="array" ref="F472">_xlfn.IFS(
E472="Ahmedabad","Gujarat",
E472="Bengaluru","Karnataka",
E472="Bhopal","Madhya Pradesh",
E472="Bhubaneswar","Odisha",
E472="Chandigarh","Chandigarh",
E472="Chennai","Tamil Nadu",
E472="Delhi","Delhi",
E472="Guwahati","Assam",
E472="Hyderabad","Telangana",
E472="Indore","Madhya Pradesh",
E472="Jaipur","Rajasthan",
E472="Kochi","Kerala",
E472="Kolkata","West Bengal",
E472="Lucknow","Uttar Pradesh",
E472="Mumbai","Maharashtra",
E472="Nagpur","Maharashtra",
E472="Patna","Bihar",
E472="Pune","Maharashtra",
E472="Raipur","Chhattisgarh",
E472="Surat","Gujarat",
TRUE,"Not Found"
)</f>
        <v>Bihar</v>
      </c>
      <c r="G472" t="s">
        <v>1150</v>
      </c>
      <c r="H472" t="s">
        <v>1144</v>
      </c>
      <c r="I472" t="s">
        <v>1269</v>
      </c>
      <c r="J472" t="s">
        <v>1326</v>
      </c>
      <c r="K472" t="s">
        <v>1327</v>
      </c>
      <c r="L472">
        <v>3</v>
      </c>
      <c r="M472">
        <v>10128</v>
      </c>
      <c r="N472">
        <v>0.05</v>
      </c>
      <c r="O472">
        <v>9621.6</v>
      </c>
      <c r="P472">
        <v>0.12</v>
      </c>
      <c r="Q472">
        <v>28864.799999999999</v>
      </c>
      <c r="R472">
        <v>3463.7759999999998</v>
      </c>
      <c r="S472">
        <v>32328.576000000001</v>
      </c>
      <c r="T472">
        <f>ROUND(Table2[[#This Row],[TotalAmount]],0)</f>
        <v>32329</v>
      </c>
      <c r="U472" t="s">
        <v>1360</v>
      </c>
      <c r="V472" t="s">
        <v>1361</v>
      </c>
      <c r="W472" s="4">
        <v>45520</v>
      </c>
      <c r="X472" s="4">
        <v>45525</v>
      </c>
      <c r="Y472" t="b">
        <v>0</v>
      </c>
      <c r="Z472" t="s">
        <v>1412</v>
      </c>
      <c r="AA472" t="s">
        <v>1412</v>
      </c>
      <c r="AB472" t="s">
        <v>1412</v>
      </c>
      <c r="AC472" t="s">
        <v>1392</v>
      </c>
      <c r="AD472" t="s">
        <v>1387</v>
      </c>
      <c r="AE472" t="s">
        <v>1380</v>
      </c>
    </row>
    <row r="473" spans="1:31" x14ac:dyDescent="0.3">
      <c r="A473" t="s">
        <v>642</v>
      </c>
      <c r="B473" s="4">
        <v>45647.613888888889</v>
      </c>
      <c r="C473" t="s">
        <v>141</v>
      </c>
      <c r="D473" t="s">
        <v>1141</v>
      </c>
      <c r="E473" t="s">
        <v>1227</v>
      </c>
      <c r="F473" t="str" cm="1">
        <f t="array" ref="F473">_xlfn.IFS(
E473="Ahmedabad","Gujarat",
E473="Bengaluru","Karnataka",
E473="Bhopal","Madhya Pradesh",
E473="Bhubaneswar","Odisha",
E473="Chandigarh","Chandigarh",
E473="Chennai","Tamil Nadu",
E473="Delhi","Delhi",
E473="Guwahati","Assam",
E473="Hyderabad","Telangana",
E473="Indore","Madhya Pradesh",
E473="Jaipur","Rajasthan",
E473="Kochi","Kerala",
E473="Kolkata","West Bengal",
E473="Lucknow","Uttar Pradesh",
E473="Mumbai","Maharashtra",
E473="Nagpur","Maharashtra",
E473="Patna","Bihar",
E473="Pune","Maharashtra",
E473="Raipur","Chhattisgarh",
E473="Surat","Gujarat",
TRUE,"Not Found"
)</f>
        <v>Bihar</v>
      </c>
      <c r="G473" t="s">
        <v>1150</v>
      </c>
      <c r="H473" t="s">
        <v>1144</v>
      </c>
      <c r="I473" t="s">
        <v>1276</v>
      </c>
      <c r="J473" t="s">
        <v>1286</v>
      </c>
      <c r="K473" t="s">
        <v>1287</v>
      </c>
      <c r="L473">
        <v>2</v>
      </c>
      <c r="M473">
        <v>3063</v>
      </c>
      <c r="N473">
        <v>0</v>
      </c>
      <c r="O473">
        <v>3063</v>
      </c>
      <c r="P473">
        <v>0.18</v>
      </c>
      <c r="Q473">
        <v>6126</v>
      </c>
      <c r="R473">
        <v>1102.68</v>
      </c>
      <c r="S473">
        <v>7228.68</v>
      </c>
      <c r="T473">
        <f>ROUND(Table2[[#This Row],[TotalAmount]],0)</f>
        <v>7229</v>
      </c>
      <c r="U473" t="s">
        <v>1360</v>
      </c>
      <c r="V473" t="s">
        <v>1361</v>
      </c>
      <c r="W473" s="4">
        <v>45648</v>
      </c>
      <c r="X473" s="4">
        <v>45651</v>
      </c>
      <c r="Y473" t="b">
        <v>0</v>
      </c>
      <c r="Z473" t="s">
        <v>1412</v>
      </c>
      <c r="AA473" t="s">
        <v>1412</v>
      </c>
      <c r="AB473" t="s">
        <v>1412</v>
      </c>
      <c r="AC473" t="s">
        <v>1376</v>
      </c>
      <c r="AD473" t="s">
        <v>1377</v>
      </c>
      <c r="AE473" t="s">
        <v>1395</v>
      </c>
    </row>
    <row r="474" spans="1:31" x14ac:dyDescent="0.3">
      <c r="A474" t="s">
        <v>643</v>
      </c>
      <c r="B474" s="4">
        <v>45665.420138888891</v>
      </c>
      <c r="C474" t="s">
        <v>354</v>
      </c>
      <c r="D474" t="s">
        <v>1148</v>
      </c>
      <c r="E474" t="s">
        <v>1217</v>
      </c>
      <c r="F474" t="str" cm="1">
        <f t="array" ref="F474">_xlfn.IFS(
E474="Ahmedabad","Gujarat",
E474="Bengaluru","Karnataka",
E474="Bhopal","Madhya Pradesh",
E474="Bhubaneswar","Odisha",
E474="Chandigarh","Chandigarh",
E474="Chennai","Tamil Nadu",
E474="Delhi","Delhi",
E474="Guwahati","Assam",
E474="Hyderabad","Telangana",
E474="Indore","Madhya Pradesh",
E474="Jaipur","Rajasthan",
E474="Kochi","Kerala",
E474="Kolkata","West Bengal",
E474="Lucknow","Uttar Pradesh",
E474="Mumbai","Maharashtra",
E474="Nagpur","Maharashtra",
E474="Patna","Bihar",
E474="Pune","Maharashtra",
E474="Raipur","Chhattisgarh",
E474="Surat","Gujarat",
TRUE,"Not Found"
)</f>
        <v>Delhi</v>
      </c>
      <c r="G474" t="s">
        <v>1143</v>
      </c>
      <c r="H474" t="s">
        <v>1167</v>
      </c>
      <c r="I474" t="s">
        <v>1263</v>
      </c>
      <c r="J474" t="s">
        <v>1274</v>
      </c>
      <c r="K474" t="s">
        <v>1275</v>
      </c>
      <c r="L474">
        <v>4</v>
      </c>
      <c r="M474">
        <v>47831</v>
      </c>
      <c r="N474">
        <v>0</v>
      </c>
      <c r="O474">
        <v>47831</v>
      </c>
      <c r="P474">
        <v>0.12</v>
      </c>
      <c r="Q474">
        <v>191324</v>
      </c>
      <c r="R474">
        <v>22958.880000000001</v>
      </c>
      <c r="S474">
        <v>214282.88</v>
      </c>
      <c r="T474">
        <f>ROUND(Table2[[#This Row],[TotalAmount]],0)</f>
        <v>214283</v>
      </c>
      <c r="U474" t="s">
        <v>1360</v>
      </c>
      <c r="V474" t="s">
        <v>1369</v>
      </c>
      <c r="W474" s="4" t="s">
        <v>1412</v>
      </c>
      <c r="X474" s="4" t="s">
        <v>1412</v>
      </c>
      <c r="Y474" t="b">
        <v>0</v>
      </c>
      <c r="Z474" t="s">
        <v>1412</v>
      </c>
      <c r="AA474" t="s">
        <v>1412</v>
      </c>
      <c r="AB474" t="s">
        <v>1412</v>
      </c>
      <c r="AC474" t="s">
        <v>1398</v>
      </c>
      <c r="AD474" t="s">
        <v>1397</v>
      </c>
      <c r="AE474" t="s">
        <v>1383</v>
      </c>
    </row>
    <row r="475" spans="1:31" x14ac:dyDescent="0.3">
      <c r="A475" t="s">
        <v>644</v>
      </c>
      <c r="B475" s="4">
        <v>45474.479166666657</v>
      </c>
      <c r="C475" t="s">
        <v>132</v>
      </c>
      <c r="D475" t="s">
        <v>1182</v>
      </c>
      <c r="E475" t="s">
        <v>1257</v>
      </c>
      <c r="F475" t="str" cm="1">
        <f t="array" ref="F475">_xlfn.IFS(
E475="Ahmedabad","Gujarat",
E475="Bengaluru","Karnataka",
E475="Bhopal","Madhya Pradesh",
E475="Bhubaneswar","Odisha",
E475="Chandigarh","Chandigarh",
E475="Chennai","Tamil Nadu",
E475="Delhi","Delhi",
E475="Guwahati","Assam",
E475="Hyderabad","Telangana",
E475="Indore","Madhya Pradesh",
E475="Jaipur","Rajasthan",
E475="Kochi","Kerala",
E475="Kolkata","West Bengal",
E475="Lucknow","Uttar Pradesh",
E475="Mumbai","Maharashtra",
E475="Nagpur","Maharashtra",
E475="Patna","Bihar",
E475="Pune","Maharashtra",
E475="Raipur","Chhattisgarh",
E475="Surat","Gujarat",
TRUE,"Not Found"
)</f>
        <v>Kerala</v>
      </c>
      <c r="G475" t="s">
        <v>1150</v>
      </c>
      <c r="H475" t="s">
        <v>1177</v>
      </c>
      <c r="I475" t="s">
        <v>1309</v>
      </c>
      <c r="J475" t="s">
        <v>1328</v>
      </c>
      <c r="K475" t="s">
        <v>1329</v>
      </c>
      <c r="L475">
        <v>1</v>
      </c>
      <c r="M475">
        <v>979</v>
      </c>
      <c r="N475">
        <v>0.1</v>
      </c>
      <c r="O475">
        <v>881.1</v>
      </c>
      <c r="P475">
        <v>0.12</v>
      </c>
      <c r="Q475">
        <v>881.1</v>
      </c>
      <c r="R475">
        <v>105.732</v>
      </c>
      <c r="S475">
        <v>986.83199999999999</v>
      </c>
      <c r="T475">
        <f>ROUND(Table2[[#This Row],[TotalAmount]],0)</f>
        <v>987</v>
      </c>
      <c r="U475" t="s">
        <v>1366</v>
      </c>
      <c r="V475" t="s">
        <v>1367</v>
      </c>
      <c r="W475" s="4">
        <v>45476</v>
      </c>
      <c r="X475" s="4" t="s">
        <v>1412</v>
      </c>
      <c r="Y475" t="b">
        <v>0</v>
      </c>
      <c r="Z475" t="s">
        <v>1412</v>
      </c>
      <c r="AA475" t="s">
        <v>1412</v>
      </c>
      <c r="AB475" t="s">
        <v>1412</v>
      </c>
      <c r="AC475" t="s">
        <v>1392</v>
      </c>
      <c r="AD475" t="s">
        <v>1394</v>
      </c>
      <c r="AE475" t="s">
        <v>1378</v>
      </c>
    </row>
    <row r="476" spans="1:31" x14ac:dyDescent="0.3">
      <c r="A476" t="s">
        <v>645</v>
      </c>
      <c r="B476" s="4">
        <v>45572.511805555558</v>
      </c>
      <c r="C476" t="s">
        <v>40</v>
      </c>
      <c r="D476" t="s">
        <v>1141</v>
      </c>
      <c r="E476" t="s">
        <v>1142</v>
      </c>
      <c r="F476" t="str" cm="1">
        <f t="array" ref="F476">_xlfn.IFS(
E476="Ahmedabad","Gujarat",
E476="Bengaluru","Karnataka",
E476="Bhopal","Madhya Pradesh",
E476="Bhubaneswar","Odisha",
E476="Chandigarh","Chandigarh",
E476="Chennai","Tamil Nadu",
E476="Delhi","Delhi",
E476="Guwahati","Assam",
E476="Hyderabad","Telangana",
E476="Indore","Madhya Pradesh",
E476="Jaipur","Rajasthan",
E476="Kochi","Kerala",
E476="Kolkata","West Bengal",
E476="Lucknow","Uttar Pradesh",
E476="Mumbai","Maharashtra",
E476="Nagpur","Maharashtra",
E476="Patna","Bihar",
E476="Pune","Maharashtra",
E476="Raipur","Chhattisgarh",
E476="Surat","Gujarat",
TRUE,"Not Found"
)</f>
        <v>West Bengal</v>
      </c>
      <c r="G476" t="s">
        <v>1150</v>
      </c>
      <c r="H476" t="s">
        <v>1167</v>
      </c>
      <c r="I476" t="s">
        <v>1208</v>
      </c>
      <c r="J476" t="s">
        <v>1209</v>
      </c>
      <c r="K476" t="s">
        <v>1210</v>
      </c>
      <c r="L476">
        <v>2</v>
      </c>
      <c r="M476">
        <v>23033</v>
      </c>
      <c r="N476">
        <v>0</v>
      </c>
      <c r="O476">
        <v>23033</v>
      </c>
      <c r="P476">
        <v>0.05</v>
      </c>
      <c r="Q476">
        <v>46066</v>
      </c>
      <c r="R476">
        <v>2303.3000000000002</v>
      </c>
      <c r="S476">
        <v>48369.3</v>
      </c>
      <c r="T476">
        <f>ROUND(Table2[[#This Row],[TotalAmount]],0)</f>
        <v>48369</v>
      </c>
      <c r="U476" t="s">
        <v>1360</v>
      </c>
      <c r="V476" t="s">
        <v>1361</v>
      </c>
      <c r="W476" s="4">
        <v>45574</v>
      </c>
      <c r="X476" s="4">
        <v>45578</v>
      </c>
      <c r="Y476" t="b">
        <v>0</v>
      </c>
      <c r="Z476" t="s">
        <v>1412</v>
      </c>
      <c r="AA476" t="s">
        <v>1412</v>
      </c>
      <c r="AB476" t="s">
        <v>1412</v>
      </c>
      <c r="AC476" t="s">
        <v>1384</v>
      </c>
      <c r="AD476" t="s">
        <v>1399</v>
      </c>
      <c r="AE476" t="s">
        <v>1391</v>
      </c>
    </row>
    <row r="477" spans="1:31" x14ac:dyDescent="0.3">
      <c r="A477" t="s">
        <v>646</v>
      </c>
      <c r="B477" s="4">
        <v>45488.540972222218</v>
      </c>
      <c r="C477" t="s">
        <v>259</v>
      </c>
      <c r="D477" t="s">
        <v>1141</v>
      </c>
      <c r="E477" t="s">
        <v>1227</v>
      </c>
      <c r="F477" t="str" cm="1">
        <f t="array" ref="F477">_xlfn.IFS(
E477="Ahmedabad","Gujarat",
E477="Bengaluru","Karnataka",
E477="Bhopal","Madhya Pradesh",
E477="Bhubaneswar","Odisha",
E477="Chandigarh","Chandigarh",
E477="Chennai","Tamil Nadu",
E477="Delhi","Delhi",
E477="Guwahati","Assam",
E477="Hyderabad","Telangana",
E477="Indore","Madhya Pradesh",
E477="Jaipur","Rajasthan",
E477="Kochi","Kerala",
E477="Kolkata","West Bengal",
E477="Lucknow","Uttar Pradesh",
E477="Mumbai","Maharashtra",
E477="Nagpur","Maharashtra",
E477="Patna","Bihar",
E477="Pune","Maharashtra",
E477="Raipur","Chhattisgarh",
E477="Surat","Gujarat",
TRUE,"Not Found"
)</f>
        <v>Bihar</v>
      </c>
      <c r="G477" t="s">
        <v>1187</v>
      </c>
      <c r="H477" t="s">
        <v>1144</v>
      </c>
      <c r="I477" t="s">
        <v>1269</v>
      </c>
      <c r="J477" t="s">
        <v>1270</v>
      </c>
      <c r="K477" t="s">
        <v>1271</v>
      </c>
      <c r="L477">
        <v>2</v>
      </c>
      <c r="M477">
        <v>6601</v>
      </c>
      <c r="N477">
        <v>0</v>
      </c>
      <c r="O477">
        <v>6601</v>
      </c>
      <c r="P477">
        <v>0.18</v>
      </c>
      <c r="Q477">
        <v>13202</v>
      </c>
      <c r="R477">
        <v>2376.36</v>
      </c>
      <c r="S477">
        <v>15578.36</v>
      </c>
      <c r="T477">
        <f>ROUND(Table2[[#This Row],[TotalAmount]],0)</f>
        <v>15578</v>
      </c>
      <c r="U477" t="s">
        <v>1360</v>
      </c>
      <c r="V477" t="s">
        <v>1361</v>
      </c>
      <c r="W477" s="4">
        <v>45490</v>
      </c>
      <c r="X477" s="4">
        <v>45495</v>
      </c>
      <c r="Y477" t="b">
        <v>0</v>
      </c>
      <c r="Z477" t="s">
        <v>1412</v>
      </c>
      <c r="AA477" t="s">
        <v>1412</v>
      </c>
      <c r="AB477" t="s">
        <v>1412</v>
      </c>
      <c r="AC477" t="s">
        <v>1388</v>
      </c>
      <c r="AD477" t="s">
        <v>1399</v>
      </c>
      <c r="AE477" t="s">
        <v>1391</v>
      </c>
    </row>
    <row r="478" spans="1:31" x14ac:dyDescent="0.3">
      <c r="A478" t="s">
        <v>647</v>
      </c>
      <c r="B478" s="4">
        <v>45394.581250000003</v>
      </c>
      <c r="C478" t="s">
        <v>328</v>
      </c>
      <c r="D478" t="s">
        <v>1148</v>
      </c>
      <c r="E478" t="s">
        <v>1149</v>
      </c>
      <c r="F478" t="str" cm="1">
        <f t="array" ref="F478">_xlfn.IFS(
E478="Ahmedabad","Gujarat",
E478="Bengaluru","Karnataka",
E478="Bhopal","Madhya Pradesh",
E478="Bhubaneswar","Odisha",
E478="Chandigarh","Chandigarh",
E478="Chennai","Tamil Nadu",
E478="Delhi","Delhi",
E478="Guwahati","Assam",
E478="Hyderabad","Telangana",
E478="Indore","Madhya Pradesh",
E478="Jaipur","Rajasthan",
E478="Kochi","Kerala",
E478="Kolkata","West Bengal",
E478="Lucknow","Uttar Pradesh",
E478="Mumbai","Maharashtra",
E478="Nagpur","Maharashtra",
E478="Patna","Bihar",
E478="Pune","Maharashtra",
E478="Raipur","Chhattisgarh",
E478="Surat","Gujarat",
TRUE,"Not Found"
)</f>
        <v>Uttar Pradesh</v>
      </c>
      <c r="G478" t="s">
        <v>1150</v>
      </c>
      <c r="H478" t="s">
        <v>1144</v>
      </c>
      <c r="I478" t="s">
        <v>1159</v>
      </c>
      <c r="J478" t="s">
        <v>1334</v>
      </c>
      <c r="K478" t="s">
        <v>1335</v>
      </c>
      <c r="L478">
        <v>2</v>
      </c>
      <c r="M478">
        <v>5892</v>
      </c>
      <c r="N478">
        <v>0.15</v>
      </c>
      <c r="O478">
        <v>5008.2</v>
      </c>
      <c r="P478">
        <v>0.12</v>
      </c>
      <c r="Q478">
        <v>10016.4</v>
      </c>
      <c r="R478">
        <v>1201.9680000000001</v>
      </c>
      <c r="S478">
        <v>11218.368</v>
      </c>
      <c r="T478">
        <f>ROUND(Table2[[#This Row],[TotalAmount]],0)</f>
        <v>11218</v>
      </c>
      <c r="U478" t="s">
        <v>1365</v>
      </c>
      <c r="V478" t="s">
        <v>1361</v>
      </c>
      <c r="W478" s="4">
        <v>45395</v>
      </c>
      <c r="X478" s="4">
        <v>45400</v>
      </c>
      <c r="Y478" t="b">
        <v>0</v>
      </c>
      <c r="Z478" t="s">
        <v>1412</v>
      </c>
      <c r="AA478" t="s">
        <v>1412</v>
      </c>
      <c r="AB478" t="s">
        <v>1412</v>
      </c>
      <c r="AC478" t="s">
        <v>1384</v>
      </c>
      <c r="AD478" t="s">
        <v>1377</v>
      </c>
      <c r="AE478" t="s">
        <v>1395</v>
      </c>
    </row>
    <row r="479" spans="1:31" x14ac:dyDescent="0.3">
      <c r="A479" t="s">
        <v>648</v>
      </c>
      <c r="B479" s="4">
        <v>45541.348611111112</v>
      </c>
      <c r="C479" t="s">
        <v>83</v>
      </c>
      <c r="D479" t="s">
        <v>1141</v>
      </c>
      <c r="E479" t="s">
        <v>1239</v>
      </c>
      <c r="F479" t="str" cm="1">
        <f t="array" ref="F479">_xlfn.IFS(
E479="Ahmedabad","Gujarat",
E479="Bengaluru","Karnataka",
E479="Bhopal","Madhya Pradesh",
E479="Bhubaneswar","Odisha",
E479="Chandigarh","Chandigarh",
E479="Chennai","Tamil Nadu",
E479="Delhi","Delhi",
E479="Guwahati","Assam",
E479="Hyderabad","Telangana",
E479="Indore","Madhya Pradesh",
E479="Jaipur","Rajasthan",
E479="Kochi","Kerala",
E479="Kolkata","West Bengal",
E479="Lucknow","Uttar Pradesh",
E479="Mumbai","Maharashtra",
E479="Nagpur","Maharashtra",
E479="Patna","Bihar",
E479="Pune","Maharashtra",
E479="Raipur","Chhattisgarh",
E479="Surat","Gujarat",
TRUE,"Not Found"
)</f>
        <v>Odisha</v>
      </c>
      <c r="G479" t="s">
        <v>1228</v>
      </c>
      <c r="H479" t="s">
        <v>1172</v>
      </c>
      <c r="I479" t="s">
        <v>1173</v>
      </c>
      <c r="J479" t="s">
        <v>1174</v>
      </c>
      <c r="K479" t="s">
        <v>1175</v>
      </c>
      <c r="L479">
        <v>2</v>
      </c>
      <c r="M479">
        <v>2142</v>
      </c>
      <c r="N479">
        <v>0</v>
      </c>
      <c r="O479">
        <v>2142</v>
      </c>
      <c r="P479">
        <v>0.12</v>
      </c>
      <c r="Q479">
        <v>4284</v>
      </c>
      <c r="R479">
        <v>514.07999999999993</v>
      </c>
      <c r="S479">
        <v>4798.08</v>
      </c>
      <c r="T479">
        <f>ROUND(Table2[[#This Row],[TotalAmount]],0)</f>
        <v>4798</v>
      </c>
      <c r="U479" t="s">
        <v>1363</v>
      </c>
      <c r="V479" t="s">
        <v>1361</v>
      </c>
      <c r="W479" s="4">
        <v>45542</v>
      </c>
      <c r="X479" s="4">
        <v>45546</v>
      </c>
      <c r="Y479" t="b">
        <v>0</v>
      </c>
      <c r="Z479" t="s">
        <v>1412</v>
      </c>
      <c r="AA479" t="s">
        <v>1412</v>
      </c>
      <c r="AB479" t="s">
        <v>1412</v>
      </c>
      <c r="AC479" t="s">
        <v>1379</v>
      </c>
      <c r="AD479" t="s">
        <v>1377</v>
      </c>
      <c r="AE479" t="s">
        <v>1380</v>
      </c>
    </row>
    <row r="480" spans="1:31" x14ac:dyDescent="0.3">
      <c r="A480" t="s">
        <v>649</v>
      </c>
      <c r="B480" s="4">
        <v>45768.499305555553</v>
      </c>
      <c r="C480" t="s">
        <v>105</v>
      </c>
      <c r="D480" t="s">
        <v>1182</v>
      </c>
      <c r="E480" t="s">
        <v>1207</v>
      </c>
      <c r="F480" t="str" cm="1">
        <f t="array" ref="F480">_xlfn.IFS(
E480="Ahmedabad","Gujarat",
E480="Bengaluru","Karnataka",
E480="Bhopal","Madhya Pradesh",
E480="Bhubaneswar","Odisha",
E480="Chandigarh","Chandigarh",
E480="Chennai","Tamil Nadu",
E480="Delhi","Delhi",
E480="Guwahati","Assam",
E480="Hyderabad","Telangana",
E480="Indore","Madhya Pradesh",
E480="Jaipur","Rajasthan",
E480="Kochi","Kerala",
E480="Kolkata","West Bengal",
E480="Lucknow","Uttar Pradesh",
E480="Mumbai","Maharashtra",
E480="Nagpur","Maharashtra",
E480="Patna","Bihar",
E480="Pune","Maharashtra",
E480="Raipur","Chhattisgarh",
E480="Surat","Gujarat",
TRUE,"Not Found"
)</f>
        <v>Tamil Nadu</v>
      </c>
      <c r="G480" t="s">
        <v>1187</v>
      </c>
      <c r="H480" t="s">
        <v>1167</v>
      </c>
      <c r="I480" t="s">
        <v>1208</v>
      </c>
      <c r="J480" t="s">
        <v>1291</v>
      </c>
      <c r="K480" t="s">
        <v>1292</v>
      </c>
      <c r="L480">
        <v>1</v>
      </c>
      <c r="M480">
        <v>6653</v>
      </c>
      <c r="N480">
        <v>0.2</v>
      </c>
      <c r="O480">
        <v>5322.4000000000005</v>
      </c>
      <c r="P480">
        <v>0.18</v>
      </c>
      <c r="Q480">
        <v>5322.4000000000005</v>
      </c>
      <c r="R480">
        <v>958.03200000000004</v>
      </c>
      <c r="S480">
        <v>6280.4320000000007</v>
      </c>
      <c r="T480">
        <f>ROUND(Table2[[#This Row],[TotalAmount]],0)</f>
        <v>6280</v>
      </c>
      <c r="U480" t="s">
        <v>1360</v>
      </c>
      <c r="V480" t="s">
        <v>1361</v>
      </c>
      <c r="W480" s="4">
        <v>45770</v>
      </c>
      <c r="X480" s="4">
        <v>45773</v>
      </c>
      <c r="Y480" t="b">
        <v>0</v>
      </c>
      <c r="Z480" t="s">
        <v>1412</v>
      </c>
      <c r="AA480" t="s">
        <v>1412</v>
      </c>
      <c r="AB480" t="s">
        <v>1412</v>
      </c>
      <c r="AC480" t="s">
        <v>1386</v>
      </c>
      <c r="AD480" t="s">
        <v>1399</v>
      </c>
      <c r="AE480" t="s">
        <v>1378</v>
      </c>
    </row>
    <row r="481" spans="1:31" x14ac:dyDescent="0.3">
      <c r="A481" t="s">
        <v>650</v>
      </c>
      <c r="B481" s="4">
        <v>45682.469444444447</v>
      </c>
      <c r="C481" t="s">
        <v>200</v>
      </c>
      <c r="D481" t="s">
        <v>1182</v>
      </c>
      <c r="E481" t="s">
        <v>1183</v>
      </c>
      <c r="F481" t="str" cm="1">
        <f t="array" ref="F481">_xlfn.IFS(
E481="Ahmedabad","Gujarat",
E481="Bengaluru","Karnataka",
E481="Bhopal","Madhya Pradesh",
E481="Bhubaneswar","Odisha",
E481="Chandigarh","Chandigarh",
E481="Chennai","Tamil Nadu",
E481="Delhi","Delhi",
E481="Guwahati","Assam",
E481="Hyderabad","Telangana",
E481="Indore","Madhya Pradesh",
E481="Jaipur","Rajasthan",
E481="Kochi","Kerala",
E481="Kolkata","West Bengal",
E481="Lucknow","Uttar Pradesh",
E481="Mumbai","Maharashtra",
E481="Nagpur","Maharashtra",
E481="Patna","Bihar",
E481="Pune","Maharashtra",
E481="Raipur","Chhattisgarh",
E481="Surat","Gujarat",
TRUE,"Not Found"
)</f>
        <v>Telangana</v>
      </c>
      <c r="G481" t="s">
        <v>1143</v>
      </c>
      <c r="H481" t="s">
        <v>1163</v>
      </c>
      <c r="I481" t="s">
        <v>1164</v>
      </c>
      <c r="J481" t="s">
        <v>1318</v>
      </c>
      <c r="K481" t="s">
        <v>1319</v>
      </c>
      <c r="L481">
        <v>3</v>
      </c>
      <c r="M481">
        <v>92</v>
      </c>
      <c r="N481">
        <v>0</v>
      </c>
      <c r="O481">
        <v>92</v>
      </c>
      <c r="P481">
        <v>0.12</v>
      </c>
      <c r="Q481">
        <v>276</v>
      </c>
      <c r="R481">
        <v>33.119999999999997</v>
      </c>
      <c r="S481">
        <v>309.12</v>
      </c>
      <c r="T481">
        <f>ROUND(Table2[[#This Row],[TotalAmount]],0)</f>
        <v>309</v>
      </c>
      <c r="U481" t="s">
        <v>1366</v>
      </c>
      <c r="V481" t="s">
        <v>1361</v>
      </c>
      <c r="W481" s="4">
        <v>45684</v>
      </c>
      <c r="X481" s="4">
        <v>45686</v>
      </c>
      <c r="Y481" t="b">
        <v>0</v>
      </c>
      <c r="Z481" t="s">
        <v>1412</v>
      </c>
      <c r="AA481" t="s">
        <v>1412</v>
      </c>
      <c r="AB481" t="s">
        <v>1412</v>
      </c>
      <c r="AC481" t="s">
        <v>1398</v>
      </c>
      <c r="AD481" t="s">
        <v>1400</v>
      </c>
      <c r="AE481" t="s">
        <v>1378</v>
      </c>
    </row>
    <row r="482" spans="1:31" x14ac:dyDescent="0.3">
      <c r="A482" t="s">
        <v>651</v>
      </c>
      <c r="B482" s="4">
        <v>45468.480555555558</v>
      </c>
      <c r="C482" t="s">
        <v>14</v>
      </c>
      <c r="D482" t="s">
        <v>1153</v>
      </c>
      <c r="E482" t="s">
        <v>1162</v>
      </c>
      <c r="F482" t="str" cm="1">
        <f t="array" ref="F482">_xlfn.IFS(
E482="Ahmedabad","Gujarat",
E482="Bengaluru","Karnataka",
E482="Bhopal","Madhya Pradesh",
E482="Bhubaneswar","Odisha",
E482="Chandigarh","Chandigarh",
E482="Chennai","Tamil Nadu",
E482="Delhi","Delhi",
E482="Guwahati","Assam",
E482="Hyderabad","Telangana",
E482="Indore","Madhya Pradesh",
E482="Jaipur","Rajasthan",
E482="Kochi","Kerala",
E482="Kolkata","West Bengal",
E482="Lucknow","Uttar Pradesh",
E482="Mumbai","Maharashtra",
E482="Nagpur","Maharashtra",
E482="Patna","Bihar",
E482="Pune","Maharashtra",
E482="Raipur","Chhattisgarh",
E482="Surat","Gujarat",
TRUE,"Not Found"
)</f>
        <v>Madhya Pradesh</v>
      </c>
      <c r="G482" t="s">
        <v>1143</v>
      </c>
      <c r="H482" t="s">
        <v>1163</v>
      </c>
      <c r="I482" t="s">
        <v>1224</v>
      </c>
      <c r="J482" t="s">
        <v>1243</v>
      </c>
      <c r="K482" t="s">
        <v>1244</v>
      </c>
      <c r="L482">
        <v>2</v>
      </c>
      <c r="M482">
        <v>94</v>
      </c>
      <c r="N482">
        <v>0.05</v>
      </c>
      <c r="O482">
        <v>89.3</v>
      </c>
      <c r="P482">
        <v>0.18</v>
      </c>
      <c r="Q482">
        <v>178.6</v>
      </c>
      <c r="R482">
        <v>32.148000000000003</v>
      </c>
      <c r="S482">
        <v>210.74799999999999</v>
      </c>
      <c r="T482">
        <f>ROUND(Table2[[#This Row],[TotalAmount]],0)</f>
        <v>211</v>
      </c>
      <c r="U482" t="s">
        <v>1362</v>
      </c>
      <c r="V482" t="s">
        <v>1361</v>
      </c>
      <c r="W482" s="4">
        <v>45470</v>
      </c>
      <c r="X482" s="4">
        <v>45471</v>
      </c>
      <c r="Y482" t="b">
        <v>0</v>
      </c>
      <c r="Z482" t="s">
        <v>1412</v>
      </c>
      <c r="AA482" t="s">
        <v>1412</v>
      </c>
      <c r="AB482" t="s">
        <v>1412</v>
      </c>
      <c r="AC482" t="s">
        <v>1386</v>
      </c>
      <c r="AD482" t="s">
        <v>1399</v>
      </c>
      <c r="AE482" t="s">
        <v>1395</v>
      </c>
    </row>
    <row r="483" spans="1:31" x14ac:dyDescent="0.3">
      <c r="A483" t="s">
        <v>652</v>
      </c>
      <c r="B483" s="4">
        <v>45319.506249999999</v>
      </c>
      <c r="C483" t="s">
        <v>374</v>
      </c>
      <c r="D483" t="s">
        <v>1153</v>
      </c>
      <c r="E483" t="s">
        <v>1162</v>
      </c>
      <c r="F483" t="str" cm="1">
        <f t="array" ref="F483">_xlfn.IFS(
E483="Ahmedabad","Gujarat",
E483="Bengaluru","Karnataka",
E483="Bhopal","Madhya Pradesh",
E483="Bhubaneswar","Odisha",
E483="Chandigarh","Chandigarh",
E483="Chennai","Tamil Nadu",
E483="Delhi","Delhi",
E483="Guwahati","Assam",
E483="Hyderabad","Telangana",
E483="Indore","Madhya Pradesh",
E483="Jaipur","Rajasthan",
E483="Kochi","Kerala",
E483="Kolkata","West Bengal",
E483="Lucknow","Uttar Pradesh",
E483="Mumbai","Maharashtra",
E483="Nagpur","Maharashtra",
E483="Patna","Bihar",
E483="Pune","Maharashtra",
E483="Raipur","Chhattisgarh",
E483="Surat","Gujarat",
TRUE,"Not Found"
)</f>
        <v>Madhya Pradesh</v>
      </c>
      <c r="G483" t="s">
        <v>1143</v>
      </c>
      <c r="H483" t="s">
        <v>1163</v>
      </c>
      <c r="I483" t="s">
        <v>1164</v>
      </c>
      <c r="J483" t="s">
        <v>1165</v>
      </c>
      <c r="K483" t="s">
        <v>1166</v>
      </c>
      <c r="L483">
        <v>4</v>
      </c>
      <c r="M483">
        <v>187</v>
      </c>
      <c r="N483">
        <v>0</v>
      </c>
      <c r="O483">
        <v>187</v>
      </c>
      <c r="P483">
        <v>0.12</v>
      </c>
      <c r="Q483">
        <v>748</v>
      </c>
      <c r="R483">
        <v>89.759999999999991</v>
      </c>
      <c r="S483">
        <v>837.76</v>
      </c>
      <c r="T483">
        <f>ROUND(Table2[[#This Row],[TotalAmount]],0)</f>
        <v>838</v>
      </c>
      <c r="U483" t="s">
        <v>1365</v>
      </c>
      <c r="V483" t="s">
        <v>1367</v>
      </c>
      <c r="W483" s="4">
        <v>45320</v>
      </c>
      <c r="X483" s="4" t="s">
        <v>1412</v>
      </c>
      <c r="Y483" t="b">
        <v>0</v>
      </c>
      <c r="Z483" t="s">
        <v>1412</v>
      </c>
      <c r="AA483" t="s">
        <v>1412</v>
      </c>
      <c r="AB483" t="s">
        <v>1412</v>
      </c>
      <c r="AC483" t="s">
        <v>1392</v>
      </c>
      <c r="AD483" t="s">
        <v>1400</v>
      </c>
      <c r="AE483" t="s">
        <v>1380</v>
      </c>
    </row>
    <row r="484" spans="1:31" x14ac:dyDescent="0.3">
      <c r="A484" t="s">
        <v>653</v>
      </c>
      <c r="B484" s="4">
        <v>45540.600694444453</v>
      </c>
      <c r="C484" t="s">
        <v>63</v>
      </c>
      <c r="D484" t="s">
        <v>1141</v>
      </c>
      <c r="E484" t="s">
        <v>1239</v>
      </c>
      <c r="F484" t="str" cm="1">
        <f t="array" ref="F484">_xlfn.IFS(
E484="Ahmedabad","Gujarat",
E484="Bengaluru","Karnataka",
E484="Bhopal","Madhya Pradesh",
E484="Bhubaneswar","Odisha",
E484="Chandigarh","Chandigarh",
E484="Chennai","Tamil Nadu",
E484="Delhi","Delhi",
E484="Guwahati","Assam",
E484="Hyderabad","Telangana",
E484="Indore","Madhya Pradesh",
E484="Jaipur","Rajasthan",
E484="Kochi","Kerala",
E484="Kolkata","West Bengal",
E484="Lucknow","Uttar Pradesh",
E484="Mumbai","Maharashtra",
E484="Nagpur","Maharashtra",
E484="Patna","Bihar",
E484="Pune","Maharashtra",
E484="Raipur","Chhattisgarh",
E484="Surat","Gujarat",
TRUE,"Not Found"
)</f>
        <v>Odisha</v>
      </c>
      <c r="G484" t="s">
        <v>1143</v>
      </c>
      <c r="H484" t="s">
        <v>1163</v>
      </c>
      <c r="I484" t="s">
        <v>1266</v>
      </c>
      <c r="J484" t="s">
        <v>1267</v>
      </c>
      <c r="K484" t="s">
        <v>1268</v>
      </c>
      <c r="L484">
        <v>3</v>
      </c>
      <c r="M484">
        <v>86</v>
      </c>
      <c r="N484">
        <v>0</v>
      </c>
      <c r="O484">
        <v>86</v>
      </c>
      <c r="P484">
        <v>0.05</v>
      </c>
      <c r="Q484">
        <v>258</v>
      </c>
      <c r="R484">
        <v>12.9</v>
      </c>
      <c r="S484">
        <v>270.89999999999998</v>
      </c>
      <c r="T484">
        <f>ROUND(Table2[[#This Row],[TotalAmount]],0)</f>
        <v>271</v>
      </c>
      <c r="U484" t="s">
        <v>1363</v>
      </c>
      <c r="V484" t="s">
        <v>1361</v>
      </c>
      <c r="W484" s="4">
        <v>45542</v>
      </c>
      <c r="X484" s="4">
        <v>45547</v>
      </c>
      <c r="Y484" t="b">
        <v>0</v>
      </c>
      <c r="Z484" t="s">
        <v>1412</v>
      </c>
      <c r="AA484" t="s">
        <v>1412</v>
      </c>
      <c r="AB484" t="s">
        <v>1412</v>
      </c>
      <c r="AC484" t="s">
        <v>1398</v>
      </c>
      <c r="AD484" t="s">
        <v>1377</v>
      </c>
      <c r="AE484" t="s">
        <v>1389</v>
      </c>
    </row>
    <row r="485" spans="1:31" x14ac:dyDescent="0.3">
      <c r="A485" t="s">
        <v>654</v>
      </c>
      <c r="B485" s="4">
        <v>45679.511111111111</v>
      </c>
      <c r="C485" t="s">
        <v>325</v>
      </c>
      <c r="D485" t="s">
        <v>1153</v>
      </c>
      <c r="E485" t="s">
        <v>1154</v>
      </c>
      <c r="F485" t="str" cm="1">
        <f t="array" ref="F485">_xlfn.IFS(
E485="Ahmedabad","Gujarat",
E485="Bengaluru","Karnataka",
E485="Bhopal","Madhya Pradesh",
E485="Bhubaneswar","Odisha",
E485="Chandigarh","Chandigarh",
E485="Chennai","Tamil Nadu",
E485="Delhi","Delhi",
E485="Guwahati","Assam",
E485="Hyderabad","Telangana",
E485="Indore","Madhya Pradesh",
E485="Jaipur","Rajasthan",
E485="Kochi","Kerala",
E485="Kolkata","West Bengal",
E485="Lucknow","Uttar Pradesh",
E485="Mumbai","Maharashtra",
E485="Nagpur","Maharashtra",
E485="Patna","Bihar",
E485="Pune","Maharashtra",
E485="Raipur","Chhattisgarh",
E485="Surat","Gujarat",
TRUE,"Not Found"
)</f>
        <v>Maharashtra</v>
      </c>
      <c r="G485" t="s">
        <v>1150</v>
      </c>
      <c r="H485" t="s">
        <v>1167</v>
      </c>
      <c r="I485" t="s">
        <v>1211</v>
      </c>
      <c r="J485" t="s">
        <v>1212</v>
      </c>
      <c r="K485" t="s">
        <v>1213</v>
      </c>
      <c r="L485">
        <v>2</v>
      </c>
      <c r="M485">
        <v>59132</v>
      </c>
      <c r="N485">
        <v>0</v>
      </c>
      <c r="O485">
        <v>59132</v>
      </c>
      <c r="P485">
        <v>0.05</v>
      </c>
      <c r="Q485">
        <v>118264</v>
      </c>
      <c r="R485">
        <v>5913.2000000000007</v>
      </c>
      <c r="S485">
        <v>124177.2</v>
      </c>
      <c r="T485">
        <f>ROUND(Table2[[#This Row],[TotalAmount]],0)</f>
        <v>124177</v>
      </c>
      <c r="U485" t="s">
        <v>1365</v>
      </c>
      <c r="V485" t="s">
        <v>1361</v>
      </c>
      <c r="W485" s="4">
        <v>45680</v>
      </c>
      <c r="X485" s="4">
        <v>45683</v>
      </c>
      <c r="Y485" t="b">
        <v>0</v>
      </c>
      <c r="Z485" t="s">
        <v>1412</v>
      </c>
      <c r="AA485" t="s">
        <v>1412</v>
      </c>
      <c r="AB485" t="s">
        <v>1412</v>
      </c>
      <c r="AC485" t="s">
        <v>1392</v>
      </c>
      <c r="AD485" t="s">
        <v>1387</v>
      </c>
      <c r="AE485" t="s">
        <v>1393</v>
      </c>
    </row>
    <row r="486" spans="1:31" x14ac:dyDescent="0.3">
      <c r="A486" t="s">
        <v>655</v>
      </c>
      <c r="B486" s="4">
        <v>45735.511111111111</v>
      </c>
      <c r="C486" t="s">
        <v>57</v>
      </c>
      <c r="D486" t="s">
        <v>1153</v>
      </c>
      <c r="E486" t="s">
        <v>1176</v>
      </c>
      <c r="F486" t="str" cm="1">
        <f t="array" ref="F486">_xlfn.IFS(
E486="Ahmedabad","Gujarat",
E486="Bengaluru","Karnataka",
E486="Bhopal","Madhya Pradesh",
E486="Bhubaneswar","Odisha",
E486="Chandigarh","Chandigarh",
E486="Chennai","Tamil Nadu",
E486="Delhi","Delhi",
E486="Guwahati","Assam",
E486="Hyderabad","Telangana",
E486="Indore","Madhya Pradesh",
E486="Jaipur","Rajasthan",
E486="Kochi","Kerala",
E486="Kolkata","West Bengal",
E486="Lucknow","Uttar Pradesh",
E486="Mumbai","Maharashtra",
E486="Nagpur","Maharashtra",
E486="Patna","Bihar",
E486="Pune","Maharashtra",
E486="Raipur","Chhattisgarh",
E486="Surat","Gujarat",
TRUE,"Not Found"
)</f>
        <v>Chhattisgarh</v>
      </c>
      <c r="G486" t="s">
        <v>1150</v>
      </c>
      <c r="H486" t="s">
        <v>1167</v>
      </c>
      <c r="I486" t="s">
        <v>1211</v>
      </c>
      <c r="J486" t="s">
        <v>1212</v>
      </c>
      <c r="K486" t="s">
        <v>1213</v>
      </c>
      <c r="L486">
        <v>3</v>
      </c>
      <c r="M486">
        <v>39943</v>
      </c>
      <c r="N486">
        <v>0</v>
      </c>
      <c r="O486">
        <v>39943</v>
      </c>
      <c r="P486">
        <v>0.18</v>
      </c>
      <c r="Q486">
        <v>119829</v>
      </c>
      <c r="R486">
        <v>21569.22</v>
      </c>
      <c r="S486">
        <v>141398.22</v>
      </c>
      <c r="T486">
        <f>ROUND(Table2[[#This Row],[TotalAmount]],0)</f>
        <v>141398</v>
      </c>
      <c r="U486" t="s">
        <v>1365</v>
      </c>
      <c r="V486" t="s">
        <v>1361</v>
      </c>
      <c r="W486" s="4">
        <v>45737</v>
      </c>
      <c r="X486" s="4">
        <v>45741</v>
      </c>
      <c r="Y486" t="b">
        <v>0</v>
      </c>
      <c r="Z486" t="s">
        <v>1412</v>
      </c>
      <c r="AA486" t="s">
        <v>1412</v>
      </c>
      <c r="AB486" t="s">
        <v>1412</v>
      </c>
      <c r="AC486" t="s">
        <v>1382</v>
      </c>
      <c r="AD486" t="s">
        <v>1387</v>
      </c>
      <c r="AE486" t="s">
        <v>1383</v>
      </c>
    </row>
    <row r="487" spans="1:31" x14ac:dyDescent="0.3">
      <c r="A487" t="s">
        <v>656</v>
      </c>
      <c r="B487" s="4">
        <v>45586.577777777777</v>
      </c>
      <c r="C487" t="s">
        <v>227</v>
      </c>
      <c r="D487" t="s">
        <v>1153</v>
      </c>
      <c r="E487" t="s">
        <v>1154</v>
      </c>
      <c r="F487" t="str" cm="1">
        <f t="array" ref="F487">_xlfn.IFS(
E487="Ahmedabad","Gujarat",
E487="Bengaluru","Karnataka",
E487="Bhopal","Madhya Pradesh",
E487="Bhubaneswar","Odisha",
E487="Chandigarh","Chandigarh",
E487="Chennai","Tamil Nadu",
E487="Delhi","Delhi",
E487="Guwahati","Assam",
E487="Hyderabad","Telangana",
E487="Indore","Madhya Pradesh",
E487="Jaipur","Rajasthan",
E487="Kochi","Kerala",
E487="Kolkata","West Bengal",
E487="Lucknow","Uttar Pradesh",
E487="Mumbai","Maharashtra",
E487="Nagpur","Maharashtra",
E487="Patna","Bihar",
E487="Pune","Maharashtra",
E487="Raipur","Chhattisgarh",
E487="Surat","Gujarat",
TRUE,"Not Found"
)</f>
        <v>Maharashtra</v>
      </c>
      <c r="G487" t="s">
        <v>1150</v>
      </c>
      <c r="H487" t="s">
        <v>1163</v>
      </c>
      <c r="I487" t="s">
        <v>1224</v>
      </c>
      <c r="J487" t="s">
        <v>1243</v>
      </c>
      <c r="K487" t="s">
        <v>1244</v>
      </c>
      <c r="L487">
        <v>3</v>
      </c>
      <c r="M487">
        <v>359</v>
      </c>
      <c r="N487">
        <v>0</v>
      </c>
      <c r="O487">
        <v>359</v>
      </c>
      <c r="P487">
        <v>0.05</v>
      </c>
      <c r="Q487">
        <v>1077</v>
      </c>
      <c r="R487">
        <v>53.85</v>
      </c>
      <c r="S487">
        <v>1130.8499999999999</v>
      </c>
      <c r="T487">
        <f>ROUND(Table2[[#This Row],[TotalAmount]],0)</f>
        <v>1131</v>
      </c>
      <c r="U487" t="s">
        <v>1362</v>
      </c>
      <c r="V487" t="s">
        <v>1361</v>
      </c>
      <c r="W487" s="4">
        <v>45587</v>
      </c>
      <c r="X487" s="4">
        <v>45590</v>
      </c>
      <c r="Y487" t="b">
        <v>0</v>
      </c>
      <c r="Z487" t="s">
        <v>1412</v>
      </c>
      <c r="AA487" t="s">
        <v>1412</v>
      </c>
      <c r="AB487" t="s">
        <v>1412</v>
      </c>
      <c r="AC487" t="s">
        <v>1384</v>
      </c>
      <c r="AD487" t="s">
        <v>1394</v>
      </c>
      <c r="AE487" t="s">
        <v>1378</v>
      </c>
    </row>
    <row r="488" spans="1:31" x14ac:dyDescent="0.3">
      <c r="A488" t="s">
        <v>657</v>
      </c>
      <c r="B488" s="4">
        <v>45623.513888888891</v>
      </c>
      <c r="C488" t="s">
        <v>146</v>
      </c>
      <c r="D488" t="s">
        <v>1148</v>
      </c>
      <c r="E488" t="s">
        <v>1149</v>
      </c>
      <c r="F488" t="str" cm="1">
        <f t="array" ref="F488">_xlfn.IFS(
E488="Ahmedabad","Gujarat",
E488="Bengaluru","Karnataka",
E488="Bhopal","Madhya Pradesh",
E488="Bhubaneswar","Odisha",
E488="Chandigarh","Chandigarh",
E488="Chennai","Tamil Nadu",
E488="Delhi","Delhi",
E488="Guwahati","Assam",
E488="Hyderabad","Telangana",
E488="Indore","Madhya Pradesh",
E488="Jaipur","Rajasthan",
E488="Kochi","Kerala",
E488="Kolkata","West Bengal",
E488="Lucknow","Uttar Pradesh",
E488="Mumbai","Maharashtra",
E488="Nagpur","Maharashtra",
E488="Patna","Bihar",
E488="Pune","Maharashtra",
E488="Raipur","Chhattisgarh",
E488="Surat","Gujarat",
TRUE,"Not Found"
)</f>
        <v>Uttar Pradesh</v>
      </c>
      <c r="G488" t="s">
        <v>1143</v>
      </c>
      <c r="H488" t="s">
        <v>1177</v>
      </c>
      <c r="I488" t="s">
        <v>1309</v>
      </c>
      <c r="J488" t="s">
        <v>1332</v>
      </c>
      <c r="K488" t="s">
        <v>1333</v>
      </c>
      <c r="L488">
        <v>3</v>
      </c>
      <c r="M488">
        <v>624</v>
      </c>
      <c r="N488">
        <v>0.05</v>
      </c>
      <c r="O488">
        <v>592.79999999999995</v>
      </c>
      <c r="P488">
        <v>0.18</v>
      </c>
      <c r="Q488">
        <v>1778.4</v>
      </c>
      <c r="R488">
        <v>320.11200000000002</v>
      </c>
      <c r="S488">
        <v>2098.5120000000002</v>
      </c>
      <c r="T488">
        <f>ROUND(Table2[[#This Row],[TotalAmount]],0)</f>
        <v>2099</v>
      </c>
      <c r="U488" t="s">
        <v>1360</v>
      </c>
      <c r="V488" t="s">
        <v>1361</v>
      </c>
      <c r="W488" s="4">
        <v>45623</v>
      </c>
      <c r="X488" s="4">
        <v>45626</v>
      </c>
      <c r="Y488" t="b">
        <v>0</v>
      </c>
      <c r="Z488" t="s">
        <v>1412</v>
      </c>
      <c r="AA488" t="s">
        <v>1412</v>
      </c>
      <c r="AB488" t="s">
        <v>1412</v>
      </c>
      <c r="AC488" t="s">
        <v>1388</v>
      </c>
      <c r="AD488" t="s">
        <v>1397</v>
      </c>
      <c r="AE488" t="s">
        <v>1383</v>
      </c>
    </row>
    <row r="489" spans="1:31" x14ac:dyDescent="0.3">
      <c r="A489" t="s">
        <v>658</v>
      </c>
      <c r="B489" s="4">
        <v>45743.435416666667</v>
      </c>
      <c r="C489" t="s">
        <v>571</v>
      </c>
      <c r="D489" t="s">
        <v>1157</v>
      </c>
      <c r="E489" t="s">
        <v>1201</v>
      </c>
      <c r="F489" t="str" cm="1">
        <f t="array" ref="F489">_xlfn.IFS(
E489="Ahmedabad","Gujarat",
E489="Bengaluru","Karnataka",
E489="Bhopal","Madhya Pradesh",
E489="Bhubaneswar","Odisha",
E489="Chandigarh","Chandigarh",
E489="Chennai","Tamil Nadu",
E489="Delhi","Delhi",
E489="Guwahati","Assam",
E489="Hyderabad","Telangana",
E489="Indore","Madhya Pradesh",
E489="Jaipur","Rajasthan",
E489="Kochi","Kerala",
E489="Kolkata","West Bengal",
E489="Lucknow","Uttar Pradesh",
E489="Mumbai","Maharashtra",
E489="Nagpur","Maharashtra",
E489="Patna","Bihar",
E489="Pune","Maharashtra",
E489="Raipur","Chhattisgarh",
E489="Surat","Gujarat",
TRUE,"Not Found"
)</f>
        <v>Maharashtra</v>
      </c>
      <c r="G489" t="s">
        <v>1143</v>
      </c>
      <c r="H489" t="s">
        <v>1144</v>
      </c>
      <c r="I489" t="s">
        <v>1276</v>
      </c>
      <c r="J489" t="s">
        <v>1307</v>
      </c>
      <c r="K489" t="s">
        <v>1308</v>
      </c>
      <c r="L489">
        <v>2</v>
      </c>
      <c r="M489">
        <v>3949</v>
      </c>
      <c r="N489">
        <v>0</v>
      </c>
      <c r="O489">
        <v>3949</v>
      </c>
      <c r="P489">
        <v>0.12</v>
      </c>
      <c r="Q489">
        <v>7898</v>
      </c>
      <c r="R489">
        <v>947.76</v>
      </c>
      <c r="S489">
        <v>8845.76</v>
      </c>
      <c r="T489">
        <f>ROUND(Table2[[#This Row],[TotalAmount]],0)</f>
        <v>8846</v>
      </c>
      <c r="U489" t="s">
        <v>1362</v>
      </c>
      <c r="V489" t="s">
        <v>1361</v>
      </c>
      <c r="W489" s="4">
        <v>45745</v>
      </c>
      <c r="X489" s="4">
        <v>45749</v>
      </c>
      <c r="Y489" t="b">
        <v>0</v>
      </c>
      <c r="Z489" t="s">
        <v>1412</v>
      </c>
      <c r="AA489" t="s">
        <v>1412</v>
      </c>
      <c r="AB489" t="s">
        <v>1412</v>
      </c>
      <c r="AC489" t="s">
        <v>1388</v>
      </c>
      <c r="AD489" t="s">
        <v>1394</v>
      </c>
      <c r="AE489" t="s">
        <v>1393</v>
      </c>
    </row>
    <row r="490" spans="1:31" x14ac:dyDescent="0.3">
      <c r="A490" t="s">
        <v>659</v>
      </c>
      <c r="B490" s="4">
        <v>45387.604166666657</v>
      </c>
      <c r="C490" t="s">
        <v>137</v>
      </c>
      <c r="D490" t="s">
        <v>1182</v>
      </c>
      <c r="E490" t="s">
        <v>1183</v>
      </c>
      <c r="F490" t="str" cm="1">
        <f t="array" ref="F490">_xlfn.IFS(
E490="Ahmedabad","Gujarat",
E490="Bengaluru","Karnataka",
E490="Bhopal","Madhya Pradesh",
E490="Bhubaneswar","Odisha",
E490="Chandigarh","Chandigarh",
E490="Chennai","Tamil Nadu",
E490="Delhi","Delhi",
E490="Guwahati","Assam",
E490="Hyderabad","Telangana",
E490="Indore","Madhya Pradesh",
E490="Jaipur","Rajasthan",
E490="Kochi","Kerala",
E490="Kolkata","West Bengal",
E490="Lucknow","Uttar Pradesh",
E490="Mumbai","Maharashtra",
E490="Nagpur","Maharashtra",
E490="Patna","Bihar",
E490="Pune","Maharashtra",
E490="Raipur","Chhattisgarh",
E490="Surat","Gujarat",
TRUE,"Not Found"
)</f>
        <v>Telangana</v>
      </c>
      <c r="G490" t="s">
        <v>1143</v>
      </c>
      <c r="H490" t="s">
        <v>1177</v>
      </c>
      <c r="I490" t="s">
        <v>1236</v>
      </c>
      <c r="J490" t="s">
        <v>1254</v>
      </c>
      <c r="K490" t="s">
        <v>1255</v>
      </c>
      <c r="L490">
        <v>1</v>
      </c>
      <c r="M490">
        <v>715</v>
      </c>
      <c r="N490">
        <v>0.05</v>
      </c>
      <c r="O490">
        <v>679.25</v>
      </c>
      <c r="P490">
        <v>0.12</v>
      </c>
      <c r="Q490">
        <v>679.25</v>
      </c>
      <c r="R490">
        <v>81.509999999999991</v>
      </c>
      <c r="S490">
        <v>760.76</v>
      </c>
      <c r="T490">
        <f>ROUND(Table2[[#This Row],[TotalAmount]],0)</f>
        <v>761</v>
      </c>
      <c r="U490" t="s">
        <v>1360</v>
      </c>
      <c r="V490" t="s">
        <v>1361</v>
      </c>
      <c r="W490" s="4">
        <v>45387</v>
      </c>
      <c r="X490" s="4">
        <v>45388</v>
      </c>
      <c r="Y490" t="b">
        <v>0</v>
      </c>
      <c r="Z490" t="s">
        <v>1412</v>
      </c>
      <c r="AA490" t="s">
        <v>1412</v>
      </c>
      <c r="AB490" t="s">
        <v>1412</v>
      </c>
      <c r="AC490" t="s">
        <v>1388</v>
      </c>
      <c r="AD490" t="s">
        <v>1399</v>
      </c>
      <c r="AE490" t="s">
        <v>1380</v>
      </c>
    </row>
    <row r="491" spans="1:31" x14ac:dyDescent="0.3">
      <c r="A491" t="s">
        <v>660</v>
      </c>
      <c r="B491" s="4">
        <v>45478.604166666657</v>
      </c>
      <c r="C491" t="s">
        <v>65</v>
      </c>
      <c r="D491" t="s">
        <v>1141</v>
      </c>
      <c r="E491" t="s">
        <v>1142</v>
      </c>
      <c r="F491" t="str" cm="1">
        <f t="array" ref="F491">_xlfn.IFS(
E491="Ahmedabad","Gujarat",
E491="Bengaluru","Karnataka",
E491="Bhopal","Madhya Pradesh",
E491="Bhubaneswar","Odisha",
E491="Chandigarh","Chandigarh",
E491="Chennai","Tamil Nadu",
E491="Delhi","Delhi",
E491="Guwahati","Assam",
E491="Hyderabad","Telangana",
E491="Indore","Madhya Pradesh",
E491="Jaipur","Rajasthan",
E491="Kochi","Kerala",
E491="Kolkata","West Bengal",
E491="Lucknow","Uttar Pradesh",
E491="Mumbai","Maharashtra",
E491="Nagpur","Maharashtra",
E491="Patna","Bihar",
E491="Pune","Maharashtra",
E491="Raipur","Chhattisgarh",
E491="Surat","Gujarat",
TRUE,"Not Found"
)</f>
        <v>West Bengal</v>
      </c>
      <c r="G491" t="s">
        <v>1150</v>
      </c>
      <c r="H491" t="s">
        <v>1144</v>
      </c>
      <c r="I491" t="s">
        <v>1145</v>
      </c>
      <c r="J491" t="s">
        <v>1155</v>
      </c>
      <c r="K491" t="s">
        <v>1156</v>
      </c>
      <c r="L491">
        <v>2</v>
      </c>
      <c r="M491">
        <v>12770</v>
      </c>
      <c r="N491">
        <v>0</v>
      </c>
      <c r="O491">
        <v>12770</v>
      </c>
      <c r="P491">
        <v>0.05</v>
      </c>
      <c r="Q491">
        <v>25540</v>
      </c>
      <c r="R491">
        <v>1277</v>
      </c>
      <c r="S491">
        <v>26817</v>
      </c>
      <c r="T491">
        <f>ROUND(Table2[[#This Row],[TotalAmount]],0)</f>
        <v>26817</v>
      </c>
      <c r="U491" t="s">
        <v>1365</v>
      </c>
      <c r="V491" t="s">
        <v>1361</v>
      </c>
      <c r="W491" s="4">
        <v>45480</v>
      </c>
      <c r="X491" s="4">
        <v>45481</v>
      </c>
      <c r="Y491" t="b">
        <v>0</v>
      </c>
      <c r="Z491" t="s">
        <v>1412</v>
      </c>
      <c r="AA491" t="s">
        <v>1412</v>
      </c>
      <c r="AB491" t="s">
        <v>1412</v>
      </c>
      <c r="AC491" t="s">
        <v>1388</v>
      </c>
      <c r="AD491" t="s">
        <v>1387</v>
      </c>
      <c r="AE491" t="s">
        <v>1383</v>
      </c>
    </row>
    <row r="492" spans="1:31" x14ac:dyDescent="0.3">
      <c r="A492" t="s">
        <v>661</v>
      </c>
      <c r="B492" s="4">
        <v>45754.489583333343</v>
      </c>
      <c r="C492" t="s">
        <v>330</v>
      </c>
      <c r="D492" t="s">
        <v>1153</v>
      </c>
      <c r="E492" t="s">
        <v>1162</v>
      </c>
      <c r="F492" t="str" cm="1">
        <f t="array" ref="F492">_xlfn.IFS(
E492="Ahmedabad","Gujarat",
E492="Bengaluru","Karnataka",
E492="Bhopal","Madhya Pradesh",
E492="Bhubaneswar","Odisha",
E492="Chandigarh","Chandigarh",
E492="Chennai","Tamil Nadu",
E492="Delhi","Delhi",
E492="Guwahati","Assam",
E492="Hyderabad","Telangana",
E492="Indore","Madhya Pradesh",
E492="Jaipur","Rajasthan",
E492="Kochi","Kerala",
E492="Kolkata","West Bengal",
E492="Lucknow","Uttar Pradesh",
E492="Mumbai","Maharashtra",
E492="Nagpur","Maharashtra",
E492="Patna","Bihar",
E492="Pune","Maharashtra",
E492="Raipur","Chhattisgarh",
E492="Surat","Gujarat",
TRUE,"Not Found"
)</f>
        <v>Madhya Pradesh</v>
      </c>
      <c r="G492" t="s">
        <v>1150</v>
      </c>
      <c r="H492" t="s">
        <v>1167</v>
      </c>
      <c r="I492" t="s">
        <v>1168</v>
      </c>
      <c r="J492" t="s">
        <v>1312</v>
      </c>
      <c r="K492" t="s">
        <v>1313</v>
      </c>
      <c r="L492">
        <v>2</v>
      </c>
      <c r="M492">
        <v>36611</v>
      </c>
      <c r="N492">
        <v>0</v>
      </c>
      <c r="O492">
        <v>36611</v>
      </c>
      <c r="P492">
        <v>0.18</v>
      </c>
      <c r="Q492">
        <v>73222</v>
      </c>
      <c r="R492">
        <v>13179.96</v>
      </c>
      <c r="S492">
        <v>86401.959999999992</v>
      </c>
      <c r="T492">
        <f>ROUND(Table2[[#This Row],[TotalAmount]],0)</f>
        <v>86402</v>
      </c>
      <c r="U492" t="s">
        <v>1360</v>
      </c>
      <c r="V492" t="s">
        <v>1361</v>
      </c>
      <c r="W492" s="4">
        <v>45755</v>
      </c>
      <c r="X492" s="4">
        <v>45758</v>
      </c>
      <c r="Y492" t="b">
        <v>0</v>
      </c>
      <c r="Z492" t="s">
        <v>1412</v>
      </c>
      <c r="AA492" t="s">
        <v>1412</v>
      </c>
      <c r="AB492" t="s">
        <v>1412</v>
      </c>
      <c r="AC492" t="s">
        <v>1392</v>
      </c>
      <c r="AD492" t="s">
        <v>1400</v>
      </c>
      <c r="AE492" t="s">
        <v>1378</v>
      </c>
    </row>
    <row r="493" spans="1:31" x14ac:dyDescent="0.3">
      <c r="A493" t="s">
        <v>662</v>
      </c>
      <c r="B493" s="4">
        <v>45336.537499999999</v>
      </c>
      <c r="C493" t="s">
        <v>519</v>
      </c>
      <c r="D493" t="s">
        <v>1182</v>
      </c>
      <c r="E493" t="s">
        <v>1257</v>
      </c>
      <c r="F493" t="str" cm="1">
        <f t="array" ref="F493">_xlfn.IFS(
E493="Ahmedabad","Gujarat",
E493="Bengaluru","Karnataka",
E493="Bhopal","Madhya Pradesh",
E493="Bhubaneswar","Odisha",
E493="Chandigarh","Chandigarh",
E493="Chennai","Tamil Nadu",
E493="Delhi","Delhi",
E493="Guwahati","Assam",
E493="Hyderabad","Telangana",
E493="Indore","Madhya Pradesh",
E493="Jaipur","Rajasthan",
E493="Kochi","Kerala",
E493="Kolkata","West Bengal",
E493="Lucknow","Uttar Pradesh",
E493="Mumbai","Maharashtra",
E493="Nagpur","Maharashtra",
E493="Patna","Bihar",
E493="Pune","Maharashtra",
E493="Raipur","Chhattisgarh",
E493="Surat","Gujarat",
TRUE,"Not Found"
)</f>
        <v>Kerala</v>
      </c>
      <c r="G493" t="s">
        <v>1150</v>
      </c>
      <c r="H493" t="s">
        <v>1167</v>
      </c>
      <c r="I493" t="s">
        <v>1211</v>
      </c>
      <c r="J493" t="s">
        <v>1299</v>
      </c>
      <c r="K493" t="s">
        <v>1300</v>
      </c>
      <c r="L493">
        <v>3</v>
      </c>
      <c r="M493">
        <v>22583</v>
      </c>
      <c r="N493">
        <v>0</v>
      </c>
      <c r="O493">
        <v>22583</v>
      </c>
      <c r="P493">
        <v>0.05</v>
      </c>
      <c r="Q493">
        <v>67749</v>
      </c>
      <c r="R493">
        <v>3387.45</v>
      </c>
      <c r="S493">
        <v>71136.45</v>
      </c>
      <c r="T493">
        <f>ROUND(Table2[[#This Row],[TotalAmount]],0)</f>
        <v>71136</v>
      </c>
      <c r="U493" t="s">
        <v>1360</v>
      </c>
      <c r="V493" t="s">
        <v>1367</v>
      </c>
      <c r="W493" s="4">
        <v>45337</v>
      </c>
      <c r="X493" s="4" t="s">
        <v>1412</v>
      </c>
      <c r="Y493" t="b">
        <v>0</v>
      </c>
      <c r="Z493" t="s">
        <v>1412</v>
      </c>
      <c r="AA493" t="s">
        <v>1412</v>
      </c>
      <c r="AB493" t="s">
        <v>1412</v>
      </c>
      <c r="AC493" t="s">
        <v>1376</v>
      </c>
      <c r="AD493" t="s">
        <v>1387</v>
      </c>
      <c r="AE493" t="s">
        <v>1395</v>
      </c>
    </row>
    <row r="494" spans="1:31" x14ac:dyDescent="0.3">
      <c r="A494" t="s">
        <v>663</v>
      </c>
      <c r="B494" s="4">
        <v>45616.586111111108</v>
      </c>
      <c r="C494" t="s">
        <v>83</v>
      </c>
      <c r="D494" t="s">
        <v>1141</v>
      </c>
      <c r="E494" t="s">
        <v>1239</v>
      </c>
      <c r="F494" t="str" cm="1">
        <f t="array" ref="F494">_xlfn.IFS(
E494="Ahmedabad","Gujarat",
E494="Bengaluru","Karnataka",
E494="Bhopal","Madhya Pradesh",
E494="Bhubaneswar","Odisha",
E494="Chandigarh","Chandigarh",
E494="Chennai","Tamil Nadu",
E494="Delhi","Delhi",
E494="Guwahati","Assam",
E494="Hyderabad","Telangana",
E494="Indore","Madhya Pradesh",
E494="Jaipur","Rajasthan",
E494="Kochi","Kerala",
E494="Kolkata","West Bengal",
E494="Lucknow","Uttar Pradesh",
E494="Mumbai","Maharashtra",
E494="Nagpur","Maharashtra",
E494="Patna","Bihar",
E494="Pune","Maharashtra",
E494="Raipur","Chhattisgarh",
E494="Surat","Gujarat",
TRUE,"Not Found"
)</f>
        <v>Odisha</v>
      </c>
      <c r="G494" t="s">
        <v>1143</v>
      </c>
      <c r="H494" t="s">
        <v>1177</v>
      </c>
      <c r="I494" t="s">
        <v>1192</v>
      </c>
      <c r="J494" t="s">
        <v>1344</v>
      </c>
      <c r="K494" t="s">
        <v>1345</v>
      </c>
      <c r="L494">
        <v>3</v>
      </c>
      <c r="M494">
        <v>1269</v>
      </c>
      <c r="N494">
        <v>0.1</v>
      </c>
      <c r="O494">
        <v>1142.0999999999999</v>
      </c>
      <c r="P494">
        <v>0.05</v>
      </c>
      <c r="Q494">
        <v>3426.3</v>
      </c>
      <c r="R494">
        <v>171.315</v>
      </c>
      <c r="S494">
        <v>3597.6149999999998</v>
      </c>
      <c r="T494">
        <f>ROUND(Table2[[#This Row],[TotalAmount]],0)</f>
        <v>3598</v>
      </c>
      <c r="U494" t="s">
        <v>1363</v>
      </c>
      <c r="V494" t="s">
        <v>1361</v>
      </c>
      <c r="W494" s="4">
        <v>45617</v>
      </c>
      <c r="X494" s="4">
        <v>45620</v>
      </c>
      <c r="Y494" t="b">
        <v>0</v>
      </c>
      <c r="Z494" t="s">
        <v>1412</v>
      </c>
      <c r="AA494" t="s">
        <v>1412</v>
      </c>
      <c r="AB494" t="s">
        <v>1412</v>
      </c>
      <c r="AC494" t="s">
        <v>1384</v>
      </c>
      <c r="AD494" t="s">
        <v>1377</v>
      </c>
      <c r="AE494" t="s">
        <v>1383</v>
      </c>
    </row>
    <row r="495" spans="1:31" x14ac:dyDescent="0.3">
      <c r="A495" t="s">
        <v>664</v>
      </c>
      <c r="B495" s="4">
        <v>45454.55</v>
      </c>
      <c r="C495" t="s">
        <v>24</v>
      </c>
      <c r="D495" t="s">
        <v>1153</v>
      </c>
      <c r="E495" t="s">
        <v>1154</v>
      </c>
      <c r="F495" t="str" cm="1">
        <f t="array" ref="F495">_xlfn.IFS(
E495="Ahmedabad","Gujarat",
E495="Bengaluru","Karnataka",
E495="Bhopal","Madhya Pradesh",
E495="Bhubaneswar","Odisha",
E495="Chandigarh","Chandigarh",
E495="Chennai","Tamil Nadu",
E495="Delhi","Delhi",
E495="Guwahati","Assam",
E495="Hyderabad","Telangana",
E495="Indore","Madhya Pradesh",
E495="Jaipur","Rajasthan",
E495="Kochi","Kerala",
E495="Kolkata","West Bengal",
E495="Lucknow","Uttar Pradesh",
E495="Mumbai","Maharashtra",
E495="Nagpur","Maharashtra",
E495="Patna","Bihar",
E495="Pune","Maharashtra",
E495="Raipur","Chhattisgarh",
E495="Surat","Gujarat",
TRUE,"Not Found"
)</f>
        <v>Maharashtra</v>
      </c>
      <c r="G495" t="s">
        <v>1143</v>
      </c>
      <c r="H495" t="s">
        <v>1177</v>
      </c>
      <c r="I495" t="s">
        <v>1195</v>
      </c>
      <c r="J495" t="s">
        <v>1196</v>
      </c>
      <c r="K495" t="s">
        <v>1197</v>
      </c>
      <c r="L495">
        <v>2</v>
      </c>
      <c r="M495">
        <v>1180</v>
      </c>
      <c r="N495">
        <v>0.1</v>
      </c>
      <c r="O495">
        <v>1062</v>
      </c>
      <c r="P495">
        <v>0.12</v>
      </c>
      <c r="Q495">
        <v>2124</v>
      </c>
      <c r="R495">
        <v>254.88</v>
      </c>
      <c r="S495">
        <v>2378.88</v>
      </c>
      <c r="T495">
        <f>ROUND(Table2[[#This Row],[TotalAmount]],0)</f>
        <v>2379</v>
      </c>
      <c r="U495" t="s">
        <v>1363</v>
      </c>
      <c r="V495" t="s">
        <v>1369</v>
      </c>
      <c r="W495" s="4" t="s">
        <v>1412</v>
      </c>
      <c r="X495" s="4" t="s">
        <v>1412</v>
      </c>
      <c r="Y495" t="b">
        <v>0</v>
      </c>
      <c r="Z495" t="s">
        <v>1412</v>
      </c>
      <c r="AA495" t="s">
        <v>1412</v>
      </c>
      <c r="AB495" t="s">
        <v>1412</v>
      </c>
      <c r="AC495" t="s">
        <v>1396</v>
      </c>
      <c r="AD495" t="s">
        <v>1400</v>
      </c>
      <c r="AE495" t="s">
        <v>1395</v>
      </c>
    </row>
    <row r="496" spans="1:31" x14ac:dyDescent="0.3">
      <c r="A496" t="s">
        <v>665</v>
      </c>
      <c r="B496" s="4">
        <v>45578.427083333343</v>
      </c>
      <c r="C496" t="s">
        <v>247</v>
      </c>
      <c r="D496" t="s">
        <v>1141</v>
      </c>
      <c r="E496" t="s">
        <v>1227</v>
      </c>
      <c r="F496" t="str" cm="1">
        <f t="array" ref="F496">_xlfn.IFS(
E496="Ahmedabad","Gujarat",
E496="Bengaluru","Karnataka",
E496="Bhopal","Madhya Pradesh",
E496="Bhubaneswar","Odisha",
E496="Chandigarh","Chandigarh",
E496="Chennai","Tamil Nadu",
E496="Delhi","Delhi",
E496="Guwahati","Assam",
E496="Hyderabad","Telangana",
E496="Indore","Madhya Pradesh",
E496="Jaipur","Rajasthan",
E496="Kochi","Kerala",
E496="Kolkata","West Bengal",
E496="Lucknow","Uttar Pradesh",
E496="Mumbai","Maharashtra",
E496="Nagpur","Maharashtra",
E496="Patna","Bihar",
E496="Pune","Maharashtra",
E496="Raipur","Chhattisgarh",
E496="Surat","Gujarat",
TRUE,"Not Found"
)</f>
        <v>Bihar</v>
      </c>
      <c r="G496" t="s">
        <v>1143</v>
      </c>
      <c r="H496" t="s">
        <v>1144</v>
      </c>
      <c r="I496" t="s">
        <v>1276</v>
      </c>
      <c r="J496" t="s">
        <v>1277</v>
      </c>
      <c r="K496" t="s">
        <v>1278</v>
      </c>
      <c r="L496">
        <v>2</v>
      </c>
      <c r="M496">
        <v>4042</v>
      </c>
      <c r="N496">
        <v>0</v>
      </c>
      <c r="O496">
        <v>4042</v>
      </c>
      <c r="P496">
        <v>0.05</v>
      </c>
      <c r="Q496">
        <v>8084</v>
      </c>
      <c r="R496">
        <v>404.2</v>
      </c>
      <c r="S496">
        <v>8488.2000000000007</v>
      </c>
      <c r="T496">
        <f>ROUND(Table2[[#This Row],[TotalAmount]],0)</f>
        <v>8488</v>
      </c>
      <c r="U496" t="s">
        <v>1365</v>
      </c>
      <c r="V496" t="s">
        <v>1361</v>
      </c>
      <c r="W496" s="4">
        <v>45580</v>
      </c>
      <c r="X496" s="4">
        <v>45583</v>
      </c>
      <c r="Y496" t="b">
        <v>0</v>
      </c>
      <c r="Z496" t="s">
        <v>1412</v>
      </c>
      <c r="AA496" t="s">
        <v>1412</v>
      </c>
      <c r="AB496" t="s">
        <v>1412</v>
      </c>
      <c r="AC496" t="s">
        <v>1379</v>
      </c>
      <c r="AD496" t="s">
        <v>1377</v>
      </c>
      <c r="AE496" t="s">
        <v>1395</v>
      </c>
    </row>
    <row r="497" spans="1:31" x14ac:dyDescent="0.3">
      <c r="A497" t="s">
        <v>666</v>
      </c>
      <c r="B497" s="4">
        <v>45559.515277777777</v>
      </c>
      <c r="C497" t="s">
        <v>318</v>
      </c>
      <c r="D497" t="s">
        <v>1153</v>
      </c>
      <c r="E497" t="s">
        <v>1176</v>
      </c>
      <c r="F497" t="str" cm="1">
        <f t="array" ref="F497">_xlfn.IFS(
E497="Ahmedabad","Gujarat",
E497="Bengaluru","Karnataka",
E497="Bhopal","Madhya Pradesh",
E497="Bhubaneswar","Odisha",
E497="Chandigarh","Chandigarh",
E497="Chennai","Tamil Nadu",
E497="Delhi","Delhi",
E497="Guwahati","Assam",
E497="Hyderabad","Telangana",
E497="Indore","Madhya Pradesh",
E497="Jaipur","Rajasthan",
E497="Kochi","Kerala",
E497="Kolkata","West Bengal",
E497="Lucknow","Uttar Pradesh",
E497="Mumbai","Maharashtra",
E497="Nagpur","Maharashtra",
E497="Patna","Bihar",
E497="Pune","Maharashtra",
E497="Raipur","Chhattisgarh",
E497="Surat","Gujarat",
TRUE,"Not Found"
)</f>
        <v>Chhattisgarh</v>
      </c>
      <c r="G497" t="s">
        <v>1143</v>
      </c>
      <c r="H497" t="s">
        <v>1163</v>
      </c>
      <c r="I497" t="s">
        <v>1184</v>
      </c>
      <c r="J497" t="s">
        <v>1185</v>
      </c>
      <c r="K497" t="s">
        <v>1186</v>
      </c>
      <c r="L497">
        <v>1</v>
      </c>
      <c r="M497">
        <v>777</v>
      </c>
      <c r="N497">
        <v>0.05</v>
      </c>
      <c r="O497">
        <v>738.15</v>
      </c>
      <c r="P497">
        <v>0.18</v>
      </c>
      <c r="Q497">
        <v>738.15</v>
      </c>
      <c r="R497">
        <v>132.86699999999999</v>
      </c>
      <c r="S497">
        <v>871.01699999999994</v>
      </c>
      <c r="T497">
        <f>ROUND(Table2[[#This Row],[TotalAmount]],0)</f>
        <v>871</v>
      </c>
      <c r="U497" t="s">
        <v>1360</v>
      </c>
      <c r="V497" t="s">
        <v>1369</v>
      </c>
      <c r="W497" s="4" t="s">
        <v>1412</v>
      </c>
      <c r="X497" s="4" t="s">
        <v>1412</v>
      </c>
      <c r="Y497" t="b">
        <v>0</v>
      </c>
      <c r="Z497" t="s">
        <v>1412</v>
      </c>
      <c r="AA497" t="s">
        <v>1412</v>
      </c>
      <c r="AB497" t="s">
        <v>1412</v>
      </c>
      <c r="AC497" t="s">
        <v>1386</v>
      </c>
      <c r="AD497" t="s">
        <v>1377</v>
      </c>
      <c r="AE497" t="s">
        <v>1391</v>
      </c>
    </row>
    <row r="498" spans="1:31" x14ac:dyDescent="0.3">
      <c r="A498" t="s">
        <v>667</v>
      </c>
      <c r="B498" s="4">
        <v>45715.561111111107</v>
      </c>
      <c r="C498" t="s">
        <v>24</v>
      </c>
      <c r="D498" t="s">
        <v>1153</v>
      </c>
      <c r="E498" t="s">
        <v>1154</v>
      </c>
      <c r="F498" t="str" cm="1">
        <f t="array" ref="F498">_xlfn.IFS(
E498="Ahmedabad","Gujarat",
E498="Bengaluru","Karnataka",
E498="Bhopal","Madhya Pradesh",
E498="Bhubaneswar","Odisha",
E498="Chandigarh","Chandigarh",
E498="Chennai","Tamil Nadu",
E498="Delhi","Delhi",
E498="Guwahati","Assam",
E498="Hyderabad","Telangana",
E498="Indore","Madhya Pradesh",
E498="Jaipur","Rajasthan",
E498="Kochi","Kerala",
E498="Kolkata","West Bengal",
E498="Lucknow","Uttar Pradesh",
E498="Mumbai","Maharashtra",
E498="Nagpur","Maharashtra",
E498="Patna","Bihar",
E498="Pune","Maharashtra",
E498="Raipur","Chhattisgarh",
E498="Surat","Gujarat",
TRUE,"Not Found"
)</f>
        <v>Maharashtra</v>
      </c>
      <c r="G498" t="s">
        <v>1228</v>
      </c>
      <c r="H498" t="s">
        <v>1163</v>
      </c>
      <c r="I498" t="s">
        <v>1266</v>
      </c>
      <c r="J498" t="s">
        <v>1348</v>
      </c>
      <c r="K498" t="s">
        <v>1349</v>
      </c>
      <c r="L498">
        <v>1</v>
      </c>
      <c r="M498">
        <v>534</v>
      </c>
      <c r="N498">
        <v>0</v>
      </c>
      <c r="O498">
        <v>534</v>
      </c>
      <c r="P498">
        <v>0.12</v>
      </c>
      <c r="Q498">
        <v>534</v>
      </c>
      <c r="R498">
        <v>64.08</v>
      </c>
      <c r="S498">
        <v>598.08000000000004</v>
      </c>
      <c r="T498">
        <f>ROUND(Table2[[#This Row],[TotalAmount]],0)</f>
        <v>598</v>
      </c>
      <c r="U498" t="s">
        <v>1366</v>
      </c>
      <c r="V498" t="s">
        <v>1361</v>
      </c>
      <c r="W498" s="4">
        <v>45716</v>
      </c>
      <c r="X498" s="4">
        <v>45719</v>
      </c>
      <c r="Y498" t="b">
        <v>0</v>
      </c>
      <c r="Z498" t="s">
        <v>1412</v>
      </c>
      <c r="AA498" t="s">
        <v>1412</v>
      </c>
      <c r="AB498" t="s">
        <v>1412</v>
      </c>
      <c r="AC498" t="s">
        <v>1390</v>
      </c>
      <c r="AD498" t="s">
        <v>1400</v>
      </c>
      <c r="AE498" t="s">
        <v>1395</v>
      </c>
    </row>
    <row r="499" spans="1:31" x14ac:dyDescent="0.3">
      <c r="A499" t="s">
        <v>668</v>
      </c>
      <c r="B499" s="4">
        <v>45675.658333333333</v>
      </c>
      <c r="C499" t="s">
        <v>669</v>
      </c>
      <c r="D499" t="s">
        <v>1157</v>
      </c>
      <c r="E499" t="s">
        <v>1181</v>
      </c>
      <c r="F499" t="str" cm="1">
        <f t="array" ref="F499">_xlfn.IFS(
E499="Ahmedabad","Gujarat",
E499="Bengaluru","Karnataka",
E499="Bhopal","Madhya Pradesh",
E499="Bhubaneswar","Odisha",
E499="Chandigarh","Chandigarh",
E499="Chennai","Tamil Nadu",
E499="Delhi","Delhi",
E499="Guwahati","Assam",
E499="Hyderabad","Telangana",
E499="Indore","Madhya Pradesh",
E499="Jaipur","Rajasthan",
E499="Kochi","Kerala",
E499="Kolkata","West Bengal",
E499="Lucknow","Uttar Pradesh",
E499="Mumbai","Maharashtra",
E499="Nagpur","Maharashtra",
E499="Patna","Bihar",
E499="Pune","Maharashtra",
E499="Raipur","Chhattisgarh",
E499="Surat","Gujarat",
TRUE,"Not Found"
)</f>
        <v>Gujarat</v>
      </c>
      <c r="G499" t="s">
        <v>1143</v>
      </c>
      <c r="H499" t="s">
        <v>1144</v>
      </c>
      <c r="I499" t="s">
        <v>1276</v>
      </c>
      <c r="J499" t="s">
        <v>1277</v>
      </c>
      <c r="K499" t="s">
        <v>1278</v>
      </c>
      <c r="L499">
        <v>2</v>
      </c>
      <c r="M499">
        <v>13524</v>
      </c>
      <c r="N499">
        <v>0.15</v>
      </c>
      <c r="O499">
        <v>11495.4</v>
      </c>
      <c r="P499">
        <v>0.05</v>
      </c>
      <c r="Q499">
        <v>22990.799999999999</v>
      </c>
      <c r="R499">
        <v>1149.54</v>
      </c>
      <c r="S499">
        <v>24140.34</v>
      </c>
      <c r="T499">
        <f>ROUND(Table2[[#This Row],[TotalAmount]],0)</f>
        <v>24140</v>
      </c>
      <c r="U499" t="s">
        <v>1363</v>
      </c>
      <c r="V499" t="s">
        <v>1361</v>
      </c>
      <c r="W499" s="4">
        <v>45675</v>
      </c>
      <c r="X499" s="4">
        <v>45676</v>
      </c>
      <c r="Y499" t="b">
        <v>0</v>
      </c>
      <c r="Z499" t="s">
        <v>1412</v>
      </c>
      <c r="AA499" t="s">
        <v>1412</v>
      </c>
      <c r="AB499" t="s">
        <v>1412</v>
      </c>
      <c r="AC499" t="s">
        <v>1392</v>
      </c>
      <c r="AD499" t="s">
        <v>1394</v>
      </c>
      <c r="AE499" t="s">
        <v>1391</v>
      </c>
    </row>
    <row r="500" spans="1:31" x14ac:dyDescent="0.3">
      <c r="A500" t="s">
        <v>670</v>
      </c>
      <c r="B500" s="4">
        <v>45699.636111111111</v>
      </c>
      <c r="C500" t="s">
        <v>223</v>
      </c>
      <c r="D500" t="s">
        <v>1148</v>
      </c>
      <c r="E500" t="s">
        <v>1149</v>
      </c>
      <c r="F500" t="str" cm="1">
        <f t="array" ref="F500">_xlfn.IFS(
E500="Ahmedabad","Gujarat",
E500="Bengaluru","Karnataka",
E500="Bhopal","Madhya Pradesh",
E500="Bhubaneswar","Odisha",
E500="Chandigarh","Chandigarh",
E500="Chennai","Tamil Nadu",
E500="Delhi","Delhi",
E500="Guwahati","Assam",
E500="Hyderabad","Telangana",
E500="Indore","Madhya Pradesh",
E500="Jaipur","Rajasthan",
E500="Kochi","Kerala",
E500="Kolkata","West Bengal",
E500="Lucknow","Uttar Pradesh",
E500="Mumbai","Maharashtra",
E500="Nagpur","Maharashtra",
E500="Patna","Bihar",
E500="Pune","Maharashtra",
E500="Raipur","Chhattisgarh",
E500="Surat","Gujarat",
TRUE,"Not Found"
)</f>
        <v>Uttar Pradesh</v>
      </c>
      <c r="G500" t="s">
        <v>1150</v>
      </c>
      <c r="H500" t="s">
        <v>1163</v>
      </c>
      <c r="I500" t="s">
        <v>1240</v>
      </c>
      <c r="J500" t="s">
        <v>1241</v>
      </c>
      <c r="K500" t="s">
        <v>1242</v>
      </c>
      <c r="L500">
        <v>2</v>
      </c>
      <c r="M500">
        <v>558</v>
      </c>
      <c r="N500">
        <v>0.1</v>
      </c>
      <c r="O500">
        <v>502.2</v>
      </c>
      <c r="P500">
        <v>0.12</v>
      </c>
      <c r="Q500">
        <v>1004.4</v>
      </c>
      <c r="R500">
        <v>120.52800000000001</v>
      </c>
      <c r="S500">
        <v>1124.9280000000001</v>
      </c>
      <c r="T500">
        <f>ROUND(Table2[[#This Row],[TotalAmount]],0)</f>
        <v>1125</v>
      </c>
      <c r="U500" t="s">
        <v>1365</v>
      </c>
      <c r="V500" t="s">
        <v>1361</v>
      </c>
      <c r="W500" s="4">
        <v>45700</v>
      </c>
      <c r="X500" s="4">
        <v>45703</v>
      </c>
      <c r="Y500" t="b">
        <v>0</v>
      </c>
      <c r="Z500" t="s">
        <v>1412</v>
      </c>
      <c r="AA500" t="s">
        <v>1412</v>
      </c>
      <c r="AB500" t="s">
        <v>1412</v>
      </c>
      <c r="AC500" t="s">
        <v>1384</v>
      </c>
      <c r="AD500" t="s">
        <v>1394</v>
      </c>
      <c r="AE500" t="s">
        <v>1383</v>
      </c>
    </row>
    <row r="501" spans="1:31" x14ac:dyDescent="0.3">
      <c r="A501" t="s">
        <v>671</v>
      </c>
      <c r="B501" s="4">
        <v>45557.436111111107</v>
      </c>
      <c r="C501" t="s">
        <v>91</v>
      </c>
      <c r="D501" t="s">
        <v>1182</v>
      </c>
      <c r="E501" t="s">
        <v>1207</v>
      </c>
      <c r="F501" t="str" cm="1">
        <f t="array" ref="F501">_xlfn.IFS(
E501="Ahmedabad","Gujarat",
E501="Bengaluru","Karnataka",
E501="Bhopal","Madhya Pradesh",
E501="Bhubaneswar","Odisha",
E501="Chandigarh","Chandigarh",
E501="Chennai","Tamil Nadu",
E501="Delhi","Delhi",
E501="Guwahati","Assam",
E501="Hyderabad","Telangana",
E501="Indore","Madhya Pradesh",
E501="Jaipur","Rajasthan",
E501="Kochi","Kerala",
E501="Kolkata","West Bengal",
E501="Lucknow","Uttar Pradesh",
E501="Mumbai","Maharashtra",
E501="Nagpur","Maharashtra",
E501="Patna","Bihar",
E501="Pune","Maharashtra",
E501="Raipur","Chhattisgarh",
E501="Surat","Gujarat",
TRUE,"Not Found"
)</f>
        <v>Tamil Nadu</v>
      </c>
      <c r="G501" t="s">
        <v>1143</v>
      </c>
      <c r="H501" t="s">
        <v>1163</v>
      </c>
      <c r="I501" t="s">
        <v>1224</v>
      </c>
      <c r="J501" t="s">
        <v>1243</v>
      </c>
      <c r="K501" t="s">
        <v>1244</v>
      </c>
      <c r="L501">
        <v>1</v>
      </c>
      <c r="M501">
        <v>459</v>
      </c>
      <c r="N501">
        <v>0.1</v>
      </c>
      <c r="O501">
        <v>413.1</v>
      </c>
      <c r="P501">
        <v>0.05</v>
      </c>
      <c r="Q501">
        <v>413.1</v>
      </c>
      <c r="R501">
        <v>20.655000000000001</v>
      </c>
      <c r="S501">
        <v>433.755</v>
      </c>
      <c r="T501">
        <f>ROUND(Table2[[#This Row],[TotalAmount]],0)</f>
        <v>434</v>
      </c>
      <c r="U501" t="s">
        <v>1360</v>
      </c>
      <c r="V501" t="s">
        <v>1361</v>
      </c>
      <c r="W501" s="4">
        <v>45559</v>
      </c>
      <c r="X501" s="4">
        <v>45562</v>
      </c>
      <c r="Y501" t="b">
        <v>0</v>
      </c>
      <c r="Z501" t="s">
        <v>1412</v>
      </c>
      <c r="AA501" t="s">
        <v>1412</v>
      </c>
      <c r="AB501" t="s">
        <v>1412</v>
      </c>
      <c r="AC501" t="s">
        <v>1382</v>
      </c>
      <c r="AD501" t="s">
        <v>1377</v>
      </c>
      <c r="AE501" t="s">
        <v>1395</v>
      </c>
    </row>
    <row r="502" spans="1:31" x14ac:dyDescent="0.3">
      <c r="A502" t="s">
        <v>672</v>
      </c>
      <c r="B502" s="4">
        <v>45693.630555555559</v>
      </c>
      <c r="C502" t="s">
        <v>494</v>
      </c>
      <c r="D502" t="s">
        <v>1153</v>
      </c>
      <c r="E502" t="s">
        <v>1191</v>
      </c>
      <c r="F502" t="str" cm="1">
        <f t="array" ref="F502">_xlfn.IFS(
E502="Ahmedabad","Gujarat",
E502="Bengaluru","Karnataka",
E502="Bhopal","Madhya Pradesh",
E502="Bhubaneswar","Odisha",
E502="Chandigarh","Chandigarh",
E502="Chennai","Tamil Nadu",
E502="Delhi","Delhi",
E502="Guwahati","Assam",
E502="Hyderabad","Telangana",
E502="Indore","Madhya Pradesh",
E502="Jaipur","Rajasthan",
E502="Kochi","Kerala",
E502="Kolkata","West Bengal",
E502="Lucknow","Uttar Pradesh",
E502="Mumbai","Maharashtra",
E502="Nagpur","Maharashtra",
E502="Patna","Bihar",
E502="Pune","Maharashtra",
E502="Raipur","Chhattisgarh",
E502="Surat","Gujarat",
TRUE,"Not Found"
)</f>
        <v>Madhya Pradesh</v>
      </c>
      <c r="G502" t="s">
        <v>1143</v>
      </c>
      <c r="H502" t="s">
        <v>1172</v>
      </c>
      <c r="I502" t="s">
        <v>1204</v>
      </c>
      <c r="J502" t="s">
        <v>1205</v>
      </c>
      <c r="K502" t="s">
        <v>1206</v>
      </c>
      <c r="L502">
        <v>2</v>
      </c>
      <c r="M502">
        <v>6645</v>
      </c>
      <c r="N502">
        <v>0.15</v>
      </c>
      <c r="O502">
        <v>5648.25</v>
      </c>
      <c r="P502">
        <v>0.18</v>
      </c>
      <c r="Q502">
        <v>11296.5</v>
      </c>
      <c r="R502">
        <v>2033.37</v>
      </c>
      <c r="S502">
        <v>13329.87</v>
      </c>
      <c r="T502">
        <f>ROUND(Table2[[#This Row],[TotalAmount]],0)</f>
        <v>13330</v>
      </c>
      <c r="U502" t="s">
        <v>1366</v>
      </c>
      <c r="V502" t="s">
        <v>1361</v>
      </c>
      <c r="W502" s="4">
        <v>45694</v>
      </c>
      <c r="X502" s="4">
        <v>45699</v>
      </c>
      <c r="Y502" t="b">
        <v>0</v>
      </c>
      <c r="Z502" t="s">
        <v>1412</v>
      </c>
      <c r="AA502" t="s">
        <v>1412</v>
      </c>
      <c r="AB502" t="s">
        <v>1412</v>
      </c>
      <c r="AC502" t="s">
        <v>1382</v>
      </c>
      <c r="AD502" t="s">
        <v>1387</v>
      </c>
      <c r="AE502" t="s">
        <v>1378</v>
      </c>
    </row>
    <row r="503" spans="1:31" x14ac:dyDescent="0.3">
      <c r="A503" t="s">
        <v>673</v>
      </c>
      <c r="B503" s="4">
        <v>45589.468055555553</v>
      </c>
      <c r="C503" t="s">
        <v>102</v>
      </c>
      <c r="D503" t="s">
        <v>1141</v>
      </c>
      <c r="E503" t="s">
        <v>1239</v>
      </c>
      <c r="F503" t="str" cm="1">
        <f t="array" ref="F503">_xlfn.IFS(
E503="Ahmedabad","Gujarat",
E503="Bengaluru","Karnataka",
E503="Bhopal","Madhya Pradesh",
E503="Bhubaneswar","Odisha",
E503="Chandigarh","Chandigarh",
E503="Chennai","Tamil Nadu",
E503="Delhi","Delhi",
E503="Guwahati","Assam",
E503="Hyderabad","Telangana",
E503="Indore","Madhya Pradesh",
E503="Jaipur","Rajasthan",
E503="Kochi","Kerala",
E503="Kolkata","West Bengal",
E503="Lucknow","Uttar Pradesh",
E503="Mumbai","Maharashtra",
E503="Nagpur","Maharashtra",
E503="Patna","Bihar",
E503="Pune","Maharashtra",
E503="Raipur","Chhattisgarh",
E503="Surat","Gujarat",
TRUE,"Not Found"
)</f>
        <v>Odisha</v>
      </c>
      <c r="G503" t="s">
        <v>1187</v>
      </c>
      <c r="H503" t="s">
        <v>1163</v>
      </c>
      <c r="I503" t="s">
        <v>1164</v>
      </c>
      <c r="J503" t="s">
        <v>1318</v>
      </c>
      <c r="K503" t="s">
        <v>1319</v>
      </c>
      <c r="L503">
        <v>1</v>
      </c>
      <c r="M503">
        <v>281</v>
      </c>
      <c r="N503">
        <v>0</v>
      </c>
      <c r="O503">
        <v>281</v>
      </c>
      <c r="P503">
        <v>0.18</v>
      </c>
      <c r="Q503">
        <v>281</v>
      </c>
      <c r="R503">
        <v>50.58</v>
      </c>
      <c r="S503">
        <v>331.58</v>
      </c>
      <c r="T503">
        <f>ROUND(Table2[[#This Row],[TotalAmount]],0)</f>
        <v>332</v>
      </c>
      <c r="U503" t="s">
        <v>1360</v>
      </c>
      <c r="V503" t="s">
        <v>1361</v>
      </c>
      <c r="W503" s="4">
        <v>45589</v>
      </c>
      <c r="X503" s="4">
        <v>45590</v>
      </c>
      <c r="Y503" t="b">
        <v>0</v>
      </c>
      <c r="Z503" t="s">
        <v>1412</v>
      </c>
      <c r="AA503" t="s">
        <v>1412</v>
      </c>
      <c r="AB503" t="s">
        <v>1412</v>
      </c>
      <c r="AC503" t="s">
        <v>1388</v>
      </c>
      <c r="AD503" t="s">
        <v>1377</v>
      </c>
      <c r="AE503" t="s">
        <v>1389</v>
      </c>
    </row>
    <row r="504" spans="1:31" x14ac:dyDescent="0.3">
      <c r="A504" t="s">
        <v>674</v>
      </c>
      <c r="B504" s="4">
        <v>45456.431944444441</v>
      </c>
      <c r="C504" t="s">
        <v>169</v>
      </c>
      <c r="D504" t="s">
        <v>1148</v>
      </c>
      <c r="E504" t="s">
        <v>1149</v>
      </c>
      <c r="F504" t="str" cm="1">
        <f t="array" ref="F504">_xlfn.IFS(
E504="Ahmedabad","Gujarat",
E504="Bengaluru","Karnataka",
E504="Bhopal","Madhya Pradesh",
E504="Bhubaneswar","Odisha",
E504="Chandigarh","Chandigarh",
E504="Chennai","Tamil Nadu",
E504="Delhi","Delhi",
E504="Guwahati","Assam",
E504="Hyderabad","Telangana",
E504="Indore","Madhya Pradesh",
E504="Jaipur","Rajasthan",
E504="Kochi","Kerala",
E504="Kolkata","West Bengal",
E504="Lucknow","Uttar Pradesh",
E504="Mumbai","Maharashtra",
E504="Nagpur","Maharashtra",
E504="Patna","Bihar",
E504="Pune","Maharashtra",
E504="Raipur","Chhattisgarh",
E504="Surat","Gujarat",
TRUE,"Not Found"
)</f>
        <v>Uttar Pradesh</v>
      </c>
      <c r="G504" t="s">
        <v>1143</v>
      </c>
      <c r="H504" t="s">
        <v>1177</v>
      </c>
      <c r="I504" t="s">
        <v>1195</v>
      </c>
      <c r="J504" t="s">
        <v>1218</v>
      </c>
      <c r="K504" t="s">
        <v>1219</v>
      </c>
      <c r="L504">
        <v>2</v>
      </c>
      <c r="M504">
        <v>2505</v>
      </c>
      <c r="N504">
        <v>0.05</v>
      </c>
      <c r="O504">
        <v>2379.75</v>
      </c>
      <c r="P504">
        <v>0.12</v>
      </c>
      <c r="Q504">
        <v>4759.5</v>
      </c>
      <c r="R504">
        <v>571.14</v>
      </c>
      <c r="S504">
        <v>5330.64</v>
      </c>
      <c r="T504">
        <f>ROUND(Table2[[#This Row],[TotalAmount]],0)</f>
        <v>5331</v>
      </c>
      <c r="U504" t="s">
        <v>1366</v>
      </c>
      <c r="V504" t="s">
        <v>1368</v>
      </c>
      <c r="W504" s="4">
        <v>45456</v>
      </c>
      <c r="X504" s="4" t="s">
        <v>1412</v>
      </c>
      <c r="Y504" t="b">
        <v>0</v>
      </c>
      <c r="Z504" t="s">
        <v>1412</v>
      </c>
      <c r="AA504" t="s">
        <v>1412</v>
      </c>
      <c r="AB504" t="s">
        <v>1412</v>
      </c>
      <c r="AC504" t="s">
        <v>1396</v>
      </c>
      <c r="AD504" t="s">
        <v>1399</v>
      </c>
      <c r="AE504" t="s">
        <v>1393</v>
      </c>
    </row>
    <row r="505" spans="1:31" x14ac:dyDescent="0.3">
      <c r="A505" t="s">
        <v>675</v>
      </c>
      <c r="B505" s="4">
        <v>45569.407638888893</v>
      </c>
      <c r="C505" t="s">
        <v>267</v>
      </c>
      <c r="D505" t="s">
        <v>1148</v>
      </c>
      <c r="E505" t="s">
        <v>1217</v>
      </c>
      <c r="F505" t="str" cm="1">
        <f t="array" ref="F505">_xlfn.IFS(
E505="Ahmedabad","Gujarat",
E505="Bengaluru","Karnataka",
E505="Bhopal","Madhya Pradesh",
E505="Bhubaneswar","Odisha",
E505="Chandigarh","Chandigarh",
E505="Chennai","Tamil Nadu",
E505="Delhi","Delhi",
E505="Guwahati","Assam",
E505="Hyderabad","Telangana",
E505="Indore","Madhya Pradesh",
E505="Jaipur","Rajasthan",
E505="Kochi","Kerala",
E505="Kolkata","West Bengal",
E505="Lucknow","Uttar Pradesh",
E505="Mumbai","Maharashtra",
E505="Nagpur","Maharashtra",
E505="Patna","Bihar",
E505="Pune","Maharashtra",
E505="Raipur","Chhattisgarh",
E505="Surat","Gujarat",
TRUE,"Not Found"
)</f>
        <v>Delhi</v>
      </c>
      <c r="G505" t="s">
        <v>1143</v>
      </c>
      <c r="H505" t="s">
        <v>1167</v>
      </c>
      <c r="I505" t="s">
        <v>1263</v>
      </c>
      <c r="J505" t="s">
        <v>1264</v>
      </c>
      <c r="K505" t="s">
        <v>1265</v>
      </c>
      <c r="L505">
        <v>1</v>
      </c>
      <c r="M505">
        <v>52306</v>
      </c>
      <c r="N505">
        <v>0.05</v>
      </c>
      <c r="O505">
        <v>49690.7</v>
      </c>
      <c r="P505">
        <v>0.12</v>
      </c>
      <c r="Q505">
        <v>49690.7</v>
      </c>
      <c r="R505">
        <v>5962.8839999999991</v>
      </c>
      <c r="S505">
        <v>55653.584000000003</v>
      </c>
      <c r="T505">
        <f>ROUND(Table2[[#This Row],[TotalAmount]],0)</f>
        <v>55654</v>
      </c>
      <c r="U505" t="s">
        <v>1363</v>
      </c>
      <c r="V505" t="s">
        <v>1361</v>
      </c>
      <c r="W505" s="4">
        <v>45569</v>
      </c>
      <c r="X505" s="4">
        <v>45574</v>
      </c>
      <c r="Y505" t="b">
        <v>0</v>
      </c>
      <c r="Z505" t="s">
        <v>1412</v>
      </c>
      <c r="AA505" t="s">
        <v>1412</v>
      </c>
      <c r="AB505" t="s">
        <v>1412</v>
      </c>
      <c r="AC505" t="s">
        <v>1396</v>
      </c>
      <c r="AD505" t="s">
        <v>1385</v>
      </c>
      <c r="AE505" t="s">
        <v>1389</v>
      </c>
    </row>
    <row r="506" spans="1:31" x14ac:dyDescent="0.3">
      <c r="A506" t="s">
        <v>676</v>
      </c>
      <c r="B506" s="4">
        <v>45391.426388888889</v>
      </c>
      <c r="C506" t="s">
        <v>551</v>
      </c>
      <c r="D506" t="s">
        <v>1157</v>
      </c>
      <c r="E506" t="s">
        <v>1201</v>
      </c>
      <c r="F506" t="str" cm="1">
        <f t="array" ref="F506">_xlfn.IFS(
E506="Ahmedabad","Gujarat",
E506="Bengaluru","Karnataka",
E506="Bhopal","Madhya Pradesh",
E506="Bhubaneswar","Odisha",
E506="Chandigarh","Chandigarh",
E506="Chennai","Tamil Nadu",
E506="Delhi","Delhi",
E506="Guwahati","Assam",
E506="Hyderabad","Telangana",
E506="Indore","Madhya Pradesh",
E506="Jaipur","Rajasthan",
E506="Kochi","Kerala",
E506="Kolkata","West Bengal",
E506="Lucknow","Uttar Pradesh",
E506="Mumbai","Maharashtra",
E506="Nagpur","Maharashtra",
E506="Patna","Bihar",
E506="Pune","Maharashtra",
E506="Raipur","Chhattisgarh",
E506="Surat","Gujarat",
TRUE,"Not Found"
)</f>
        <v>Maharashtra</v>
      </c>
      <c r="G506" t="s">
        <v>1143</v>
      </c>
      <c r="H506" t="s">
        <v>1177</v>
      </c>
      <c r="I506" t="s">
        <v>1178</v>
      </c>
      <c r="J506" t="s">
        <v>1220</v>
      </c>
      <c r="K506" t="s">
        <v>1221</v>
      </c>
      <c r="L506">
        <v>3</v>
      </c>
      <c r="M506">
        <v>423</v>
      </c>
      <c r="N506">
        <v>0</v>
      </c>
      <c r="O506">
        <v>423</v>
      </c>
      <c r="P506">
        <v>0.12</v>
      </c>
      <c r="Q506">
        <v>1269</v>
      </c>
      <c r="R506">
        <v>152.28</v>
      </c>
      <c r="S506">
        <v>1421.28</v>
      </c>
      <c r="T506">
        <f>ROUND(Table2[[#This Row],[TotalAmount]],0)</f>
        <v>1421</v>
      </c>
      <c r="U506" t="s">
        <v>1365</v>
      </c>
      <c r="V506" t="s">
        <v>1361</v>
      </c>
      <c r="W506" s="4">
        <v>45393</v>
      </c>
      <c r="X506" s="4">
        <v>45398</v>
      </c>
      <c r="Y506" t="b">
        <v>0</v>
      </c>
      <c r="Z506" t="s">
        <v>1412</v>
      </c>
      <c r="AA506" t="s">
        <v>1412</v>
      </c>
      <c r="AB506" t="s">
        <v>1412</v>
      </c>
      <c r="AC506" t="s">
        <v>1390</v>
      </c>
      <c r="AD506" t="s">
        <v>1397</v>
      </c>
      <c r="AE506" t="s">
        <v>1378</v>
      </c>
    </row>
    <row r="507" spans="1:31" x14ac:dyDescent="0.3">
      <c r="A507" t="s">
        <v>677</v>
      </c>
      <c r="B507" s="4">
        <v>45636.49722222222</v>
      </c>
      <c r="C507" t="s">
        <v>629</v>
      </c>
      <c r="D507" t="s">
        <v>1153</v>
      </c>
      <c r="E507" t="s">
        <v>1191</v>
      </c>
      <c r="F507" t="str" cm="1">
        <f t="array" ref="F507">_xlfn.IFS(
E507="Ahmedabad","Gujarat",
E507="Bengaluru","Karnataka",
E507="Bhopal","Madhya Pradesh",
E507="Bhubaneswar","Odisha",
E507="Chandigarh","Chandigarh",
E507="Chennai","Tamil Nadu",
E507="Delhi","Delhi",
E507="Guwahati","Assam",
E507="Hyderabad","Telangana",
E507="Indore","Madhya Pradesh",
E507="Jaipur","Rajasthan",
E507="Kochi","Kerala",
E507="Kolkata","West Bengal",
E507="Lucknow","Uttar Pradesh",
E507="Mumbai","Maharashtra",
E507="Nagpur","Maharashtra",
E507="Patna","Bihar",
E507="Pune","Maharashtra",
E507="Raipur","Chhattisgarh",
E507="Surat","Gujarat",
TRUE,"Not Found"
)</f>
        <v>Madhya Pradesh</v>
      </c>
      <c r="G507" t="s">
        <v>1150</v>
      </c>
      <c r="H507" t="s">
        <v>1177</v>
      </c>
      <c r="I507" t="s">
        <v>1192</v>
      </c>
      <c r="J507" t="s">
        <v>1193</v>
      </c>
      <c r="K507" t="s">
        <v>1194</v>
      </c>
      <c r="L507">
        <v>3</v>
      </c>
      <c r="M507">
        <v>436</v>
      </c>
      <c r="N507">
        <v>0.15</v>
      </c>
      <c r="O507">
        <v>370.6</v>
      </c>
      <c r="P507">
        <v>0.18</v>
      </c>
      <c r="Q507">
        <v>1111.8</v>
      </c>
      <c r="R507">
        <v>200.124</v>
      </c>
      <c r="S507">
        <v>1311.924</v>
      </c>
      <c r="T507">
        <f>ROUND(Table2[[#This Row],[TotalAmount]],0)</f>
        <v>1312</v>
      </c>
      <c r="U507" t="s">
        <v>1363</v>
      </c>
      <c r="V507" t="s">
        <v>1361</v>
      </c>
      <c r="W507" s="4">
        <v>45638</v>
      </c>
      <c r="X507" s="4">
        <v>45643</v>
      </c>
      <c r="Y507" t="b">
        <v>0</v>
      </c>
      <c r="Z507" t="s">
        <v>1412</v>
      </c>
      <c r="AA507" t="s">
        <v>1412</v>
      </c>
      <c r="AB507" t="s">
        <v>1412</v>
      </c>
      <c r="AC507" t="s">
        <v>1388</v>
      </c>
      <c r="AD507" t="s">
        <v>1394</v>
      </c>
      <c r="AE507" t="s">
        <v>1389</v>
      </c>
    </row>
    <row r="508" spans="1:31" x14ac:dyDescent="0.3">
      <c r="A508" t="s">
        <v>678</v>
      </c>
      <c r="B508" s="4">
        <v>45344.648611111108</v>
      </c>
      <c r="C508" t="s">
        <v>164</v>
      </c>
      <c r="D508" t="s">
        <v>1157</v>
      </c>
      <c r="E508" t="s">
        <v>1249</v>
      </c>
      <c r="F508" t="str" cm="1">
        <f t="array" ref="F508">_xlfn.IFS(
E508="Ahmedabad","Gujarat",
E508="Bengaluru","Karnataka",
E508="Bhopal","Madhya Pradesh",
E508="Bhubaneswar","Odisha",
E508="Chandigarh","Chandigarh",
E508="Chennai","Tamil Nadu",
E508="Delhi","Delhi",
E508="Guwahati","Assam",
E508="Hyderabad","Telangana",
E508="Indore","Madhya Pradesh",
E508="Jaipur","Rajasthan",
E508="Kochi","Kerala",
E508="Kolkata","West Bengal",
E508="Lucknow","Uttar Pradesh",
E508="Mumbai","Maharashtra",
E508="Nagpur","Maharashtra",
E508="Patna","Bihar",
E508="Pune","Maharashtra",
E508="Raipur","Chhattisgarh",
E508="Surat","Gujarat",
TRUE,"Not Found"
)</f>
        <v>Maharashtra</v>
      </c>
      <c r="G508" t="s">
        <v>1187</v>
      </c>
      <c r="H508" t="s">
        <v>1163</v>
      </c>
      <c r="I508" t="s">
        <v>1164</v>
      </c>
      <c r="J508" t="s">
        <v>1318</v>
      </c>
      <c r="K508" t="s">
        <v>1319</v>
      </c>
      <c r="L508">
        <v>1</v>
      </c>
      <c r="M508">
        <v>348</v>
      </c>
      <c r="N508">
        <v>0</v>
      </c>
      <c r="O508">
        <v>348</v>
      </c>
      <c r="P508">
        <v>0.18</v>
      </c>
      <c r="Q508">
        <v>348</v>
      </c>
      <c r="R508">
        <v>62.64</v>
      </c>
      <c r="S508">
        <v>410.64</v>
      </c>
      <c r="T508">
        <f>ROUND(Table2[[#This Row],[TotalAmount]],0)</f>
        <v>411</v>
      </c>
      <c r="U508" t="s">
        <v>1360</v>
      </c>
      <c r="V508" t="s">
        <v>1361</v>
      </c>
      <c r="W508" s="4">
        <v>45344</v>
      </c>
      <c r="X508" s="4">
        <v>45346</v>
      </c>
      <c r="Y508" t="b">
        <v>0</v>
      </c>
      <c r="Z508" t="s">
        <v>1412</v>
      </c>
      <c r="AA508" t="s">
        <v>1412</v>
      </c>
      <c r="AB508" t="s">
        <v>1412</v>
      </c>
      <c r="AC508" t="s">
        <v>1392</v>
      </c>
      <c r="AD508" t="s">
        <v>1385</v>
      </c>
      <c r="AE508" t="s">
        <v>1380</v>
      </c>
    </row>
    <row r="509" spans="1:31" x14ac:dyDescent="0.3">
      <c r="A509" t="s">
        <v>679</v>
      </c>
      <c r="B509" s="4">
        <v>45579.493055555547</v>
      </c>
      <c r="C509" t="s">
        <v>241</v>
      </c>
      <c r="D509" t="s">
        <v>1182</v>
      </c>
      <c r="E509" t="s">
        <v>1183</v>
      </c>
      <c r="F509" t="str" cm="1">
        <f t="array" ref="F509">_xlfn.IFS(
E509="Ahmedabad","Gujarat",
E509="Bengaluru","Karnataka",
E509="Bhopal","Madhya Pradesh",
E509="Bhubaneswar","Odisha",
E509="Chandigarh","Chandigarh",
E509="Chennai","Tamil Nadu",
E509="Delhi","Delhi",
E509="Guwahati","Assam",
E509="Hyderabad","Telangana",
E509="Indore","Madhya Pradesh",
E509="Jaipur","Rajasthan",
E509="Kochi","Kerala",
E509="Kolkata","West Bengal",
E509="Lucknow","Uttar Pradesh",
E509="Mumbai","Maharashtra",
E509="Nagpur","Maharashtra",
E509="Patna","Bihar",
E509="Pune","Maharashtra",
E509="Raipur","Chhattisgarh",
E509="Surat","Gujarat",
TRUE,"Not Found"
)</f>
        <v>Telangana</v>
      </c>
      <c r="G509" t="s">
        <v>1228</v>
      </c>
      <c r="H509" t="s">
        <v>1163</v>
      </c>
      <c r="I509" t="s">
        <v>1164</v>
      </c>
      <c r="J509" t="s">
        <v>1165</v>
      </c>
      <c r="K509" t="s">
        <v>1166</v>
      </c>
      <c r="L509">
        <v>1</v>
      </c>
      <c r="M509">
        <v>695</v>
      </c>
      <c r="N509">
        <v>0.15</v>
      </c>
      <c r="O509">
        <v>590.75</v>
      </c>
      <c r="P509">
        <v>0.12</v>
      </c>
      <c r="Q509">
        <v>590.75</v>
      </c>
      <c r="R509">
        <v>70.89</v>
      </c>
      <c r="S509">
        <v>661.64</v>
      </c>
      <c r="T509">
        <f>ROUND(Table2[[#This Row],[TotalAmount]],0)</f>
        <v>662</v>
      </c>
      <c r="U509" t="s">
        <v>1360</v>
      </c>
      <c r="V509" t="s">
        <v>1361</v>
      </c>
      <c r="W509" s="4">
        <v>45579</v>
      </c>
      <c r="X509" s="4">
        <v>45584</v>
      </c>
      <c r="Y509" t="b">
        <v>0</v>
      </c>
      <c r="Z509" t="s">
        <v>1412</v>
      </c>
      <c r="AA509" t="s">
        <v>1412</v>
      </c>
      <c r="AB509" t="s">
        <v>1412</v>
      </c>
      <c r="AC509" t="s">
        <v>1386</v>
      </c>
      <c r="AD509" t="s">
        <v>1385</v>
      </c>
      <c r="AE509" t="s">
        <v>1380</v>
      </c>
    </row>
    <row r="510" spans="1:31" x14ac:dyDescent="0.3">
      <c r="A510" t="s">
        <v>680</v>
      </c>
      <c r="B510" s="4">
        <v>45607.4</v>
      </c>
      <c r="C510" t="s">
        <v>510</v>
      </c>
      <c r="D510" t="s">
        <v>1153</v>
      </c>
      <c r="E510" t="s">
        <v>1191</v>
      </c>
      <c r="F510" t="str" cm="1">
        <f t="array" ref="F510">_xlfn.IFS(
E510="Ahmedabad","Gujarat",
E510="Bengaluru","Karnataka",
E510="Bhopal","Madhya Pradesh",
E510="Bhubaneswar","Odisha",
E510="Chandigarh","Chandigarh",
E510="Chennai","Tamil Nadu",
E510="Delhi","Delhi",
E510="Guwahati","Assam",
E510="Hyderabad","Telangana",
E510="Indore","Madhya Pradesh",
E510="Jaipur","Rajasthan",
E510="Kochi","Kerala",
E510="Kolkata","West Bengal",
E510="Lucknow","Uttar Pradesh",
E510="Mumbai","Maharashtra",
E510="Nagpur","Maharashtra",
E510="Patna","Bihar",
E510="Pune","Maharashtra",
E510="Raipur","Chhattisgarh",
E510="Surat","Gujarat",
TRUE,"Not Found"
)</f>
        <v>Madhya Pradesh</v>
      </c>
      <c r="G510" t="s">
        <v>1187</v>
      </c>
      <c r="H510" t="s">
        <v>1144</v>
      </c>
      <c r="I510" t="s">
        <v>1269</v>
      </c>
      <c r="J510" t="s">
        <v>1301</v>
      </c>
      <c r="K510" t="s">
        <v>1302</v>
      </c>
      <c r="L510">
        <v>1</v>
      </c>
      <c r="M510">
        <v>7351</v>
      </c>
      <c r="N510">
        <v>0.05</v>
      </c>
      <c r="O510">
        <v>6983.45</v>
      </c>
      <c r="P510">
        <v>0.12</v>
      </c>
      <c r="Q510">
        <v>6983.45</v>
      </c>
      <c r="R510">
        <v>838.0139999999999</v>
      </c>
      <c r="S510">
        <v>7821.4639999999999</v>
      </c>
      <c r="T510">
        <f>ROUND(Table2[[#This Row],[TotalAmount]],0)</f>
        <v>7821</v>
      </c>
      <c r="U510" t="s">
        <v>1360</v>
      </c>
      <c r="V510" t="s">
        <v>1361</v>
      </c>
      <c r="W510" s="4">
        <v>45607</v>
      </c>
      <c r="X510" s="4">
        <v>45612</v>
      </c>
      <c r="Y510" t="b">
        <v>0</v>
      </c>
      <c r="Z510" t="s">
        <v>1412</v>
      </c>
      <c r="AA510" t="s">
        <v>1412</v>
      </c>
      <c r="AB510" t="s">
        <v>1412</v>
      </c>
      <c r="AC510" t="s">
        <v>1386</v>
      </c>
      <c r="AD510" t="s">
        <v>1385</v>
      </c>
      <c r="AE510" t="s">
        <v>1393</v>
      </c>
    </row>
    <row r="511" spans="1:31" x14ac:dyDescent="0.3">
      <c r="A511" t="s">
        <v>681</v>
      </c>
      <c r="B511" s="4">
        <v>45393.489583333343</v>
      </c>
      <c r="C511" t="s">
        <v>368</v>
      </c>
      <c r="D511" t="s">
        <v>1153</v>
      </c>
      <c r="E511" t="s">
        <v>1191</v>
      </c>
      <c r="F511" t="str" cm="1">
        <f t="array" ref="F511">_xlfn.IFS(
E511="Ahmedabad","Gujarat",
E511="Bengaluru","Karnataka",
E511="Bhopal","Madhya Pradesh",
E511="Bhubaneswar","Odisha",
E511="Chandigarh","Chandigarh",
E511="Chennai","Tamil Nadu",
E511="Delhi","Delhi",
E511="Guwahati","Assam",
E511="Hyderabad","Telangana",
E511="Indore","Madhya Pradesh",
E511="Jaipur","Rajasthan",
E511="Kochi","Kerala",
E511="Kolkata","West Bengal",
E511="Lucknow","Uttar Pradesh",
E511="Mumbai","Maharashtra",
E511="Nagpur","Maharashtra",
E511="Patna","Bihar",
E511="Pune","Maharashtra",
E511="Raipur","Chhattisgarh",
E511="Surat","Gujarat",
TRUE,"Not Found"
)</f>
        <v>Madhya Pradesh</v>
      </c>
      <c r="G511" t="s">
        <v>1143</v>
      </c>
      <c r="H511" t="s">
        <v>1172</v>
      </c>
      <c r="I511" t="s">
        <v>1204</v>
      </c>
      <c r="J511" t="s">
        <v>1205</v>
      </c>
      <c r="K511" t="s">
        <v>1206</v>
      </c>
      <c r="L511">
        <v>1</v>
      </c>
      <c r="M511">
        <v>5632</v>
      </c>
      <c r="N511">
        <v>0</v>
      </c>
      <c r="O511">
        <v>5632</v>
      </c>
      <c r="P511">
        <v>0.12</v>
      </c>
      <c r="Q511">
        <v>5632</v>
      </c>
      <c r="R511">
        <v>675.83999999999992</v>
      </c>
      <c r="S511">
        <v>6307.84</v>
      </c>
      <c r="T511">
        <f>ROUND(Table2[[#This Row],[TotalAmount]],0)</f>
        <v>6308</v>
      </c>
      <c r="U511" t="s">
        <v>1360</v>
      </c>
      <c r="V511" t="s">
        <v>1368</v>
      </c>
      <c r="W511" s="4">
        <v>45394</v>
      </c>
      <c r="X511" s="4" t="s">
        <v>1412</v>
      </c>
      <c r="Y511" t="b">
        <v>0</v>
      </c>
      <c r="Z511" t="s">
        <v>1412</v>
      </c>
      <c r="AA511" t="s">
        <v>1412</v>
      </c>
      <c r="AB511" t="s">
        <v>1412</v>
      </c>
      <c r="AC511" t="s">
        <v>1382</v>
      </c>
      <c r="AD511" t="s">
        <v>1385</v>
      </c>
      <c r="AE511" t="s">
        <v>1389</v>
      </c>
    </row>
    <row r="512" spans="1:31" x14ac:dyDescent="0.3">
      <c r="A512" t="s">
        <v>682</v>
      </c>
      <c r="B512" s="4">
        <v>45482.459027777782</v>
      </c>
      <c r="C512" t="s">
        <v>683</v>
      </c>
      <c r="D512" t="s">
        <v>1182</v>
      </c>
      <c r="E512" t="s">
        <v>1257</v>
      </c>
      <c r="F512" t="str" cm="1">
        <f t="array" ref="F512">_xlfn.IFS(
E512="Ahmedabad","Gujarat",
E512="Bengaluru","Karnataka",
E512="Bhopal","Madhya Pradesh",
E512="Bhubaneswar","Odisha",
E512="Chandigarh","Chandigarh",
E512="Chennai","Tamil Nadu",
E512="Delhi","Delhi",
E512="Guwahati","Assam",
E512="Hyderabad","Telangana",
E512="Indore","Madhya Pradesh",
E512="Jaipur","Rajasthan",
E512="Kochi","Kerala",
E512="Kolkata","West Bengal",
E512="Lucknow","Uttar Pradesh",
E512="Mumbai","Maharashtra",
E512="Nagpur","Maharashtra",
E512="Patna","Bihar",
E512="Pune","Maharashtra",
E512="Raipur","Chhattisgarh",
E512="Surat","Gujarat",
TRUE,"Not Found"
)</f>
        <v>Kerala</v>
      </c>
      <c r="G512" t="s">
        <v>1150</v>
      </c>
      <c r="H512" t="s">
        <v>1177</v>
      </c>
      <c r="I512" t="s">
        <v>1192</v>
      </c>
      <c r="J512" t="s">
        <v>1344</v>
      </c>
      <c r="K512" t="s">
        <v>1345</v>
      </c>
      <c r="L512">
        <v>1</v>
      </c>
      <c r="M512">
        <v>2207</v>
      </c>
      <c r="N512">
        <v>0.05</v>
      </c>
      <c r="O512">
        <v>2096.65</v>
      </c>
      <c r="P512">
        <v>0.12</v>
      </c>
      <c r="Q512">
        <v>2096.65</v>
      </c>
      <c r="R512">
        <v>251.59800000000001</v>
      </c>
      <c r="S512">
        <v>2348.248</v>
      </c>
      <c r="T512">
        <f>ROUND(Table2[[#This Row],[TotalAmount]],0)</f>
        <v>2348</v>
      </c>
      <c r="U512" t="s">
        <v>1363</v>
      </c>
      <c r="V512" t="s">
        <v>1361</v>
      </c>
      <c r="W512" s="4">
        <v>45483</v>
      </c>
      <c r="X512" s="4">
        <v>45488</v>
      </c>
      <c r="Y512" t="b">
        <v>0</v>
      </c>
      <c r="Z512" t="s">
        <v>1412</v>
      </c>
      <c r="AA512" t="s">
        <v>1412</v>
      </c>
      <c r="AB512" t="s">
        <v>1412</v>
      </c>
      <c r="AC512" t="s">
        <v>1386</v>
      </c>
      <c r="AD512" t="s">
        <v>1394</v>
      </c>
      <c r="AE512" t="s">
        <v>1378</v>
      </c>
    </row>
    <row r="513" spans="1:31" x14ac:dyDescent="0.3">
      <c r="A513" t="s">
        <v>684</v>
      </c>
      <c r="B513" s="4">
        <v>45302.500694444447</v>
      </c>
      <c r="C513" t="s">
        <v>313</v>
      </c>
      <c r="D513" t="s">
        <v>1148</v>
      </c>
      <c r="E513" t="s">
        <v>1149</v>
      </c>
      <c r="F513" t="str" cm="1">
        <f t="array" ref="F513">_xlfn.IFS(
E513="Ahmedabad","Gujarat",
E513="Bengaluru","Karnataka",
E513="Bhopal","Madhya Pradesh",
E513="Bhubaneswar","Odisha",
E513="Chandigarh","Chandigarh",
E513="Chennai","Tamil Nadu",
E513="Delhi","Delhi",
E513="Guwahati","Assam",
E513="Hyderabad","Telangana",
E513="Indore","Madhya Pradesh",
E513="Jaipur","Rajasthan",
E513="Kochi","Kerala",
E513="Kolkata","West Bengal",
E513="Lucknow","Uttar Pradesh",
E513="Mumbai","Maharashtra",
E513="Nagpur","Maharashtra",
E513="Patna","Bihar",
E513="Pune","Maharashtra",
E513="Raipur","Chhattisgarh",
E513="Surat","Gujarat",
TRUE,"Not Found"
)</f>
        <v>Uttar Pradesh</v>
      </c>
      <c r="G513" t="s">
        <v>1150</v>
      </c>
      <c r="H513" t="s">
        <v>1177</v>
      </c>
      <c r="I513" t="s">
        <v>1195</v>
      </c>
      <c r="J513" t="s">
        <v>1218</v>
      </c>
      <c r="K513" t="s">
        <v>1219</v>
      </c>
      <c r="L513">
        <v>2</v>
      </c>
      <c r="M513">
        <v>1849</v>
      </c>
      <c r="N513">
        <v>0.2</v>
      </c>
      <c r="O513">
        <v>1479.2</v>
      </c>
      <c r="P513">
        <v>0.05</v>
      </c>
      <c r="Q513">
        <v>2958.4</v>
      </c>
      <c r="R513">
        <v>147.91999999999999</v>
      </c>
      <c r="S513">
        <v>3106.32</v>
      </c>
      <c r="T513">
        <f>ROUND(Table2[[#This Row],[TotalAmount]],0)</f>
        <v>3106</v>
      </c>
      <c r="U513" t="s">
        <v>1365</v>
      </c>
      <c r="V513" t="s">
        <v>1367</v>
      </c>
      <c r="W513" s="4">
        <v>45302</v>
      </c>
      <c r="X513" s="4" t="s">
        <v>1412</v>
      </c>
      <c r="Y513" t="b">
        <v>0</v>
      </c>
      <c r="Z513" t="s">
        <v>1412</v>
      </c>
      <c r="AA513" t="s">
        <v>1412</v>
      </c>
      <c r="AB513" t="s">
        <v>1412</v>
      </c>
      <c r="AC513" t="s">
        <v>1392</v>
      </c>
      <c r="AD513" t="s">
        <v>1385</v>
      </c>
      <c r="AE513" t="s">
        <v>1391</v>
      </c>
    </row>
    <row r="514" spans="1:31" x14ac:dyDescent="0.3">
      <c r="A514" t="s">
        <v>685</v>
      </c>
      <c r="B514" s="4">
        <v>45666.504166666673</v>
      </c>
      <c r="C514" t="s">
        <v>59</v>
      </c>
      <c r="D514" t="s">
        <v>1148</v>
      </c>
      <c r="E514" t="s">
        <v>1217</v>
      </c>
      <c r="F514" t="str" cm="1">
        <f t="array" ref="F514">_xlfn.IFS(
E514="Ahmedabad","Gujarat",
E514="Bengaluru","Karnataka",
E514="Bhopal","Madhya Pradesh",
E514="Bhubaneswar","Odisha",
E514="Chandigarh","Chandigarh",
E514="Chennai","Tamil Nadu",
E514="Delhi","Delhi",
E514="Guwahati","Assam",
E514="Hyderabad","Telangana",
E514="Indore","Madhya Pradesh",
E514="Jaipur","Rajasthan",
E514="Kochi","Kerala",
E514="Kolkata","West Bengal",
E514="Lucknow","Uttar Pradesh",
E514="Mumbai","Maharashtra",
E514="Nagpur","Maharashtra",
E514="Patna","Bihar",
E514="Pune","Maharashtra",
E514="Raipur","Chhattisgarh",
E514="Surat","Gujarat",
TRUE,"Not Found"
)</f>
        <v>Delhi</v>
      </c>
      <c r="G514" t="s">
        <v>1143</v>
      </c>
      <c r="H514" t="s">
        <v>1172</v>
      </c>
      <c r="I514" t="s">
        <v>1188</v>
      </c>
      <c r="J514" t="s">
        <v>1189</v>
      </c>
      <c r="K514" t="s">
        <v>1190</v>
      </c>
      <c r="L514">
        <v>3</v>
      </c>
      <c r="M514">
        <v>8869</v>
      </c>
      <c r="N514">
        <v>0.1</v>
      </c>
      <c r="O514">
        <v>7982.1</v>
      </c>
      <c r="P514">
        <v>0.12</v>
      </c>
      <c r="Q514">
        <v>23946.3</v>
      </c>
      <c r="R514">
        <v>2873.556</v>
      </c>
      <c r="S514">
        <v>26819.856</v>
      </c>
      <c r="T514">
        <f>ROUND(Table2[[#This Row],[TotalAmount]],0)</f>
        <v>26820</v>
      </c>
      <c r="U514" t="s">
        <v>1365</v>
      </c>
      <c r="V514" t="s">
        <v>1361</v>
      </c>
      <c r="W514" s="4">
        <v>45667</v>
      </c>
      <c r="X514" s="4">
        <v>45671</v>
      </c>
      <c r="Y514" t="b">
        <v>0</v>
      </c>
      <c r="Z514" t="s">
        <v>1412</v>
      </c>
      <c r="AA514" t="s">
        <v>1412</v>
      </c>
      <c r="AB514" t="s">
        <v>1412</v>
      </c>
      <c r="AC514" t="s">
        <v>1386</v>
      </c>
      <c r="AD514" t="s">
        <v>1400</v>
      </c>
      <c r="AE514" t="s">
        <v>1391</v>
      </c>
    </row>
    <row r="515" spans="1:31" x14ac:dyDescent="0.3">
      <c r="A515" t="s">
        <v>686</v>
      </c>
      <c r="B515" s="4">
        <v>45481.467361111107</v>
      </c>
      <c r="C515" t="s">
        <v>211</v>
      </c>
      <c r="D515" t="s">
        <v>1157</v>
      </c>
      <c r="E515" t="s">
        <v>1181</v>
      </c>
      <c r="F515" t="str" cm="1">
        <f t="array" ref="F515">_xlfn.IFS(
E515="Ahmedabad","Gujarat",
E515="Bengaluru","Karnataka",
E515="Bhopal","Madhya Pradesh",
E515="Bhubaneswar","Odisha",
E515="Chandigarh","Chandigarh",
E515="Chennai","Tamil Nadu",
E515="Delhi","Delhi",
E515="Guwahati","Assam",
E515="Hyderabad","Telangana",
E515="Indore","Madhya Pradesh",
E515="Jaipur","Rajasthan",
E515="Kochi","Kerala",
E515="Kolkata","West Bengal",
E515="Lucknow","Uttar Pradesh",
E515="Mumbai","Maharashtra",
E515="Nagpur","Maharashtra",
E515="Patna","Bihar",
E515="Pune","Maharashtra",
E515="Raipur","Chhattisgarh",
E515="Surat","Gujarat",
TRUE,"Not Found"
)</f>
        <v>Gujarat</v>
      </c>
      <c r="G515" t="s">
        <v>1143</v>
      </c>
      <c r="H515" t="s">
        <v>1163</v>
      </c>
      <c r="I515" t="s">
        <v>1240</v>
      </c>
      <c r="J515" t="s">
        <v>1247</v>
      </c>
      <c r="K515" t="s">
        <v>1248</v>
      </c>
      <c r="L515">
        <v>1</v>
      </c>
      <c r="M515">
        <v>1044</v>
      </c>
      <c r="N515">
        <v>0.15</v>
      </c>
      <c r="O515">
        <v>887.4</v>
      </c>
      <c r="P515">
        <v>0.12</v>
      </c>
      <c r="Q515">
        <v>887.4</v>
      </c>
      <c r="R515">
        <v>106.488</v>
      </c>
      <c r="S515">
        <v>993.88799999999992</v>
      </c>
      <c r="T515">
        <f>ROUND(Table2[[#This Row],[TotalAmount]],0)</f>
        <v>994</v>
      </c>
      <c r="U515" t="s">
        <v>1360</v>
      </c>
      <c r="V515" t="s">
        <v>1361</v>
      </c>
      <c r="W515" s="4">
        <v>45482</v>
      </c>
      <c r="X515" s="4">
        <v>45483</v>
      </c>
      <c r="Y515" t="b">
        <v>0</v>
      </c>
      <c r="Z515" t="s">
        <v>1412</v>
      </c>
      <c r="AA515" t="s">
        <v>1412</v>
      </c>
      <c r="AB515" t="s">
        <v>1412</v>
      </c>
      <c r="AC515" t="s">
        <v>1384</v>
      </c>
      <c r="AD515" t="s">
        <v>1385</v>
      </c>
      <c r="AE515" t="s">
        <v>1380</v>
      </c>
    </row>
    <row r="516" spans="1:31" x14ac:dyDescent="0.3">
      <c r="A516" t="s">
        <v>687</v>
      </c>
      <c r="B516" s="4">
        <v>45587.597222222219</v>
      </c>
      <c r="C516" t="s">
        <v>271</v>
      </c>
      <c r="D516" t="s">
        <v>1148</v>
      </c>
      <c r="E516" t="s">
        <v>1149</v>
      </c>
      <c r="F516" t="str" cm="1">
        <f t="array" ref="F516">_xlfn.IFS(
E516="Ahmedabad","Gujarat",
E516="Bengaluru","Karnataka",
E516="Bhopal","Madhya Pradesh",
E516="Bhubaneswar","Odisha",
E516="Chandigarh","Chandigarh",
E516="Chennai","Tamil Nadu",
E516="Delhi","Delhi",
E516="Guwahati","Assam",
E516="Hyderabad","Telangana",
E516="Indore","Madhya Pradesh",
E516="Jaipur","Rajasthan",
E516="Kochi","Kerala",
E516="Kolkata","West Bengal",
E516="Lucknow","Uttar Pradesh",
E516="Mumbai","Maharashtra",
E516="Nagpur","Maharashtra",
E516="Patna","Bihar",
E516="Pune","Maharashtra",
E516="Raipur","Chhattisgarh",
E516="Surat","Gujarat",
TRUE,"Not Found"
)</f>
        <v>Uttar Pradesh</v>
      </c>
      <c r="G516" t="s">
        <v>1143</v>
      </c>
      <c r="H516" t="s">
        <v>1144</v>
      </c>
      <c r="I516" t="s">
        <v>1276</v>
      </c>
      <c r="J516" t="s">
        <v>1286</v>
      </c>
      <c r="K516" t="s">
        <v>1287</v>
      </c>
      <c r="L516">
        <v>4</v>
      </c>
      <c r="M516">
        <v>7672</v>
      </c>
      <c r="N516">
        <v>0.1</v>
      </c>
      <c r="O516">
        <v>6904.8</v>
      </c>
      <c r="P516">
        <v>0.18</v>
      </c>
      <c r="Q516">
        <v>27619.200000000001</v>
      </c>
      <c r="R516">
        <v>4971.4560000000001</v>
      </c>
      <c r="S516">
        <v>32590.655999999999</v>
      </c>
      <c r="T516">
        <f>ROUND(Table2[[#This Row],[TotalAmount]],0)</f>
        <v>32591</v>
      </c>
      <c r="U516" t="s">
        <v>1366</v>
      </c>
      <c r="V516" t="s">
        <v>1369</v>
      </c>
      <c r="W516" s="4" t="s">
        <v>1412</v>
      </c>
      <c r="X516" s="4" t="s">
        <v>1412</v>
      </c>
      <c r="Y516" t="b">
        <v>0</v>
      </c>
      <c r="Z516" t="s">
        <v>1412</v>
      </c>
      <c r="AA516" t="s">
        <v>1412</v>
      </c>
      <c r="AB516" t="s">
        <v>1412</v>
      </c>
      <c r="AC516" t="s">
        <v>1392</v>
      </c>
      <c r="AD516" t="s">
        <v>1394</v>
      </c>
      <c r="AE516" t="s">
        <v>1393</v>
      </c>
    </row>
    <row r="517" spans="1:31" x14ac:dyDescent="0.3">
      <c r="A517" t="s">
        <v>688</v>
      </c>
      <c r="B517" s="4">
        <v>45484.427777777782</v>
      </c>
      <c r="C517" t="s">
        <v>382</v>
      </c>
      <c r="D517" t="s">
        <v>1157</v>
      </c>
      <c r="E517" t="s">
        <v>1158</v>
      </c>
      <c r="F517" t="str" cm="1">
        <f t="array" ref="F517">_xlfn.IFS(
E517="Ahmedabad","Gujarat",
E517="Bengaluru","Karnataka",
E517="Bhopal","Madhya Pradesh",
E517="Bhubaneswar","Odisha",
E517="Chandigarh","Chandigarh",
E517="Chennai","Tamil Nadu",
E517="Delhi","Delhi",
E517="Guwahati","Assam",
E517="Hyderabad","Telangana",
E517="Indore","Madhya Pradesh",
E517="Jaipur","Rajasthan",
E517="Kochi","Kerala",
E517="Kolkata","West Bengal",
E517="Lucknow","Uttar Pradesh",
E517="Mumbai","Maharashtra",
E517="Nagpur","Maharashtra",
E517="Patna","Bihar",
E517="Pune","Maharashtra",
E517="Raipur","Chhattisgarh",
E517="Surat","Gujarat",
TRUE,"Not Found"
)</f>
        <v>Gujarat</v>
      </c>
      <c r="G517" t="s">
        <v>1143</v>
      </c>
      <c r="H517" t="s">
        <v>1177</v>
      </c>
      <c r="I517" t="s">
        <v>1178</v>
      </c>
      <c r="J517" t="s">
        <v>1305</v>
      </c>
      <c r="K517" t="s">
        <v>1306</v>
      </c>
      <c r="L517">
        <v>1</v>
      </c>
      <c r="M517">
        <v>1910</v>
      </c>
      <c r="N517">
        <v>0.05</v>
      </c>
      <c r="O517">
        <v>1814.5</v>
      </c>
      <c r="P517">
        <v>0.18</v>
      </c>
      <c r="Q517">
        <v>1814.5</v>
      </c>
      <c r="R517">
        <v>326.61</v>
      </c>
      <c r="S517">
        <v>2141.11</v>
      </c>
      <c r="T517">
        <f>ROUND(Table2[[#This Row],[TotalAmount]],0)</f>
        <v>2141</v>
      </c>
      <c r="U517" t="s">
        <v>1360</v>
      </c>
      <c r="V517" t="s">
        <v>1369</v>
      </c>
      <c r="W517" s="4" t="s">
        <v>1412</v>
      </c>
      <c r="X517" s="4" t="s">
        <v>1412</v>
      </c>
      <c r="Y517" t="b">
        <v>0</v>
      </c>
      <c r="Z517" t="s">
        <v>1412</v>
      </c>
      <c r="AA517" t="s">
        <v>1412</v>
      </c>
      <c r="AB517" t="s">
        <v>1412</v>
      </c>
      <c r="AC517" t="s">
        <v>1376</v>
      </c>
      <c r="AD517" t="s">
        <v>1377</v>
      </c>
      <c r="AE517" t="s">
        <v>1383</v>
      </c>
    </row>
    <row r="518" spans="1:31" x14ac:dyDescent="0.3">
      <c r="A518" t="s">
        <v>689</v>
      </c>
      <c r="B518" s="4">
        <v>45488.488888888889</v>
      </c>
      <c r="C518" t="s">
        <v>71</v>
      </c>
      <c r="D518" t="s">
        <v>1157</v>
      </c>
      <c r="E518" t="s">
        <v>1249</v>
      </c>
      <c r="F518" t="str" cm="1">
        <f t="array" ref="F518">_xlfn.IFS(
E518="Ahmedabad","Gujarat",
E518="Bengaluru","Karnataka",
E518="Bhopal","Madhya Pradesh",
E518="Bhubaneswar","Odisha",
E518="Chandigarh","Chandigarh",
E518="Chennai","Tamil Nadu",
E518="Delhi","Delhi",
E518="Guwahati","Assam",
E518="Hyderabad","Telangana",
E518="Indore","Madhya Pradesh",
E518="Jaipur","Rajasthan",
E518="Kochi","Kerala",
E518="Kolkata","West Bengal",
E518="Lucknow","Uttar Pradesh",
E518="Mumbai","Maharashtra",
E518="Nagpur","Maharashtra",
E518="Patna","Bihar",
E518="Pune","Maharashtra",
E518="Raipur","Chhattisgarh",
E518="Surat","Gujarat",
TRUE,"Not Found"
)</f>
        <v>Maharashtra</v>
      </c>
      <c r="G518" t="s">
        <v>1143</v>
      </c>
      <c r="H518" t="s">
        <v>1172</v>
      </c>
      <c r="I518" t="s">
        <v>1229</v>
      </c>
      <c r="J518" t="s">
        <v>1340</v>
      </c>
      <c r="K518" t="s">
        <v>1341</v>
      </c>
      <c r="L518">
        <v>2</v>
      </c>
      <c r="M518">
        <v>1881</v>
      </c>
      <c r="N518">
        <v>0.2</v>
      </c>
      <c r="O518">
        <v>1504.8</v>
      </c>
      <c r="P518">
        <v>0.05</v>
      </c>
      <c r="Q518">
        <v>3009.6</v>
      </c>
      <c r="R518">
        <v>150.47999999999999</v>
      </c>
      <c r="S518">
        <v>3160.08</v>
      </c>
      <c r="T518">
        <f>ROUND(Table2[[#This Row],[TotalAmount]],0)</f>
        <v>3160</v>
      </c>
      <c r="U518" t="s">
        <v>1363</v>
      </c>
      <c r="V518" t="s">
        <v>1361</v>
      </c>
      <c r="W518" s="4">
        <v>45490</v>
      </c>
      <c r="X518" s="4">
        <v>45493</v>
      </c>
      <c r="Y518" t="b">
        <v>0</v>
      </c>
      <c r="Z518" t="s">
        <v>1412</v>
      </c>
      <c r="AA518" t="s">
        <v>1412</v>
      </c>
      <c r="AB518" t="s">
        <v>1412</v>
      </c>
      <c r="AC518" t="s">
        <v>1392</v>
      </c>
      <c r="AD518" t="s">
        <v>1400</v>
      </c>
      <c r="AE518" t="s">
        <v>1395</v>
      </c>
    </row>
    <row r="519" spans="1:31" x14ac:dyDescent="0.3">
      <c r="A519" t="s">
        <v>690</v>
      </c>
      <c r="B519" s="4">
        <v>45605.482638888891</v>
      </c>
      <c r="C519" t="s">
        <v>354</v>
      </c>
      <c r="D519" t="s">
        <v>1148</v>
      </c>
      <c r="E519" t="s">
        <v>1217</v>
      </c>
      <c r="F519" t="str" cm="1">
        <f t="array" ref="F519">_xlfn.IFS(
E519="Ahmedabad","Gujarat",
E519="Bengaluru","Karnataka",
E519="Bhopal","Madhya Pradesh",
E519="Bhubaneswar","Odisha",
E519="Chandigarh","Chandigarh",
E519="Chennai","Tamil Nadu",
E519="Delhi","Delhi",
E519="Guwahati","Assam",
E519="Hyderabad","Telangana",
E519="Indore","Madhya Pradesh",
E519="Jaipur","Rajasthan",
E519="Kochi","Kerala",
E519="Kolkata","West Bengal",
E519="Lucknow","Uttar Pradesh",
E519="Mumbai","Maharashtra",
E519="Nagpur","Maharashtra",
E519="Patna","Bihar",
E519="Pune","Maharashtra",
E519="Raipur","Chhattisgarh",
E519="Surat","Gujarat",
TRUE,"Not Found"
)</f>
        <v>Delhi</v>
      </c>
      <c r="G519" t="s">
        <v>1143</v>
      </c>
      <c r="H519" t="s">
        <v>1163</v>
      </c>
      <c r="I519" t="s">
        <v>1184</v>
      </c>
      <c r="J519" t="s">
        <v>1185</v>
      </c>
      <c r="K519" t="s">
        <v>1186</v>
      </c>
      <c r="L519">
        <v>2</v>
      </c>
      <c r="M519">
        <v>806</v>
      </c>
      <c r="N519">
        <v>0.1</v>
      </c>
      <c r="O519">
        <v>725.4</v>
      </c>
      <c r="P519">
        <v>0.18</v>
      </c>
      <c r="Q519">
        <v>1450.8</v>
      </c>
      <c r="R519">
        <v>261.14400000000001</v>
      </c>
      <c r="S519">
        <v>1711.944</v>
      </c>
      <c r="T519">
        <f>ROUND(Table2[[#This Row],[TotalAmount]],0)</f>
        <v>1712</v>
      </c>
      <c r="U519" t="s">
        <v>1363</v>
      </c>
      <c r="V519" t="s">
        <v>1361</v>
      </c>
      <c r="W519" s="4">
        <v>45606</v>
      </c>
      <c r="X519" s="4">
        <v>45609</v>
      </c>
      <c r="Y519" t="b">
        <v>0</v>
      </c>
      <c r="Z519" t="s">
        <v>1412</v>
      </c>
      <c r="AA519" t="s">
        <v>1412</v>
      </c>
      <c r="AB519" t="s">
        <v>1412</v>
      </c>
      <c r="AC519" t="s">
        <v>1392</v>
      </c>
      <c r="AD519" t="s">
        <v>1399</v>
      </c>
      <c r="AE519" t="s">
        <v>1391</v>
      </c>
    </row>
    <row r="520" spans="1:31" x14ac:dyDescent="0.3">
      <c r="A520" t="s">
        <v>691</v>
      </c>
      <c r="B520" s="4">
        <v>45504.345833333333</v>
      </c>
      <c r="C520" t="s">
        <v>283</v>
      </c>
      <c r="D520" t="s">
        <v>1148</v>
      </c>
      <c r="E520" t="s">
        <v>1262</v>
      </c>
      <c r="F520" t="str" cm="1">
        <f t="array" ref="F520">_xlfn.IFS(
E520="Ahmedabad","Gujarat",
E520="Bengaluru","Karnataka",
E520="Bhopal","Madhya Pradesh",
E520="Bhubaneswar","Odisha",
E520="Chandigarh","Chandigarh",
E520="Chennai","Tamil Nadu",
E520="Delhi","Delhi",
E520="Guwahati","Assam",
E520="Hyderabad","Telangana",
E520="Indore","Madhya Pradesh",
E520="Jaipur","Rajasthan",
E520="Kochi","Kerala",
E520="Kolkata","West Bengal",
E520="Lucknow","Uttar Pradesh",
E520="Mumbai","Maharashtra",
E520="Nagpur","Maharashtra",
E520="Patna","Bihar",
E520="Pune","Maharashtra",
E520="Raipur","Chhattisgarh",
E520="Surat","Gujarat",
TRUE,"Not Found"
)</f>
        <v>Rajasthan</v>
      </c>
      <c r="G520" t="s">
        <v>1143</v>
      </c>
      <c r="H520" t="s">
        <v>1144</v>
      </c>
      <c r="I520" t="s">
        <v>1145</v>
      </c>
      <c r="J520" t="s">
        <v>1146</v>
      </c>
      <c r="K520" t="s">
        <v>1147</v>
      </c>
      <c r="L520">
        <v>2</v>
      </c>
      <c r="M520">
        <v>2875</v>
      </c>
      <c r="N520">
        <v>0</v>
      </c>
      <c r="O520">
        <v>2875</v>
      </c>
      <c r="P520">
        <v>0.12</v>
      </c>
      <c r="Q520">
        <v>5750</v>
      </c>
      <c r="R520">
        <v>690</v>
      </c>
      <c r="S520">
        <v>6440</v>
      </c>
      <c r="T520">
        <f>ROUND(Table2[[#This Row],[TotalAmount]],0)</f>
        <v>6440</v>
      </c>
      <c r="U520" t="s">
        <v>1360</v>
      </c>
      <c r="V520" t="s">
        <v>1368</v>
      </c>
      <c r="W520" s="4">
        <v>45506</v>
      </c>
      <c r="X520" s="4" t="s">
        <v>1412</v>
      </c>
      <c r="Y520" t="b">
        <v>0</v>
      </c>
      <c r="Z520" t="s">
        <v>1412</v>
      </c>
      <c r="AA520" t="s">
        <v>1412</v>
      </c>
      <c r="AB520" t="s">
        <v>1412</v>
      </c>
      <c r="AC520" t="s">
        <v>1398</v>
      </c>
      <c r="AD520" t="s">
        <v>1377</v>
      </c>
      <c r="AE520" t="s">
        <v>1391</v>
      </c>
    </row>
    <row r="521" spans="1:31" x14ac:dyDescent="0.3">
      <c r="A521" t="s">
        <v>692</v>
      </c>
      <c r="B521" s="4">
        <v>45619.413888888892</v>
      </c>
      <c r="C521" t="s">
        <v>8</v>
      </c>
      <c r="D521" t="s">
        <v>1153</v>
      </c>
      <c r="E521" t="s">
        <v>1154</v>
      </c>
      <c r="F521" t="str" cm="1">
        <f t="array" ref="F521">_xlfn.IFS(
E521="Ahmedabad","Gujarat",
E521="Bengaluru","Karnataka",
E521="Bhopal","Madhya Pradesh",
E521="Bhubaneswar","Odisha",
E521="Chandigarh","Chandigarh",
E521="Chennai","Tamil Nadu",
E521="Delhi","Delhi",
E521="Guwahati","Assam",
E521="Hyderabad","Telangana",
E521="Indore","Madhya Pradesh",
E521="Jaipur","Rajasthan",
E521="Kochi","Kerala",
E521="Kolkata","West Bengal",
E521="Lucknow","Uttar Pradesh",
E521="Mumbai","Maharashtra",
E521="Nagpur","Maharashtra",
E521="Patna","Bihar",
E521="Pune","Maharashtra",
E521="Raipur","Chhattisgarh",
E521="Surat","Gujarat",
TRUE,"Not Found"
)</f>
        <v>Maharashtra</v>
      </c>
      <c r="G521" t="s">
        <v>1143</v>
      </c>
      <c r="H521" t="s">
        <v>1163</v>
      </c>
      <c r="I521" t="s">
        <v>1164</v>
      </c>
      <c r="J521" t="s">
        <v>1165</v>
      </c>
      <c r="K521" t="s">
        <v>1166</v>
      </c>
      <c r="L521">
        <v>3</v>
      </c>
      <c r="M521">
        <v>188</v>
      </c>
      <c r="N521">
        <v>0</v>
      </c>
      <c r="O521">
        <v>188</v>
      </c>
      <c r="P521">
        <v>0.18</v>
      </c>
      <c r="Q521">
        <v>564</v>
      </c>
      <c r="R521">
        <v>101.52</v>
      </c>
      <c r="S521">
        <v>665.52</v>
      </c>
      <c r="T521">
        <f>ROUND(Table2[[#This Row],[TotalAmount]],0)</f>
        <v>666</v>
      </c>
      <c r="U521" t="s">
        <v>1363</v>
      </c>
      <c r="V521" t="s">
        <v>1361</v>
      </c>
      <c r="W521" s="4">
        <v>45620</v>
      </c>
      <c r="X521" s="4">
        <v>45622</v>
      </c>
      <c r="Y521" t="b">
        <v>0</v>
      </c>
      <c r="Z521" t="s">
        <v>1412</v>
      </c>
      <c r="AA521" t="s">
        <v>1412</v>
      </c>
      <c r="AB521" t="s">
        <v>1412</v>
      </c>
      <c r="AC521" t="s">
        <v>1398</v>
      </c>
      <c r="AD521" t="s">
        <v>1394</v>
      </c>
      <c r="AE521" t="s">
        <v>1380</v>
      </c>
    </row>
    <row r="522" spans="1:31" x14ac:dyDescent="0.3">
      <c r="A522" t="s">
        <v>693</v>
      </c>
      <c r="B522" s="4">
        <v>45628.470833333333</v>
      </c>
      <c r="C522" t="s">
        <v>88</v>
      </c>
      <c r="D522" t="s">
        <v>1148</v>
      </c>
      <c r="E522" t="s">
        <v>1262</v>
      </c>
      <c r="F522" t="str" cm="1">
        <f t="array" ref="F522">_xlfn.IFS(
E522="Ahmedabad","Gujarat",
E522="Bengaluru","Karnataka",
E522="Bhopal","Madhya Pradesh",
E522="Bhubaneswar","Odisha",
E522="Chandigarh","Chandigarh",
E522="Chennai","Tamil Nadu",
E522="Delhi","Delhi",
E522="Guwahati","Assam",
E522="Hyderabad","Telangana",
E522="Indore","Madhya Pradesh",
E522="Jaipur","Rajasthan",
E522="Kochi","Kerala",
E522="Kolkata","West Bengal",
E522="Lucknow","Uttar Pradesh",
E522="Mumbai","Maharashtra",
E522="Nagpur","Maharashtra",
E522="Patna","Bihar",
E522="Pune","Maharashtra",
E522="Raipur","Chhattisgarh",
E522="Surat","Gujarat",
TRUE,"Not Found"
)</f>
        <v>Rajasthan</v>
      </c>
      <c r="G522" t="s">
        <v>1143</v>
      </c>
      <c r="H522" t="s">
        <v>1163</v>
      </c>
      <c r="I522" t="s">
        <v>1240</v>
      </c>
      <c r="J522" t="s">
        <v>1247</v>
      </c>
      <c r="K522" t="s">
        <v>1248</v>
      </c>
      <c r="L522">
        <v>2</v>
      </c>
      <c r="M522">
        <v>748</v>
      </c>
      <c r="N522">
        <v>0</v>
      </c>
      <c r="O522">
        <v>748</v>
      </c>
      <c r="P522">
        <v>0.18</v>
      </c>
      <c r="Q522">
        <v>1496</v>
      </c>
      <c r="R522">
        <v>269.27999999999997</v>
      </c>
      <c r="S522">
        <v>1765.28</v>
      </c>
      <c r="T522">
        <f>ROUND(Table2[[#This Row],[TotalAmount]],0)</f>
        <v>1765</v>
      </c>
      <c r="U522" t="s">
        <v>1360</v>
      </c>
      <c r="V522" t="s">
        <v>1361</v>
      </c>
      <c r="W522" s="4">
        <v>45630</v>
      </c>
      <c r="X522" s="4">
        <v>45634</v>
      </c>
      <c r="Y522" t="b">
        <v>0</v>
      </c>
      <c r="Z522" t="s">
        <v>1412</v>
      </c>
      <c r="AA522" t="s">
        <v>1412</v>
      </c>
      <c r="AB522" t="s">
        <v>1412</v>
      </c>
      <c r="AC522" t="s">
        <v>1396</v>
      </c>
      <c r="AD522" t="s">
        <v>1394</v>
      </c>
      <c r="AE522" t="s">
        <v>1383</v>
      </c>
    </row>
    <row r="523" spans="1:31" x14ac:dyDescent="0.3">
      <c r="A523" t="s">
        <v>694</v>
      </c>
      <c r="B523" s="4">
        <v>45499.431944444441</v>
      </c>
      <c r="C523" t="s">
        <v>269</v>
      </c>
      <c r="D523" t="s">
        <v>1141</v>
      </c>
      <c r="E523" t="s">
        <v>1239</v>
      </c>
      <c r="F523" t="str" cm="1">
        <f t="array" ref="F523">_xlfn.IFS(
E523="Ahmedabad","Gujarat",
E523="Bengaluru","Karnataka",
E523="Bhopal","Madhya Pradesh",
E523="Bhubaneswar","Odisha",
E523="Chandigarh","Chandigarh",
E523="Chennai","Tamil Nadu",
E523="Delhi","Delhi",
E523="Guwahati","Assam",
E523="Hyderabad","Telangana",
E523="Indore","Madhya Pradesh",
E523="Jaipur","Rajasthan",
E523="Kochi","Kerala",
E523="Kolkata","West Bengal",
E523="Lucknow","Uttar Pradesh",
E523="Mumbai","Maharashtra",
E523="Nagpur","Maharashtra",
E523="Patna","Bihar",
E523="Pune","Maharashtra",
E523="Raipur","Chhattisgarh",
E523="Surat","Gujarat",
TRUE,"Not Found"
)</f>
        <v>Odisha</v>
      </c>
      <c r="G523" t="s">
        <v>1150</v>
      </c>
      <c r="H523" t="s">
        <v>1163</v>
      </c>
      <c r="I523" t="s">
        <v>1266</v>
      </c>
      <c r="J523" t="s">
        <v>1267</v>
      </c>
      <c r="K523" t="s">
        <v>1268</v>
      </c>
      <c r="L523">
        <v>3</v>
      </c>
      <c r="M523">
        <v>864</v>
      </c>
      <c r="N523">
        <v>0</v>
      </c>
      <c r="O523">
        <v>864</v>
      </c>
      <c r="P523">
        <v>0.12</v>
      </c>
      <c r="Q523">
        <v>2592</v>
      </c>
      <c r="R523">
        <v>311.04000000000002</v>
      </c>
      <c r="S523">
        <v>2903.04</v>
      </c>
      <c r="T523">
        <f>ROUND(Table2[[#This Row],[TotalAmount]],0)</f>
        <v>2903</v>
      </c>
      <c r="U523" t="s">
        <v>1360</v>
      </c>
      <c r="V523" t="s">
        <v>1369</v>
      </c>
      <c r="W523" s="4" t="s">
        <v>1412</v>
      </c>
      <c r="X523" s="4" t="s">
        <v>1412</v>
      </c>
      <c r="Y523" t="b">
        <v>0</v>
      </c>
      <c r="Z523" t="s">
        <v>1412</v>
      </c>
      <c r="AA523" t="s">
        <v>1412</v>
      </c>
      <c r="AB523" t="s">
        <v>1412</v>
      </c>
      <c r="AC523" t="s">
        <v>1382</v>
      </c>
      <c r="AD523" t="s">
        <v>1385</v>
      </c>
      <c r="AE523" t="s">
        <v>1380</v>
      </c>
    </row>
    <row r="524" spans="1:31" x14ac:dyDescent="0.3">
      <c r="A524" t="s">
        <v>695</v>
      </c>
      <c r="B524" s="4">
        <v>45707.552777777782</v>
      </c>
      <c r="C524" t="s">
        <v>259</v>
      </c>
      <c r="D524" t="s">
        <v>1141</v>
      </c>
      <c r="E524" t="s">
        <v>1227</v>
      </c>
      <c r="F524" t="str" cm="1">
        <f t="array" ref="F524">_xlfn.IFS(
E524="Ahmedabad","Gujarat",
E524="Bengaluru","Karnataka",
E524="Bhopal","Madhya Pradesh",
E524="Bhubaneswar","Odisha",
E524="Chandigarh","Chandigarh",
E524="Chennai","Tamil Nadu",
E524="Delhi","Delhi",
E524="Guwahati","Assam",
E524="Hyderabad","Telangana",
E524="Indore","Madhya Pradesh",
E524="Jaipur","Rajasthan",
E524="Kochi","Kerala",
E524="Kolkata","West Bengal",
E524="Lucknow","Uttar Pradesh",
E524="Mumbai","Maharashtra",
E524="Nagpur","Maharashtra",
E524="Patna","Bihar",
E524="Pune","Maharashtra",
E524="Raipur","Chhattisgarh",
E524="Surat","Gujarat",
TRUE,"Not Found"
)</f>
        <v>Bihar</v>
      </c>
      <c r="G524" t="s">
        <v>1150</v>
      </c>
      <c r="H524" t="s">
        <v>1144</v>
      </c>
      <c r="I524" t="s">
        <v>1159</v>
      </c>
      <c r="J524" t="s">
        <v>1160</v>
      </c>
      <c r="K524" t="s">
        <v>1161</v>
      </c>
      <c r="L524">
        <v>2</v>
      </c>
      <c r="M524">
        <v>14946</v>
      </c>
      <c r="N524">
        <v>0</v>
      </c>
      <c r="O524">
        <v>14946</v>
      </c>
      <c r="P524">
        <v>0.18</v>
      </c>
      <c r="Q524">
        <v>29892</v>
      </c>
      <c r="R524">
        <v>5380.5599999999986</v>
      </c>
      <c r="S524">
        <v>35272.559999999998</v>
      </c>
      <c r="T524">
        <f>ROUND(Table2[[#This Row],[TotalAmount]],0)</f>
        <v>35273</v>
      </c>
      <c r="U524" t="s">
        <v>1365</v>
      </c>
      <c r="V524" t="s">
        <v>1361</v>
      </c>
      <c r="W524" s="4">
        <v>45708</v>
      </c>
      <c r="X524" s="4">
        <v>45713</v>
      </c>
      <c r="Y524" t="b">
        <v>0</v>
      </c>
      <c r="Z524" t="s">
        <v>1412</v>
      </c>
      <c r="AA524" t="s">
        <v>1412</v>
      </c>
      <c r="AB524" t="s">
        <v>1412</v>
      </c>
      <c r="AC524" t="s">
        <v>1382</v>
      </c>
      <c r="AD524" t="s">
        <v>1394</v>
      </c>
      <c r="AE524" t="s">
        <v>1395</v>
      </c>
    </row>
    <row r="525" spans="1:31" x14ac:dyDescent="0.3">
      <c r="A525" t="s">
        <v>696</v>
      </c>
      <c r="B525" s="4">
        <v>45331.624305555553</v>
      </c>
      <c r="C525" t="s">
        <v>111</v>
      </c>
      <c r="D525" t="s">
        <v>1153</v>
      </c>
      <c r="E525" t="s">
        <v>1162</v>
      </c>
      <c r="F525" t="str" cm="1">
        <f t="array" ref="F525">_xlfn.IFS(
E525="Ahmedabad","Gujarat",
E525="Bengaluru","Karnataka",
E525="Bhopal","Madhya Pradesh",
E525="Bhubaneswar","Odisha",
E525="Chandigarh","Chandigarh",
E525="Chennai","Tamil Nadu",
E525="Delhi","Delhi",
E525="Guwahati","Assam",
E525="Hyderabad","Telangana",
E525="Indore","Madhya Pradesh",
E525="Jaipur","Rajasthan",
E525="Kochi","Kerala",
E525="Kolkata","West Bengal",
E525="Lucknow","Uttar Pradesh",
E525="Mumbai","Maharashtra",
E525="Nagpur","Maharashtra",
E525="Patna","Bihar",
E525="Pune","Maharashtra",
E525="Raipur","Chhattisgarh",
E525="Surat","Gujarat",
TRUE,"Not Found"
)</f>
        <v>Madhya Pradesh</v>
      </c>
      <c r="G525" t="s">
        <v>1143</v>
      </c>
      <c r="H525" t="s">
        <v>1172</v>
      </c>
      <c r="I525" t="s">
        <v>1198</v>
      </c>
      <c r="J525" t="s">
        <v>1303</v>
      </c>
      <c r="K525" t="s">
        <v>1304</v>
      </c>
      <c r="L525">
        <v>3</v>
      </c>
      <c r="M525">
        <v>7365</v>
      </c>
      <c r="N525">
        <v>0.1</v>
      </c>
      <c r="O525">
        <v>6628.5</v>
      </c>
      <c r="P525">
        <v>0.12</v>
      </c>
      <c r="Q525">
        <v>19885.5</v>
      </c>
      <c r="R525">
        <v>2386.2600000000002</v>
      </c>
      <c r="S525">
        <v>22271.759999999998</v>
      </c>
      <c r="T525">
        <f>ROUND(Table2[[#This Row],[TotalAmount]],0)</f>
        <v>22272</v>
      </c>
      <c r="U525" t="s">
        <v>1363</v>
      </c>
      <c r="V525" t="s">
        <v>1361</v>
      </c>
      <c r="W525" s="4">
        <v>45331</v>
      </c>
      <c r="X525" s="4">
        <v>45334</v>
      </c>
      <c r="Y525" t="b">
        <v>0</v>
      </c>
      <c r="Z525" t="s">
        <v>1412</v>
      </c>
      <c r="AA525" t="s">
        <v>1412</v>
      </c>
      <c r="AB525" t="s">
        <v>1412</v>
      </c>
      <c r="AC525" t="s">
        <v>1396</v>
      </c>
      <c r="AD525" t="s">
        <v>1399</v>
      </c>
      <c r="AE525" t="s">
        <v>1389</v>
      </c>
    </row>
    <row r="526" spans="1:31" x14ac:dyDescent="0.3">
      <c r="A526" t="s">
        <v>697</v>
      </c>
      <c r="B526" s="4">
        <v>45538.576388888891</v>
      </c>
      <c r="C526" t="s">
        <v>88</v>
      </c>
      <c r="D526" t="s">
        <v>1148</v>
      </c>
      <c r="E526" t="s">
        <v>1262</v>
      </c>
      <c r="F526" t="str" cm="1">
        <f t="array" ref="F526">_xlfn.IFS(
E526="Ahmedabad","Gujarat",
E526="Bengaluru","Karnataka",
E526="Bhopal","Madhya Pradesh",
E526="Bhubaneswar","Odisha",
E526="Chandigarh","Chandigarh",
E526="Chennai","Tamil Nadu",
E526="Delhi","Delhi",
E526="Guwahati","Assam",
E526="Hyderabad","Telangana",
E526="Indore","Madhya Pradesh",
E526="Jaipur","Rajasthan",
E526="Kochi","Kerala",
E526="Kolkata","West Bengal",
E526="Lucknow","Uttar Pradesh",
E526="Mumbai","Maharashtra",
E526="Nagpur","Maharashtra",
E526="Patna","Bihar",
E526="Pune","Maharashtra",
E526="Raipur","Chhattisgarh",
E526="Surat","Gujarat",
TRUE,"Not Found"
)</f>
        <v>Rajasthan</v>
      </c>
      <c r="G526" t="s">
        <v>1143</v>
      </c>
      <c r="H526" t="s">
        <v>1172</v>
      </c>
      <c r="I526" t="s">
        <v>1204</v>
      </c>
      <c r="J526" t="s">
        <v>1297</v>
      </c>
      <c r="K526" t="s">
        <v>1298</v>
      </c>
      <c r="L526">
        <v>3</v>
      </c>
      <c r="M526">
        <v>6223</v>
      </c>
      <c r="N526">
        <v>0.05</v>
      </c>
      <c r="O526">
        <v>5911.8499999999995</v>
      </c>
      <c r="P526">
        <v>0.12</v>
      </c>
      <c r="Q526">
        <v>17735.55</v>
      </c>
      <c r="R526">
        <v>2128.2660000000001</v>
      </c>
      <c r="S526">
        <v>19863.815999999999</v>
      </c>
      <c r="T526">
        <f>ROUND(Table2[[#This Row],[TotalAmount]],0)</f>
        <v>19864</v>
      </c>
      <c r="U526" t="s">
        <v>1362</v>
      </c>
      <c r="V526" t="s">
        <v>1361</v>
      </c>
      <c r="W526" s="4">
        <v>45538</v>
      </c>
      <c r="X526" s="4">
        <v>45542</v>
      </c>
      <c r="Y526" t="b">
        <v>0</v>
      </c>
      <c r="Z526" t="s">
        <v>1412</v>
      </c>
      <c r="AA526" t="s">
        <v>1412</v>
      </c>
      <c r="AB526" t="s">
        <v>1412</v>
      </c>
      <c r="AC526" t="s">
        <v>1376</v>
      </c>
      <c r="AD526" t="s">
        <v>1387</v>
      </c>
      <c r="AE526" t="s">
        <v>1393</v>
      </c>
    </row>
    <row r="527" spans="1:31" x14ac:dyDescent="0.3">
      <c r="A527" t="s">
        <v>698</v>
      </c>
      <c r="B527" s="4">
        <v>45337.594444444447</v>
      </c>
      <c r="C527" t="s">
        <v>699</v>
      </c>
      <c r="D527" t="s">
        <v>1148</v>
      </c>
      <c r="E527" t="s">
        <v>1149</v>
      </c>
      <c r="F527" t="str" cm="1">
        <f t="array" ref="F527">_xlfn.IFS(
E527="Ahmedabad","Gujarat",
E527="Bengaluru","Karnataka",
E527="Bhopal","Madhya Pradesh",
E527="Bhubaneswar","Odisha",
E527="Chandigarh","Chandigarh",
E527="Chennai","Tamil Nadu",
E527="Delhi","Delhi",
E527="Guwahati","Assam",
E527="Hyderabad","Telangana",
E527="Indore","Madhya Pradesh",
E527="Jaipur","Rajasthan",
E527="Kochi","Kerala",
E527="Kolkata","West Bengal",
E527="Lucknow","Uttar Pradesh",
E527="Mumbai","Maharashtra",
E527="Nagpur","Maharashtra",
E527="Patna","Bihar",
E527="Pune","Maharashtra",
E527="Raipur","Chhattisgarh",
E527="Surat","Gujarat",
TRUE,"Not Found"
)</f>
        <v>Uttar Pradesh</v>
      </c>
      <c r="G527" t="s">
        <v>1228</v>
      </c>
      <c r="H527" t="s">
        <v>1163</v>
      </c>
      <c r="I527" t="s">
        <v>1164</v>
      </c>
      <c r="J527" t="s">
        <v>1324</v>
      </c>
      <c r="K527" t="s">
        <v>1325</v>
      </c>
      <c r="L527">
        <v>3</v>
      </c>
      <c r="M527">
        <v>1081</v>
      </c>
      <c r="N527">
        <v>0</v>
      </c>
      <c r="O527">
        <v>1081</v>
      </c>
      <c r="P527">
        <v>0.18</v>
      </c>
      <c r="Q527">
        <v>3243</v>
      </c>
      <c r="R527">
        <v>583.74</v>
      </c>
      <c r="S527">
        <v>3826.74</v>
      </c>
      <c r="T527">
        <f>ROUND(Table2[[#This Row],[TotalAmount]],0)</f>
        <v>3827</v>
      </c>
      <c r="U527" t="s">
        <v>1362</v>
      </c>
      <c r="V527" t="s">
        <v>1361</v>
      </c>
      <c r="W527" s="4">
        <v>45337</v>
      </c>
      <c r="X527" s="4">
        <v>45338</v>
      </c>
      <c r="Y527" t="b">
        <v>0</v>
      </c>
      <c r="Z527" t="s">
        <v>1412</v>
      </c>
      <c r="AA527" t="s">
        <v>1412</v>
      </c>
      <c r="AB527" t="s">
        <v>1412</v>
      </c>
      <c r="AC527" t="s">
        <v>1376</v>
      </c>
      <c r="AD527" t="s">
        <v>1377</v>
      </c>
      <c r="AE527" t="s">
        <v>1393</v>
      </c>
    </row>
    <row r="528" spans="1:31" x14ac:dyDescent="0.3">
      <c r="A528" t="s">
        <v>700</v>
      </c>
      <c r="B528" s="4">
        <v>45678.504166666673</v>
      </c>
      <c r="C528" t="s">
        <v>237</v>
      </c>
      <c r="D528" t="s">
        <v>1182</v>
      </c>
      <c r="E528" t="s">
        <v>1183</v>
      </c>
      <c r="F528" t="str" cm="1">
        <f t="array" ref="F528">_xlfn.IFS(
E528="Ahmedabad","Gujarat",
E528="Bengaluru","Karnataka",
E528="Bhopal","Madhya Pradesh",
E528="Bhubaneswar","Odisha",
E528="Chandigarh","Chandigarh",
E528="Chennai","Tamil Nadu",
E528="Delhi","Delhi",
E528="Guwahati","Assam",
E528="Hyderabad","Telangana",
E528="Indore","Madhya Pradesh",
E528="Jaipur","Rajasthan",
E528="Kochi","Kerala",
E528="Kolkata","West Bengal",
E528="Lucknow","Uttar Pradesh",
E528="Mumbai","Maharashtra",
E528="Nagpur","Maharashtra",
E528="Patna","Bihar",
E528="Pune","Maharashtra",
E528="Raipur","Chhattisgarh",
E528="Surat","Gujarat",
TRUE,"Not Found"
)</f>
        <v>Telangana</v>
      </c>
      <c r="G528" t="s">
        <v>1143</v>
      </c>
      <c r="H528" t="s">
        <v>1144</v>
      </c>
      <c r="I528" t="s">
        <v>1214</v>
      </c>
      <c r="J528" t="s">
        <v>1252</v>
      </c>
      <c r="K528" t="s">
        <v>1253</v>
      </c>
      <c r="L528">
        <v>1</v>
      </c>
      <c r="M528">
        <v>13507</v>
      </c>
      <c r="N528">
        <v>0</v>
      </c>
      <c r="O528">
        <v>13507</v>
      </c>
      <c r="P528">
        <v>0.05</v>
      </c>
      <c r="Q528">
        <v>13507</v>
      </c>
      <c r="R528">
        <v>675.35</v>
      </c>
      <c r="S528">
        <v>14182.35</v>
      </c>
      <c r="T528">
        <f>ROUND(Table2[[#This Row],[TotalAmount]],0)</f>
        <v>14182</v>
      </c>
      <c r="U528" t="s">
        <v>1363</v>
      </c>
      <c r="V528" t="s">
        <v>1361</v>
      </c>
      <c r="W528" s="4">
        <v>45680</v>
      </c>
      <c r="X528" s="4">
        <v>45684</v>
      </c>
      <c r="Y528" t="b">
        <v>0</v>
      </c>
      <c r="Z528" t="s">
        <v>1412</v>
      </c>
      <c r="AA528" t="s">
        <v>1412</v>
      </c>
      <c r="AB528" t="s">
        <v>1412</v>
      </c>
      <c r="AC528" t="s">
        <v>1384</v>
      </c>
      <c r="AD528" t="s">
        <v>1397</v>
      </c>
      <c r="AE528" t="s">
        <v>1378</v>
      </c>
    </row>
    <row r="529" spans="1:31" x14ac:dyDescent="0.3">
      <c r="A529" t="s">
        <v>701</v>
      </c>
      <c r="B529" s="4">
        <v>45437.590277777781</v>
      </c>
      <c r="C529" t="s">
        <v>135</v>
      </c>
      <c r="D529" t="s">
        <v>1182</v>
      </c>
      <c r="E529" t="s">
        <v>1207</v>
      </c>
      <c r="F529" t="str" cm="1">
        <f t="array" ref="F529">_xlfn.IFS(
E529="Ahmedabad","Gujarat",
E529="Bengaluru","Karnataka",
E529="Bhopal","Madhya Pradesh",
E529="Bhubaneswar","Odisha",
E529="Chandigarh","Chandigarh",
E529="Chennai","Tamil Nadu",
E529="Delhi","Delhi",
E529="Guwahati","Assam",
E529="Hyderabad","Telangana",
E529="Indore","Madhya Pradesh",
E529="Jaipur","Rajasthan",
E529="Kochi","Kerala",
E529="Kolkata","West Bengal",
E529="Lucknow","Uttar Pradesh",
E529="Mumbai","Maharashtra",
E529="Nagpur","Maharashtra",
E529="Patna","Bihar",
E529="Pune","Maharashtra",
E529="Raipur","Chhattisgarh",
E529="Surat","Gujarat",
TRUE,"Not Found"
)</f>
        <v>Tamil Nadu</v>
      </c>
      <c r="G529" t="s">
        <v>1143</v>
      </c>
      <c r="H529" t="s">
        <v>1177</v>
      </c>
      <c r="I529" t="s">
        <v>1192</v>
      </c>
      <c r="J529" t="s">
        <v>1193</v>
      </c>
      <c r="K529" t="s">
        <v>1194</v>
      </c>
      <c r="L529">
        <v>2</v>
      </c>
      <c r="M529">
        <v>2416</v>
      </c>
      <c r="N529">
        <v>0.15</v>
      </c>
      <c r="O529">
        <v>2053.6</v>
      </c>
      <c r="P529">
        <v>0.05</v>
      </c>
      <c r="Q529">
        <v>4107.2</v>
      </c>
      <c r="R529">
        <v>205.36</v>
      </c>
      <c r="S529">
        <v>4312.5599999999986</v>
      </c>
      <c r="T529">
        <f>ROUND(Table2[[#This Row],[TotalAmount]],0)</f>
        <v>4313</v>
      </c>
      <c r="U529" t="s">
        <v>1360</v>
      </c>
      <c r="V529" t="s">
        <v>1361</v>
      </c>
      <c r="W529" s="4">
        <v>45438</v>
      </c>
      <c r="X529" s="4">
        <v>45440</v>
      </c>
      <c r="Y529" t="b">
        <v>0</v>
      </c>
      <c r="Z529" t="s">
        <v>1412</v>
      </c>
      <c r="AA529" t="s">
        <v>1412</v>
      </c>
      <c r="AB529" t="s">
        <v>1412</v>
      </c>
      <c r="AC529" t="s">
        <v>1379</v>
      </c>
      <c r="AD529" t="s">
        <v>1400</v>
      </c>
      <c r="AE529" t="s">
        <v>1395</v>
      </c>
    </row>
    <row r="530" spans="1:31" x14ac:dyDescent="0.3">
      <c r="A530" t="s">
        <v>702</v>
      </c>
      <c r="B530" s="4">
        <v>45625.45208333333</v>
      </c>
      <c r="C530" t="s">
        <v>40</v>
      </c>
      <c r="D530" t="s">
        <v>1141</v>
      </c>
      <c r="E530" t="s">
        <v>1142</v>
      </c>
      <c r="F530" t="str" cm="1">
        <f t="array" ref="F530">_xlfn.IFS(
E530="Ahmedabad","Gujarat",
E530="Bengaluru","Karnataka",
E530="Bhopal","Madhya Pradesh",
E530="Bhubaneswar","Odisha",
E530="Chandigarh","Chandigarh",
E530="Chennai","Tamil Nadu",
E530="Delhi","Delhi",
E530="Guwahati","Assam",
E530="Hyderabad","Telangana",
E530="Indore","Madhya Pradesh",
E530="Jaipur","Rajasthan",
E530="Kochi","Kerala",
E530="Kolkata","West Bengal",
E530="Lucknow","Uttar Pradesh",
E530="Mumbai","Maharashtra",
E530="Nagpur","Maharashtra",
E530="Patna","Bihar",
E530="Pune","Maharashtra",
E530="Raipur","Chhattisgarh",
E530="Surat","Gujarat",
TRUE,"Not Found"
)</f>
        <v>West Bengal</v>
      </c>
      <c r="G530" t="s">
        <v>1143</v>
      </c>
      <c r="H530" t="s">
        <v>1144</v>
      </c>
      <c r="I530" t="s">
        <v>1214</v>
      </c>
      <c r="J530" t="s">
        <v>1215</v>
      </c>
      <c r="K530" t="s">
        <v>1216</v>
      </c>
      <c r="L530">
        <v>4</v>
      </c>
      <c r="M530">
        <v>10951</v>
      </c>
      <c r="N530">
        <v>0.05</v>
      </c>
      <c r="O530">
        <v>10403.450000000001</v>
      </c>
      <c r="P530">
        <v>0.12</v>
      </c>
      <c r="Q530">
        <v>41613.800000000003</v>
      </c>
      <c r="R530">
        <v>4993.655999999999</v>
      </c>
      <c r="S530">
        <v>46607.455999999991</v>
      </c>
      <c r="T530">
        <f>ROUND(Table2[[#This Row],[TotalAmount]],0)</f>
        <v>46607</v>
      </c>
      <c r="U530" t="s">
        <v>1366</v>
      </c>
      <c r="V530" t="s">
        <v>1364</v>
      </c>
      <c r="W530" s="4">
        <v>45627</v>
      </c>
      <c r="X530" s="4" t="s">
        <v>1412</v>
      </c>
      <c r="Y530" t="b">
        <v>1</v>
      </c>
      <c r="Z530" s="1">
        <v>45633</v>
      </c>
      <c r="AA530" s="1">
        <v>45633</v>
      </c>
      <c r="AB530" t="s">
        <v>1403</v>
      </c>
      <c r="AC530" t="s">
        <v>1392</v>
      </c>
      <c r="AD530" t="s">
        <v>1387</v>
      </c>
      <c r="AE530" t="s">
        <v>1380</v>
      </c>
    </row>
    <row r="531" spans="1:31" x14ac:dyDescent="0.3">
      <c r="A531" t="s">
        <v>703</v>
      </c>
      <c r="B531" s="4">
        <v>45324.595138888893</v>
      </c>
      <c r="C531" t="s">
        <v>524</v>
      </c>
      <c r="D531" t="s">
        <v>1148</v>
      </c>
      <c r="E531" t="s">
        <v>1149</v>
      </c>
      <c r="F531" t="str" cm="1">
        <f t="array" ref="F531">_xlfn.IFS(
E531="Ahmedabad","Gujarat",
E531="Bengaluru","Karnataka",
E531="Bhopal","Madhya Pradesh",
E531="Bhubaneswar","Odisha",
E531="Chandigarh","Chandigarh",
E531="Chennai","Tamil Nadu",
E531="Delhi","Delhi",
E531="Guwahati","Assam",
E531="Hyderabad","Telangana",
E531="Indore","Madhya Pradesh",
E531="Jaipur","Rajasthan",
E531="Kochi","Kerala",
E531="Kolkata","West Bengal",
E531="Lucknow","Uttar Pradesh",
E531="Mumbai","Maharashtra",
E531="Nagpur","Maharashtra",
E531="Patna","Bihar",
E531="Pune","Maharashtra",
E531="Raipur","Chhattisgarh",
E531="Surat","Gujarat",
TRUE,"Not Found"
)</f>
        <v>Uttar Pradesh</v>
      </c>
      <c r="G531" t="s">
        <v>1228</v>
      </c>
      <c r="H531" t="s">
        <v>1177</v>
      </c>
      <c r="I531" t="s">
        <v>1236</v>
      </c>
      <c r="J531" t="s">
        <v>1254</v>
      </c>
      <c r="K531" t="s">
        <v>1255</v>
      </c>
      <c r="L531">
        <v>1</v>
      </c>
      <c r="M531">
        <v>1517</v>
      </c>
      <c r="N531">
        <v>0</v>
      </c>
      <c r="O531">
        <v>1517</v>
      </c>
      <c r="P531">
        <v>0.12</v>
      </c>
      <c r="Q531">
        <v>1517</v>
      </c>
      <c r="R531">
        <v>182.04</v>
      </c>
      <c r="S531">
        <v>1699.04</v>
      </c>
      <c r="T531">
        <f>ROUND(Table2[[#This Row],[TotalAmount]],0)</f>
        <v>1699</v>
      </c>
      <c r="U531" t="s">
        <v>1360</v>
      </c>
      <c r="V531" t="s">
        <v>1368</v>
      </c>
      <c r="W531" s="4">
        <v>45325</v>
      </c>
      <c r="X531" s="4" t="s">
        <v>1412</v>
      </c>
      <c r="Y531" t="b">
        <v>0</v>
      </c>
      <c r="Z531" t="s">
        <v>1412</v>
      </c>
      <c r="AA531" t="s">
        <v>1412</v>
      </c>
      <c r="AB531" t="s">
        <v>1412</v>
      </c>
      <c r="AC531" t="s">
        <v>1388</v>
      </c>
      <c r="AD531" t="s">
        <v>1400</v>
      </c>
      <c r="AE531" t="s">
        <v>1391</v>
      </c>
    </row>
    <row r="532" spans="1:31" x14ac:dyDescent="0.3">
      <c r="A532" t="s">
        <v>704</v>
      </c>
      <c r="B532" s="4">
        <v>45435.611805555563</v>
      </c>
      <c r="C532" t="s">
        <v>51</v>
      </c>
      <c r="D532" t="s">
        <v>1141</v>
      </c>
      <c r="E532" t="s">
        <v>1227</v>
      </c>
      <c r="F532" t="str" cm="1">
        <f t="array" ref="F532">_xlfn.IFS(
E532="Ahmedabad","Gujarat",
E532="Bengaluru","Karnataka",
E532="Bhopal","Madhya Pradesh",
E532="Bhubaneswar","Odisha",
E532="Chandigarh","Chandigarh",
E532="Chennai","Tamil Nadu",
E532="Delhi","Delhi",
E532="Guwahati","Assam",
E532="Hyderabad","Telangana",
E532="Indore","Madhya Pradesh",
E532="Jaipur","Rajasthan",
E532="Kochi","Kerala",
E532="Kolkata","West Bengal",
E532="Lucknow","Uttar Pradesh",
E532="Mumbai","Maharashtra",
E532="Nagpur","Maharashtra",
E532="Patna","Bihar",
E532="Pune","Maharashtra",
E532="Raipur","Chhattisgarh",
E532="Surat","Gujarat",
TRUE,"Not Found"
)</f>
        <v>Bihar</v>
      </c>
      <c r="G532" t="s">
        <v>1143</v>
      </c>
      <c r="H532" t="s">
        <v>1163</v>
      </c>
      <c r="I532" t="s">
        <v>1164</v>
      </c>
      <c r="J532" t="s">
        <v>1324</v>
      </c>
      <c r="K532" t="s">
        <v>1325</v>
      </c>
      <c r="L532">
        <v>1</v>
      </c>
      <c r="M532">
        <v>938</v>
      </c>
      <c r="N532">
        <v>0.1</v>
      </c>
      <c r="O532">
        <v>844.2</v>
      </c>
      <c r="P532">
        <v>0.18</v>
      </c>
      <c r="Q532">
        <v>844.2</v>
      </c>
      <c r="R532">
        <v>151.95599999999999</v>
      </c>
      <c r="S532">
        <v>996.15600000000006</v>
      </c>
      <c r="T532">
        <f>ROUND(Table2[[#This Row],[TotalAmount]],0)</f>
        <v>996</v>
      </c>
      <c r="U532" t="s">
        <v>1363</v>
      </c>
      <c r="V532" t="s">
        <v>1361</v>
      </c>
      <c r="W532" s="4">
        <v>45435</v>
      </c>
      <c r="X532" s="4">
        <v>45439</v>
      </c>
      <c r="Y532" t="b">
        <v>0</v>
      </c>
      <c r="Z532" t="s">
        <v>1412</v>
      </c>
      <c r="AA532" t="s">
        <v>1412</v>
      </c>
      <c r="AB532" t="s">
        <v>1412</v>
      </c>
      <c r="AC532" t="s">
        <v>1396</v>
      </c>
      <c r="AD532" t="s">
        <v>1387</v>
      </c>
      <c r="AE532" t="s">
        <v>1393</v>
      </c>
    </row>
    <row r="533" spans="1:31" x14ac:dyDescent="0.3">
      <c r="A533" t="s">
        <v>705</v>
      </c>
      <c r="B533" s="4">
        <v>45363.561805555553</v>
      </c>
      <c r="C533" t="s">
        <v>88</v>
      </c>
      <c r="D533" t="s">
        <v>1148</v>
      </c>
      <c r="E533" t="s">
        <v>1262</v>
      </c>
      <c r="F533" t="str" cm="1">
        <f t="array" ref="F533">_xlfn.IFS(
E533="Ahmedabad","Gujarat",
E533="Bengaluru","Karnataka",
E533="Bhopal","Madhya Pradesh",
E533="Bhubaneswar","Odisha",
E533="Chandigarh","Chandigarh",
E533="Chennai","Tamil Nadu",
E533="Delhi","Delhi",
E533="Guwahati","Assam",
E533="Hyderabad","Telangana",
E533="Indore","Madhya Pradesh",
E533="Jaipur","Rajasthan",
E533="Kochi","Kerala",
E533="Kolkata","West Bengal",
E533="Lucknow","Uttar Pradesh",
E533="Mumbai","Maharashtra",
E533="Nagpur","Maharashtra",
E533="Patna","Bihar",
E533="Pune","Maharashtra",
E533="Raipur","Chhattisgarh",
E533="Surat","Gujarat",
TRUE,"Not Found"
)</f>
        <v>Rajasthan</v>
      </c>
      <c r="G533" t="s">
        <v>1150</v>
      </c>
      <c r="H533" t="s">
        <v>1172</v>
      </c>
      <c r="I533" t="s">
        <v>1229</v>
      </c>
      <c r="J533" t="s">
        <v>1230</v>
      </c>
      <c r="K533" t="s">
        <v>1231</v>
      </c>
      <c r="L533">
        <v>1</v>
      </c>
      <c r="M533">
        <v>8270</v>
      </c>
      <c r="N533">
        <v>0</v>
      </c>
      <c r="O533">
        <v>8270</v>
      </c>
      <c r="P533">
        <v>0.12</v>
      </c>
      <c r="Q533">
        <v>8270</v>
      </c>
      <c r="R533">
        <v>992.4</v>
      </c>
      <c r="S533">
        <v>9262.4</v>
      </c>
      <c r="T533">
        <f>ROUND(Table2[[#This Row],[TotalAmount]],0)</f>
        <v>9262</v>
      </c>
      <c r="U533" t="s">
        <v>1360</v>
      </c>
      <c r="V533" t="s">
        <v>1361</v>
      </c>
      <c r="W533" s="4">
        <v>45364</v>
      </c>
      <c r="X533" s="4">
        <v>45366</v>
      </c>
      <c r="Y533" t="b">
        <v>0</v>
      </c>
      <c r="Z533" t="s">
        <v>1412</v>
      </c>
      <c r="AA533" t="s">
        <v>1412</v>
      </c>
      <c r="AB533" t="s">
        <v>1412</v>
      </c>
      <c r="AC533" t="s">
        <v>1384</v>
      </c>
      <c r="AD533" t="s">
        <v>1399</v>
      </c>
      <c r="AE533" t="s">
        <v>1389</v>
      </c>
    </row>
    <row r="534" spans="1:31" x14ac:dyDescent="0.3">
      <c r="A534" t="s">
        <v>706</v>
      </c>
      <c r="B534" s="4">
        <v>45714.559027777781</v>
      </c>
      <c r="C534" t="s">
        <v>63</v>
      </c>
      <c r="D534" t="s">
        <v>1141</v>
      </c>
      <c r="E534" t="s">
        <v>1239</v>
      </c>
      <c r="F534" t="str" cm="1">
        <f t="array" ref="F534">_xlfn.IFS(
E534="Ahmedabad","Gujarat",
E534="Bengaluru","Karnataka",
E534="Bhopal","Madhya Pradesh",
E534="Bhubaneswar","Odisha",
E534="Chandigarh","Chandigarh",
E534="Chennai","Tamil Nadu",
E534="Delhi","Delhi",
E534="Guwahati","Assam",
E534="Hyderabad","Telangana",
E534="Indore","Madhya Pradesh",
E534="Jaipur","Rajasthan",
E534="Kochi","Kerala",
E534="Kolkata","West Bengal",
E534="Lucknow","Uttar Pradesh",
E534="Mumbai","Maharashtra",
E534="Nagpur","Maharashtra",
E534="Patna","Bihar",
E534="Pune","Maharashtra",
E534="Raipur","Chhattisgarh",
E534="Surat","Gujarat",
TRUE,"Not Found"
)</f>
        <v>Odisha</v>
      </c>
      <c r="G534" t="s">
        <v>1143</v>
      </c>
      <c r="H534" t="s">
        <v>1177</v>
      </c>
      <c r="I534" t="s">
        <v>1178</v>
      </c>
      <c r="J534" t="s">
        <v>1179</v>
      </c>
      <c r="K534" t="s">
        <v>1180</v>
      </c>
      <c r="L534">
        <v>2</v>
      </c>
      <c r="M534">
        <v>2195</v>
      </c>
      <c r="N534">
        <v>0.05</v>
      </c>
      <c r="O534">
        <v>2085.25</v>
      </c>
      <c r="P534">
        <v>0.18</v>
      </c>
      <c r="Q534">
        <v>4170.5</v>
      </c>
      <c r="R534">
        <v>750.68999999999994</v>
      </c>
      <c r="S534">
        <v>4921.1899999999996</v>
      </c>
      <c r="T534">
        <f>ROUND(Table2[[#This Row],[TotalAmount]],0)</f>
        <v>4921</v>
      </c>
      <c r="U534" t="s">
        <v>1360</v>
      </c>
      <c r="V534" t="s">
        <v>1361</v>
      </c>
      <c r="W534" s="4">
        <v>45716</v>
      </c>
      <c r="X534" s="4">
        <v>45719</v>
      </c>
      <c r="Y534" t="b">
        <v>0</v>
      </c>
      <c r="Z534" t="s">
        <v>1412</v>
      </c>
      <c r="AA534" t="s">
        <v>1412</v>
      </c>
      <c r="AB534" t="s">
        <v>1412</v>
      </c>
      <c r="AC534" t="s">
        <v>1386</v>
      </c>
      <c r="AD534" t="s">
        <v>1400</v>
      </c>
      <c r="AE534" t="s">
        <v>1389</v>
      </c>
    </row>
    <row r="535" spans="1:31" x14ac:dyDescent="0.3">
      <c r="A535" t="s">
        <v>707</v>
      </c>
      <c r="B535" s="4">
        <v>45542.59375</v>
      </c>
      <c r="C535" t="s">
        <v>193</v>
      </c>
      <c r="D535" t="s">
        <v>1148</v>
      </c>
      <c r="E535" t="s">
        <v>1217</v>
      </c>
      <c r="F535" t="str" cm="1">
        <f t="array" ref="F535">_xlfn.IFS(
E535="Ahmedabad","Gujarat",
E535="Bengaluru","Karnataka",
E535="Bhopal","Madhya Pradesh",
E535="Bhubaneswar","Odisha",
E535="Chandigarh","Chandigarh",
E535="Chennai","Tamil Nadu",
E535="Delhi","Delhi",
E535="Guwahati","Assam",
E535="Hyderabad","Telangana",
E535="Indore","Madhya Pradesh",
E535="Jaipur","Rajasthan",
E535="Kochi","Kerala",
E535="Kolkata","West Bengal",
E535="Lucknow","Uttar Pradesh",
E535="Mumbai","Maharashtra",
E535="Nagpur","Maharashtra",
E535="Patna","Bihar",
E535="Pune","Maharashtra",
E535="Raipur","Chhattisgarh",
E535="Surat","Gujarat",
TRUE,"Not Found"
)</f>
        <v>Delhi</v>
      </c>
      <c r="G535" t="s">
        <v>1143</v>
      </c>
      <c r="H535" t="s">
        <v>1163</v>
      </c>
      <c r="I535" t="s">
        <v>1266</v>
      </c>
      <c r="J535" t="s">
        <v>1330</v>
      </c>
      <c r="K535" t="s">
        <v>1331</v>
      </c>
      <c r="L535">
        <v>1</v>
      </c>
      <c r="M535">
        <v>645</v>
      </c>
      <c r="N535">
        <v>0.05</v>
      </c>
      <c r="O535">
        <v>612.75</v>
      </c>
      <c r="P535">
        <v>0.12</v>
      </c>
      <c r="Q535">
        <v>612.75</v>
      </c>
      <c r="R535">
        <v>73.53</v>
      </c>
      <c r="S535">
        <v>686.28</v>
      </c>
      <c r="T535">
        <f>ROUND(Table2[[#This Row],[TotalAmount]],0)</f>
        <v>686</v>
      </c>
      <c r="U535" t="s">
        <v>1362</v>
      </c>
      <c r="V535" t="s">
        <v>1361</v>
      </c>
      <c r="W535" s="4">
        <v>45544</v>
      </c>
      <c r="X535" s="4">
        <v>45549</v>
      </c>
      <c r="Y535" t="b">
        <v>0</v>
      </c>
      <c r="Z535" t="s">
        <v>1412</v>
      </c>
      <c r="AA535" t="s">
        <v>1412</v>
      </c>
      <c r="AB535" t="s">
        <v>1412</v>
      </c>
      <c r="AC535" t="s">
        <v>1390</v>
      </c>
      <c r="AD535" t="s">
        <v>1400</v>
      </c>
      <c r="AE535" t="s">
        <v>1393</v>
      </c>
    </row>
    <row r="536" spans="1:31" x14ac:dyDescent="0.3">
      <c r="A536" t="s">
        <v>708</v>
      </c>
      <c r="B536" s="4">
        <v>45309.527777777781</v>
      </c>
      <c r="C536" t="s">
        <v>419</v>
      </c>
      <c r="D536" t="s">
        <v>1153</v>
      </c>
      <c r="E536" t="s">
        <v>1154</v>
      </c>
      <c r="F536" t="str" cm="1">
        <f t="array" ref="F536">_xlfn.IFS(
E536="Ahmedabad","Gujarat",
E536="Bengaluru","Karnataka",
E536="Bhopal","Madhya Pradesh",
E536="Bhubaneswar","Odisha",
E536="Chandigarh","Chandigarh",
E536="Chennai","Tamil Nadu",
E536="Delhi","Delhi",
E536="Guwahati","Assam",
E536="Hyderabad","Telangana",
E536="Indore","Madhya Pradesh",
E536="Jaipur","Rajasthan",
E536="Kochi","Kerala",
E536="Kolkata","West Bengal",
E536="Lucknow","Uttar Pradesh",
E536="Mumbai","Maharashtra",
E536="Nagpur","Maharashtra",
E536="Patna","Bihar",
E536="Pune","Maharashtra",
E536="Raipur","Chhattisgarh",
E536="Surat","Gujarat",
TRUE,"Not Found"
)</f>
        <v>Maharashtra</v>
      </c>
      <c r="G536" t="s">
        <v>1143</v>
      </c>
      <c r="H536" t="s">
        <v>1177</v>
      </c>
      <c r="I536" t="s">
        <v>1192</v>
      </c>
      <c r="J536" t="s">
        <v>1283</v>
      </c>
      <c r="K536" t="s">
        <v>1284</v>
      </c>
      <c r="L536">
        <v>4</v>
      </c>
      <c r="M536">
        <v>2549</v>
      </c>
      <c r="N536">
        <v>0.15</v>
      </c>
      <c r="O536">
        <v>2166.65</v>
      </c>
      <c r="P536">
        <v>0.12</v>
      </c>
      <c r="Q536">
        <v>8666.6</v>
      </c>
      <c r="R536">
        <v>1039.992</v>
      </c>
      <c r="S536">
        <v>9706.5920000000006</v>
      </c>
      <c r="T536">
        <f>ROUND(Table2[[#This Row],[TotalAmount]],0)</f>
        <v>9707</v>
      </c>
      <c r="U536" t="s">
        <v>1365</v>
      </c>
      <c r="V536" t="s">
        <v>1361</v>
      </c>
      <c r="W536" s="4">
        <v>45309</v>
      </c>
      <c r="X536" s="4">
        <v>45313</v>
      </c>
      <c r="Y536" t="b">
        <v>0</v>
      </c>
      <c r="Z536" t="s">
        <v>1412</v>
      </c>
      <c r="AA536" t="s">
        <v>1412</v>
      </c>
      <c r="AB536" t="s">
        <v>1412</v>
      </c>
      <c r="AC536" t="s">
        <v>1396</v>
      </c>
      <c r="AD536" t="s">
        <v>1385</v>
      </c>
      <c r="AE536" t="s">
        <v>1395</v>
      </c>
    </row>
    <row r="537" spans="1:31" x14ac:dyDescent="0.3">
      <c r="A537" t="s">
        <v>709</v>
      </c>
      <c r="B537" s="4">
        <v>45414.417361111111</v>
      </c>
      <c r="C537" t="s">
        <v>304</v>
      </c>
      <c r="D537" t="s">
        <v>1157</v>
      </c>
      <c r="E537" t="s">
        <v>1181</v>
      </c>
      <c r="F537" t="str" cm="1">
        <f t="array" ref="F537">_xlfn.IFS(
E537="Ahmedabad","Gujarat",
E537="Bengaluru","Karnataka",
E537="Bhopal","Madhya Pradesh",
E537="Bhubaneswar","Odisha",
E537="Chandigarh","Chandigarh",
E537="Chennai","Tamil Nadu",
E537="Delhi","Delhi",
E537="Guwahati","Assam",
E537="Hyderabad","Telangana",
E537="Indore","Madhya Pradesh",
E537="Jaipur","Rajasthan",
E537="Kochi","Kerala",
E537="Kolkata","West Bengal",
E537="Lucknow","Uttar Pradesh",
E537="Mumbai","Maharashtra",
E537="Nagpur","Maharashtra",
E537="Patna","Bihar",
E537="Pune","Maharashtra",
E537="Raipur","Chhattisgarh",
E537="Surat","Gujarat",
TRUE,"Not Found"
)</f>
        <v>Gujarat</v>
      </c>
      <c r="G537" t="s">
        <v>1143</v>
      </c>
      <c r="H537" t="s">
        <v>1177</v>
      </c>
      <c r="I537" t="s">
        <v>1192</v>
      </c>
      <c r="J537" t="s">
        <v>1283</v>
      </c>
      <c r="K537" t="s">
        <v>1284</v>
      </c>
      <c r="L537">
        <v>4</v>
      </c>
      <c r="M537">
        <v>509</v>
      </c>
      <c r="N537">
        <v>0.05</v>
      </c>
      <c r="O537">
        <v>483.55</v>
      </c>
      <c r="P537">
        <v>0.12</v>
      </c>
      <c r="Q537">
        <v>1934.2</v>
      </c>
      <c r="R537">
        <v>232.10400000000001</v>
      </c>
      <c r="S537">
        <v>2166.3040000000001</v>
      </c>
      <c r="T537">
        <f>ROUND(Table2[[#This Row],[TotalAmount]],0)</f>
        <v>2166</v>
      </c>
      <c r="U537" t="s">
        <v>1363</v>
      </c>
      <c r="V537" t="s">
        <v>1361</v>
      </c>
      <c r="W537" s="4">
        <v>45416</v>
      </c>
      <c r="X537" s="4">
        <v>45420</v>
      </c>
      <c r="Y537" t="b">
        <v>0</v>
      </c>
      <c r="Z537" t="s">
        <v>1412</v>
      </c>
      <c r="AA537" t="s">
        <v>1412</v>
      </c>
      <c r="AB537" t="s">
        <v>1412</v>
      </c>
      <c r="AC537" t="s">
        <v>1386</v>
      </c>
      <c r="AD537" t="s">
        <v>1385</v>
      </c>
      <c r="AE537" t="s">
        <v>1393</v>
      </c>
    </row>
    <row r="538" spans="1:31" x14ac:dyDescent="0.3">
      <c r="A538" t="s">
        <v>710</v>
      </c>
      <c r="B538" s="4">
        <v>45742.536805555559</v>
      </c>
      <c r="C538" t="s">
        <v>200</v>
      </c>
      <c r="D538" t="s">
        <v>1182</v>
      </c>
      <c r="E538" t="s">
        <v>1183</v>
      </c>
      <c r="F538" t="str" cm="1">
        <f t="array" ref="F538">_xlfn.IFS(
E538="Ahmedabad","Gujarat",
E538="Bengaluru","Karnataka",
E538="Bhopal","Madhya Pradesh",
E538="Bhubaneswar","Odisha",
E538="Chandigarh","Chandigarh",
E538="Chennai","Tamil Nadu",
E538="Delhi","Delhi",
E538="Guwahati","Assam",
E538="Hyderabad","Telangana",
E538="Indore","Madhya Pradesh",
E538="Jaipur","Rajasthan",
E538="Kochi","Kerala",
E538="Kolkata","West Bengal",
E538="Lucknow","Uttar Pradesh",
E538="Mumbai","Maharashtra",
E538="Nagpur","Maharashtra",
E538="Patna","Bihar",
E538="Pune","Maharashtra",
E538="Raipur","Chhattisgarh",
E538="Surat","Gujarat",
TRUE,"Not Found"
)</f>
        <v>Telangana</v>
      </c>
      <c r="G538" t="s">
        <v>1150</v>
      </c>
      <c r="H538" t="s">
        <v>1163</v>
      </c>
      <c r="I538" t="s">
        <v>1184</v>
      </c>
      <c r="J538" t="s">
        <v>1245</v>
      </c>
      <c r="K538" t="s">
        <v>1246</v>
      </c>
      <c r="L538">
        <v>1</v>
      </c>
      <c r="M538">
        <v>1126</v>
      </c>
      <c r="N538">
        <v>0</v>
      </c>
      <c r="O538">
        <v>1126</v>
      </c>
      <c r="P538">
        <v>0.12</v>
      </c>
      <c r="Q538">
        <v>1126</v>
      </c>
      <c r="R538">
        <v>135.12</v>
      </c>
      <c r="S538">
        <v>1261.1199999999999</v>
      </c>
      <c r="T538">
        <f>ROUND(Table2[[#This Row],[TotalAmount]],0)</f>
        <v>1261</v>
      </c>
      <c r="U538" t="s">
        <v>1360</v>
      </c>
      <c r="V538" t="s">
        <v>1361</v>
      </c>
      <c r="W538" s="4">
        <v>45742</v>
      </c>
      <c r="X538" s="4">
        <v>45746</v>
      </c>
      <c r="Y538" t="b">
        <v>0</v>
      </c>
      <c r="Z538" t="s">
        <v>1412</v>
      </c>
      <c r="AA538" t="s">
        <v>1412</v>
      </c>
      <c r="AB538" t="s">
        <v>1412</v>
      </c>
      <c r="AC538" t="s">
        <v>1388</v>
      </c>
      <c r="AD538" t="s">
        <v>1385</v>
      </c>
      <c r="AE538" t="s">
        <v>1393</v>
      </c>
    </row>
    <row r="539" spans="1:31" x14ac:dyDescent="0.3">
      <c r="A539" t="s">
        <v>711</v>
      </c>
      <c r="B539" s="4">
        <v>45383.506249999999</v>
      </c>
      <c r="C539" t="s">
        <v>712</v>
      </c>
      <c r="D539" t="s">
        <v>1157</v>
      </c>
      <c r="E539" t="s">
        <v>1249</v>
      </c>
      <c r="F539" t="str" cm="1">
        <f t="array" ref="F539">_xlfn.IFS(
E539="Ahmedabad","Gujarat",
E539="Bengaluru","Karnataka",
E539="Bhopal","Madhya Pradesh",
E539="Bhubaneswar","Odisha",
E539="Chandigarh","Chandigarh",
E539="Chennai","Tamil Nadu",
E539="Delhi","Delhi",
E539="Guwahati","Assam",
E539="Hyderabad","Telangana",
E539="Indore","Madhya Pradesh",
E539="Jaipur","Rajasthan",
E539="Kochi","Kerala",
E539="Kolkata","West Bengal",
E539="Lucknow","Uttar Pradesh",
E539="Mumbai","Maharashtra",
E539="Nagpur","Maharashtra",
E539="Patna","Bihar",
E539="Pune","Maharashtra",
E539="Raipur","Chhattisgarh",
E539="Surat","Gujarat",
TRUE,"Not Found"
)</f>
        <v>Maharashtra</v>
      </c>
      <c r="G539" t="s">
        <v>1187</v>
      </c>
      <c r="H539" t="s">
        <v>1167</v>
      </c>
      <c r="I539" t="s">
        <v>1211</v>
      </c>
      <c r="J539" t="s">
        <v>1299</v>
      </c>
      <c r="K539" t="s">
        <v>1300</v>
      </c>
      <c r="L539">
        <v>3</v>
      </c>
      <c r="M539">
        <v>34953</v>
      </c>
      <c r="N539">
        <v>0</v>
      </c>
      <c r="O539">
        <v>34953</v>
      </c>
      <c r="P539">
        <v>0.12</v>
      </c>
      <c r="Q539">
        <v>104859</v>
      </c>
      <c r="R539">
        <v>12583.08</v>
      </c>
      <c r="S539">
        <v>117442.08</v>
      </c>
      <c r="T539">
        <f>ROUND(Table2[[#This Row],[TotalAmount]],0)</f>
        <v>117442</v>
      </c>
      <c r="U539" t="s">
        <v>1360</v>
      </c>
      <c r="V539" t="s">
        <v>1368</v>
      </c>
      <c r="W539" s="4">
        <v>45384</v>
      </c>
      <c r="X539" s="4" t="s">
        <v>1412</v>
      </c>
      <c r="Y539" t="b">
        <v>0</v>
      </c>
      <c r="Z539" t="s">
        <v>1412</v>
      </c>
      <c r="AA539" t="s">
        <v>1412</v>
      </c>
      <c r="AB539" t="s">
        <v>1412</v>
      </c>
      <c r="AC539" t="s">
        <v>1392</v>
      </c>
      <c r="AD539" t="s">
        <v>1377</v>
      </c>
      <c r="AE539" t="s">
        <v>1391</v>
      </c>
    </row>
    <row r="540" spans="1:31" x14ac:dyDescent="0.3">
      <c r="A540" t="s">
        <v>713</v>
      </c>
      <c r="B540" s="4">
        <v>45375.51458333333</v>
      </c>
      <c r="C540" t="s">
        <v>55</v>
      </c>
      <c r="D540" t="s">
        <v>1157</v>
      </c>
      <c r="E540" t="s">
        <v>1158</v>
      </c>
      <c r="F540" t="str" cm="1">
        <f t="array" ref="F540">_xlfn.IFS(
E540="Ahmedabad","Gujarat",
E540="Bengaluru","Karnataka",
E540="Bhopal","Madhya Pradesh",
E540="Bhubaneswar","Odisha",
E540="Chandigarh","Chandigarh",
E540="Chennai","Tamil Nadu",
E540="Delhi","Delhi",
E540="Guwahati","Assam",
E540="Hyderabad","Telangana",
E540="Indore","Madhya Pradesh",
E540="Jaipur","Rajasthan",
E540="Kochi","Kerala",
E540="Kolkata","West Bengal",
E540="Lucknow","Uttar Pradesh",
E540="Mumbai","Maharashtra",
E540="Nagpur","Maharashtra",
E540="Patna","Bihar",
E540="Pune","Maharashtra",
E540="Raipur","Chhattisgarh",
E540="Surat","Gujarat",
TRUE,"Not Found"
)</f>
        <v>Gujarat</v>
      </c>
      <c r="G540" t="s">
        <v>1143</v>
      </c>
      <c r="H540" t="s">
        <v>1163</v>
      </c>
      <c r="I540" t="s">
        <v>1164</v>
      </c>
      <c r="J540" t="s">
        <v>1165</v>
      </c>
      <c r="K540" t="s">
        <v>1166</v>
      </c>
      <c r="L540">
        <v>4</v>
      </c>
      <c r="M540">
        <v>246</v>
      </c>
      <c r="N540">
        <v>0</v>
      </c>
      <c r="O540">
        <v>246</v>
      </c>
      <c r="P540">
        <v>0.18</v>
      </c>
      <c r="Q540">
        <v>984</v>
      </c>
      <c r="R540">
        <v>177.12</v>
      </c>
      <c r="S540">
        <v>1161.1199999999999</v>
      </c>
      <c r="T540">
        <f>ROUND(Table2[[#This Row],[TotalAmount]],0)</f>
        <v>1161</v>
      </c>
      <c r="U540" t="s">
        <v>1363</v>
      </c>
      <c r="V540" t="s">
        <v>1361</v>
      </c>
      <c r="W540" s="4">
        <v>45375</v>
      </c>
      <c r="X540" s="4">
        <v>45377</v>
      </c>
      <c r="Y540" t="b">
        <v>0</v>
      </c>
      <c r="Z540" t="s">
        <v>1412</v>
      </c>
      <c r="AA540" t="s">
        <v>1412</v>
      </c>
      <c r="AB540" t="s">
        <v>1412</v>
      </c>
      <c r="AC540" t="s">
        <v>1386</v>
      </c>
      <c r="AD540" t="s">
        <v>1394</v>
      </c>
      <c r="AE540" t="s">
        <v>1383</v>
      </c>
    </row>
    <row r="541" spans="1:31" x14ac:dyDescent="0.3">
      <c r="A541" t="s">
        <v>714</v>
      </c>
      <c r="B541" s="4">
        <v>45529.511805555558</v>
      </c>
      <c r="C541" t="s">
        <v>158</v>
      </c>
      <c r="D541" t="s">
        <v>1182</v>
      </c>
      <c r="E541" t="s">
        <v>1257</v>
      </c>
      <c r="F541" t="str" cm="1">
        <f t="array" ref="F541">_xlfn.IFS(
E541="Ahmedabad","Gujarat",
E541="Bengaluru","Karnataka",
E541="Bhopal","Madhya Pradesh",
E541="Bhubaneswar","Odisha",
E541="Chandigarh","Chandigarh",
E541="Chennai","Tamil Nadu",
E541="Delhi","Delhi",
E541="Guwahati","Assam",
E541="Hyderabad","Telangana",
E541="Indore","Madhya Pradesh",
E541="Jaipur","Rajasthan",
E541="Kochi","Kerala",
E541="Kolkata","West Bengal",
E541="Lucknow","Uttar Pradesh",
E541="Mumbai","Maharashtra",
E541="Nagpur","Maharashtra",
E541="Patna","Bihar",
E541="Pune","Maharashtra",
E541="Raipur","Chhattisgarh",
E541="Surat","Gujarat",
TRUE,"Not Found"
)</f>
        <v>Kerala</v>
      </c>
      <c r="G541" t="s">
        <v>1150</v>
      </c>
      <c r="H541" t="s">
        <v>1144</v>
      </c>
      <c r="I541" t="s">
        <v>1269</v>
      </c>
      <c r="J541" t="s">
        <v>1301</v>
      </c>
      <c r="K541" t="s">
        <v>1302</v>
      </c>
      <c r="L541">
        <v>3</v>
      </c>
      <c r="M541">
        <v>1427</v>
      </c>
      <c r="N541">
        <v>0</v>
      </c>
      <c r="O541">
        <v>1427</v>
      </c>
      <c r="P541">
        <v>0.05</v>
      </c>
      <c r="Q541">
        <v>4281</v>
      </c>
      <c r="R541">
        <v>214.05</v>
      </c>
      <c r="S541">
        <v>4495.05</v>
      </c>
      <c r="T541">
        <f>ROUND(Table2[[#This Row],[TotalAmount]],0)</f>
        <v>4495</v>
      </c>
      <c r="U541" t="s">
        <v>1365</v>
      </c>
      <c r="V541" t="s">
        <v>1361</v>
      </c>
      <c r="W541" s="4">
        <v>45530</v>
      </c>
      <c r="X541" s="4">
        <v>45532</v>
      </c>
      <c r="Y541" t="b">
        <v>0</v>
      </c>
      <c r="Z541" t="s">
        <v>1412</v>
      </c>
      <c r="AA541" t="s">
        <v>1412</v>
      </c>
      <c r="AB541" t="s">
        <v>1412</v>
      </c>
      <c r="AC541" t="s">
        <v>1384</v>
      </c>
      <c r="AD541" t="s">
        <v>1399</v>
      </c>
      <c r="AE541" t="s">
        <v>1383</v>
      </c>
    </row>
    <row r="542" spans="1:31" x14ac:dyDescent="0.3">
      <c r="A542" t="s">
        <v>715</v>
      </c>
      <c r="B542" s="4">
        <v>45572.475694444453</v>
      </c>
      <c r="C542" t="s">
        <v>75</v>
      </c>
      <c r="D542" t="s">
        <v>1182</v>
      </c>
      <c r="E542" t="s">
        <v>1183</v>
      </c>
      <c r="F542" t="str" cm="1">
        <f t="array" ref="F542">_xlfn.IFS(
E542="Ahmedabad","Gujarat",
E542="Bengaluru","Karnataka",
E542="Bhopal","Madhya Pradesh",
E542="Bhubaneswar","Odisha",
E542="Chandigarh","Chandigarh",
E542="Chennai","Tamil Nadu",
E542="Delhi","Delhi",
E542="Guwahati","Assam",
E542="Hyderabad","Telangana",
E542="Indore","Madhya Pradesh",
E542="Jaipur","Rajasthan",
E542="Kochi","Kerala",
E542="Kolkata","West Bengal",
E542="Lucknow","Uttar Pradesh",
E542="Mumbai","Maharashtra",
E542="Nagpur","Maharashtra",
E542="Patna","Bihar",
E542="Pune","Maharashtra",
E542="Raipur","Chhattisgarh",
E542="Surat","Gujarat",
TRUE,"Not Found"
)</f>
        <v>Telangana</v>
      </c>
      <c r="G542" t="s">
        <v>1143</v>
      </c>
      <c r="H542" t="s">
        <v>1177</v>
      </c>
      <c r="I542" t="s">
        <v>1195</v>
      </c>
      <c r="J542" t="s">
        <v>1218</v>
      </c>
      <c r="K542" t="s">
        <v>1219</v>
      </c>
      <c r="L542">
        <v>2</v>
      </c>
      <c r="M542">
        <v>560</v>
      </c>
      <c r="N542">
        <v>0</v>
      </c>
      <c r="O542">
        <v>560</v>
      </c>
      <c r="P542">
        <v>0.12</v>
      </c>
      <c r="Q542">
        <v>1120</v>
      </c>
      <c r="R542">
        <v>134.4</v>
      </c>
      <c r="S542">
        <v>1254.4000000000001</v>
      </c>
      <c r="T542">
        <f>ROUND(Table2[[#This Row],[TotalAmount]],0)</f>
        <v>1254</v>
      </c>
      <c r="U542" t="s">
        <v>1362</v>
      </c>
      <c r="V542" t="s">
        <v>1361</v>
      </c>
      <c r="W542" s="4">
        <v>45573</v>
      </c>
      <c r="X542" s="4">
        <v>45578</v>
      </c>
      <c r="Y542" t="b">
        <v>0</v>
      </c>
      <c r="Z542" t="s">
        <v>1412</v>
      </c>
      <c r="AA542" t="s">
        <v>1412</v>
      </c>
      <c r="AB542" t="s">
        <v>1412</v>
      </c>
      <c r="AC542" t="s">
        <v>1386</v>
      </c>
      <c r="AD542" t="s">
        <v>1394</v>
      </c>
      <c r="AE542" t="s">
        <v>1378</v>
      </c>
    </row>
    <row r="543" spans="1:31" x14ac:dyDescent="0.3">
      <c r="A543" t="s">
        <v>716</v>
      </c>
      <c r="B543" s="4">
        <v>45442.489583333343</v>
      </c>
      <c r="C543" t="s">
        <v>462</v>
      </c>
      <c r="D543" t="s">
        <v>1148</v>
      </c>
      <c r="E543" t="s">
        <v>1149</v>
      </c>
      <c r="F543" t="str" cm="1">
        <f t="array" ref="F543">_xlfn.IFS(
E543="Ahmedabad","Gujarat",
E543="Bengaluru","Karnataka",
E543="Bhopal","Madhya Pradesh",
E543="Bhubaneswar","Odisha",
E543="Chandigarh","Chandigarh",
E543="Chennai","Tamil Nadu",
E543="Delhi","Delhi",
E543="Guwahati","Assam",
E543="Hyderabad","Telangana",
E543="Indore","Madhya Pradesh",
E543="Jaipur","Rajasthan",
E543="Kochi","Kerala",
E543="Kolkata","West Bengal",
E543="Lucknow","Uttar Pradesh",
E543="Mumbai","Maharashtra",
E543="Nagpur","Maharashtra",
E543="Patna","Bihar",
E543="Pune","Maharashtra",
E543="Raipur","Chhattisgarh",
E543="Surat","Gujarat",
TRUE,"Not Found"
)</f>
        <v>Uttar Pradesh</v>
      </c>
      <c r="G543" t="s">
        <v>1143</v>
      </c>
      <c r="H543" t="s">
        <v>1172</v>
      </c>
      <c r="I543" t="s">
        <v>1188</v>
      </c>
      <c r="J543" t="s">
        <v>1232</v>
      </c>
      <c r="K543" t="s">
        <v>1233</v>
      </c>
      <c r="L543">
        <v>3</v>
      </c>
      <c r="M543">
        <v>4261</v>
      </c>
      <c r="N543">
        <v>0.2</v>
      </c>
      <c r="O543">
        <v>3408.8</v>
      </c>
      <c r="P543">
        <v>0.18</v>
      </c>
      <c r="Q543">
        <v>10226.4</v>
      </c>
      <c r="R543">
        <v>1840.752</v>
      </c>
      <c r="S543">
        <v>12067.152</v>
      </c>
      <c r="T543">
        <f>ROUND(Table2[[#This Row],[TotalAmount]],0)</f>
        <v>12067</v>
      </c>
      <c r="U543" t="s">
        <v>1366</v>
      </c>
      <c r="V543" t="s">
        <v>1361</v>
      </c>
      <c r="W543" s="4">
        <v>45442</v>
      </c>
      <c r="X543" s="4">
        <v>45445</v>
      </c>
      <c r="Y543" t="b">
        <v>0</v>
      </c>
      <c r="Z543" t="s">
        <v>1412</v>
      </c>
      <c r="AA543" t="s">
        <v>1412</v>
      </c>
      <c r="AB543" t="s">
        <v>1412</v>
      </c>
      <c r="AC543" t="s">
        <v>1384</v>
      </c>
      <c r="AD543" t="s">
        <v>1394</v>
      </c>
      <c r="AE543" t="s">
        <v>1391</v>
      </c>
    </row>
    <row r="544" spans="1:31" x14ac:dyDescent="0.3">
      <c r="A544" t="s">
        <v>717</v>
      </c>
      <c r="B544" s="4">
        <v>45503.613888888889</v>
      </c>
      <c r="C544" t="s">
        <v>498</v>
      </c>
      <c r="D544" t="s">
        <v>1141</v>
      </c>
      <c r="E544" t="s">
        <v>1285</v>
      </c>
      <c r="F544" t="str" cm="1">
        <f t="array" ref="F544">_xlfn.IFS(
E544="Ahmedabad","Gujarat",
E544="Bengaluru","Karnataka",
E544="Bhopal","Madhya Pradesh",
E544="Bhubaneswar","Odisha",
E544="Chandigarh","Chandigarh",
E544="Chennai","Tamil Nadu",
E544="Delhi","Delhi",
E544="Guwahati","Assam",
E544="Hyderabad","Telangana",
E544="Indore","Madhya Pradesh",
E544="Jaipur","Rajasthan",
E544="Kochi","Kerala",
E544="Kolkata","West Bengal",
E544="Lucknow","Uttar Pradesh",
E544="Mumbai","Maharashtra",
E544="Nagpur","Maharashtra",
E544="Patna","Bihar",
E544="Pune","Maharashtra",
E544="Raipur","Chhattisgarh",
E544="Surat","Gujarat",
TRUE,"Not Found"
)</f>
        <v>Assam</v>
      </c>
      <c r="G544" t="s">
        <v>1228</v>
      </c>
      <c r="H544" t="s">
        <v>1177</v>
      </c>
      <c r="I544" t="s">
        <v>1309</v>
      </c>
      <c r="J544" t="s">
        <v>1310</v>
      </c>
      <c r="K544" t="s">
        <v>1311</v>
      </c>
      <c r="L544">
        <v>1</v>
      </c>
      <c r="M544">
        <v>1835</v>
      </c>
      <c r="N544">
        <v>0</v>
      </c>
      <c r="O544">
        <v>1835</v>
      </c>
      <c r="P544">
        <v>0.12</v>
      </c>
      <c r="Q544">
        <v>1835</v>
      </c>
      <c r="R544">
        <v>220.2</v>
      </c>
      <c r="S544">
        <v>2055.1999999999998</v>
      </c>
      <c r="T544">
        <f>ROUND(Table2[[#This Row],[TotalAmount]],0)</f>
        <v>2055</v>
      </c>
      <c r="U544" t="s">
        <v>1360</v>
      </c>
      <c r="V544" t="s">
        <v>1361</v>
      </c>
      <c r="W544" s="4">
        <v>45503</v>
      </c>
      <c r="X544" s="4">
        <v>45505</v>
      </c>
      <c r="Y544" t="b">
        <v>0</v>
      </c>
      <c r="Z544" t="s">
        <v>1412</v>
      </c>
      <c r="AA544" t="s">
        <v>1412</v>
      </c>
      <c r="AB544" t="s">
        <v>1412</v>
      </c>
      <c r="AC544" t="s">
        <v>1392</v>
      </c>
      <c r="AD544" t="s">
        <v>1394</v>
      </c>
      <c r="AE544" t="s">
        <v>1391</v>
      </c>
    </row>
    <row r="545" spans="1:31" x14ac:dyDescent="0.3">
      <c r="A545" t="s">
        <v>718</v>
      </c>
      <c r="B545" s="4">
        <v>45438.484722222223</v>
      </c>
      <c r="C545" t="s">
        <v>141</v>
      </c>
      <c r="D545" t="s">
        <v>1141</v>
      </c>
      <c r="E545" t="s">
        <v>1227</v>
      </c>
      <c r="F545" t="str" cm="1">
        <f t="array" ref="F545">_xlfn.IFS(
E545="Ahmedabad","Gujarat",
E545="Bengaluru","Karnataka",
E545="Bhopal","Madhya Pradesh",
E545="Bhubaneswar","Odisha",
E545="Chandigarh","Chandigarh",
E545="Chennai","Tamil Nadu",
E545="Delhi","Delhi",
E545="Guwahati","Assam",
E545="Hyderabad","Telangana",
E545="Indore","Madhya Pradesh",
E545="Jaipur","Rajasthan",
E545="Kochi","Kerala",
E545="Kolkata","West Bengal",
E545="Lucknow","Uttar Pradesh",
E545="Mumbai","Maharashtra",
E545="Nagpur","Maharashtra",
E545="Patna","Bihar",
E545="Pune","Maharashtra",
E545="Raipur","Chhattisgarh",
E545="Surat","Gujarat",
TRUE,"Not Found"
)</f>
        <v>Bihar</v>
      </c>
      <c r="G545" t="s">
        <v>1150</v>
      </c>
      <c r="H545" t="s">
        <v>1177</v>
      </c>
      <c r="I545" t="s">
        <v>1309</v>
      </c>
      <c r="J545" t="s">
        <v>1310</v>
      </c>
      <c r="K545" t="s">
        <v>1311</v>
      </c>
      <c r="L545">
        <v>3</v>
      </c>
      <c r="M545">
        <v>1319</v>
      </c>
      <c r="N545">
        <v>0</v>
      </c>
      <c r="O545">
        <v>1319</v>
      </c>
      <c r="P545">
        <v>0.05</v>
      </c>
      <c r="Q545">
        <v>3957</v>
      </c>
      <c r="R545">
        <v>197.85</v>
      </c>
      <c r="S545">
        <v>4154.8500000000004</v>
      </c>
      <c r="T545">
        <f>ROUND(Table2[[#This Row],[TotalAmount]],0)</f>
        <v>4155</v>
      </c>
      <c r="U545" t="s">
        <v>1360</v>
      </c>
      <c r="V545" t="s">
        <v>1361</v>
      </c>
      <c r="W545" s="4">
        <v>45439</v>
      </c>
      <c r="X545" s="4">
        <v>45440</v>
      </c>
      <c r="Y545" t="b">
        <v>0</v>
      </c>
      <c r="Z545" t="s">
        <v>1412</v>
      </c>
      <c r="AA545" t="s">
        <v>1412</v>
      </c>
      <c r="AB545" t="s">
        <v>1412</v>
      </c>
      <c r="AC545" t="s">
        <v>1388</v>
      </c>
      <c r="AD545" t="s">
        <v>1387</v>
      </c>
      <c r="AE545" t="s">
        <v>1395</v>
      </c>
    </row>
    <row r="546" spans="1:31" x14ac:dyDescent="0.3">
      <c r="A546" t="s">
        <v>719</v>
      </c>
      <c r="B546" s="4">
        <v>45375.500694444447</v>
      </c>
      <c r="C546" t="s">
        <v>169</v>
      </c>
      <c r="D546" t="s">
        <v>1148</v>
      </c>
      <c r="E546" t="s">
        <v>1149</v>
      </c>
      <c r="F546" t="str" cm="1">
        <f t="array" ref="F546">_xlfn.IFS(
E546="Ahmedabad","Gujarat",
E546="Bengaluru","Karnataka",
E546="Bhopal","Madhya Pradesh",
E546="Bhubaneswar","Odisha",
E546="Chandigarh","Chandigarh",
E546="Chennai","Tamil Nadu",
E546="Delhi","Delhi",
E546="Guwahati","Assam",
E546="Hyderabad","Telangana",
E546="Indore","Madhya Pradesh",
E546="Jaipur","Rajasthan",
E546="Kochi","Kerala",
E546="Kolkata","West Bengal",
E546="Lucknow","Uttar Pradesh",
E546="Mumbai","Maharashtra",
E546="Nagpur","Maharashtra",
E546="Patna","Bihar",
E546="Pune","Maharashtra",
E546="Raipur","Chhattisgarh",
E546="Surat","Gujarat",
TRUE,"Not Found"
)</f>
        <v>Uttar Pradesh</v>
      </c>
      <c r="G546" t="s">
        <v>1150</v>
      </c>
      <c r="H546" t="s">
        <v>1167</v>
      </c>
      <c r="I546" t="s">
        <v>1211</v>
      </c>
      <c r="J546" t="s">
        <v>1279</v>
      </c>
      <c r="K546" t="s">
        <v>1280</v>
      </c>
      <c r="L546">
        <v>3</v>
      </c>
      <c r="M546">
        <v>49248</v>
      </c>
      <c r="N546">
        <v>0</v>
      </c>
      <c r="O546">
        <v>49248</v>
      </c>
      <c r="P546">
        <v>0.18</v>
      </c>
      <c r="Q546">
        <v>147744</v>
      </c>
      <c r="R546">
        <v>26593.919999999998</v>
      </c>
      <c r="S546">
        <v>174337.92000000001</v>
      </c>
      <c r="T546">
        <f>ROUND(Table2[[#This Row],[TotalAmount]],0)</f>
        <v>174338</v>
      </c>
      <c r="U546" t="s">
        <v>1360</v>
      </c>
      <c r="V546" t="s">
        <v>1361</v>
      </c>
      <c r="W546" s="4">
        <v>45375</v>
      </c>
      <c r="X546" s="4">
        <v>45379</v>
      </c>
      <c r="Y546" t="b">
        <v>0</v>
      </c>
      <c r="Z546" t="s">
        <v>1412</v>
      </c>
      <c r="AA546" t="s">
        <v>1412</v>
      </c>
      <c r="AB546" t="s">
        <v>1412</v>
      </c>
      <c r="AC546" t="s">
        <v>1382</v>
      </c>
      <c r="AD546" t="s">
        <v>1385</v>
      </c>
      <c r="AE546" t="s">
        <v>1389</v>
      </c>
    </row>
    <row r="547" spans="1:31" x14ac:dyDescent="0.3">
      <c r="A547" t="s">
        <v>720</v>
      </c>
      <c r="B547" s="4">
        <v>45564.662499999999</v>
      </c>
      <c r="C547" t="s">
        <v>206</v>
      </c>
      <c r="D547" t="s">
        <v>1153</v>
      </c>
      <c r="E547" t="s">
        <v>1191</v>
      </c>
      <c r="F547" t="str" cm="1">
        <f t="array" ref="F547">_xlfn.IFS(
E547="Ahmedabad","Gujarat",
E547="Bengaluru","Karnataka",
E547="Bhopal","Madhya Pradesh",
E547="Bhubaneswar","Odisha",
E547="Chandigarh","Chandigarh",
E547="Chennai","Tamil Nadu",
E547="Delhi","Delhi",
E547="Guwahati","Assam",
E547="Hyderabad","Telangana",
E547="Indore","Madhya Pradesh",
E547="Jaipur","Rajasthan",
E547="Kochi","Kerala",
E547="Kolkata","West Bengal",
E547="Lucknow","Uttar Pradesh",
E547="Mumbai","Maharashtra",
E547="Nagpur","Maharashtra",
E547="Patna","Bihar",
E547="Pune","Maharashtra",
E547="Raipur","Chhattisgarh",
E547="Surat","Gujarat",
TRUE,"Not Found"
)</f>
        <v>Madhya Pradesh</v>
      </c>
      <c r="G547" t="s">
        <v>1143</v>
      </c>
      <c r="H547" t="s">
        <v>1177</v>
      </c>
      <c r="I547" t="s">
        <v>1195</v>
      </c>
      <c r="J547" t="s">
        <v>1196</v>
      </c>
      <c r="K547" t="s">
        <v>1197</v>
      </c>
      <c r="L547">
        <v>2</v>
      </c>
      <c r="M547">
        <v>622</v>
      </c>
      <c r="N547">
        <v>0</v>
      </c>
      <c r="O547">
        <v>622</v>
      </c>
      <c r="P547">
        <v>0.12</v>
      </c>
      <c r="Q547">
        <v>1244</v>
      </c>
      <c r="R547">
        <v>149.28</v>
      </c>
      <c r="S547">
        <v>1393.28</v>
      </c>
      <c r="T547">
        <f>ROUND(Table2[[#This Row],[TotalAmount]],0)</f>
        <v>1393</v>
      </c>
      <c r="U547" t="s">
        <v>1363</v>
      </c>
      <c r="V547" t="s">
        <v>1368</v>
      </c>
      <c r="W547" s="4">
        <v>45564</v>
      </c>
      <c r="X547" s="4" t="s">
        <v>1412</v>
      </c>
      <c r="Y547" t="b">
        <v>0</v>
      </c>
      <c r="Z547" t="s">
        <v>1412</v>
      </c>
      <c r="AA547" t="s">
        <v>1412</v>
      </c>
      <c r="AB547" t="s">
        <v>1412</v>
      </c>
      <c r="AC547" t="s">
        <v>1398</v>
      </c>
      <c r="AD547" t="s">
        <v>1400</v>
      </c>
      <c r="AE547" t="s">
        <v>1395</v>
      </c>
    </row>
    <row r="548" spans="1:31" x14ac:dyDescent="0.3">
      <c r="A548" t="s">
        <v>721</v>
      </c>
      <c r="B548" s="4">
        <v>45370.586805555547</v>
      </c>
      <c r="C548" t="s">
        <v>394</v>
      </c>
      <c r="D548" t="s">
        <v>1148</v>
      </c>
      <c r="E548" t="s">
        <v>1262</v>
      </c>
      <c r="F548" t="str" cm="1">
        <f t="array" ref="F548">_xlfn.IFS(
E548="Ahmedabad","Gujarat",
E548="Bengaluru","Karnataka",
E548="Bhopal","Madhya Pradesh",
E548="Bhubaneswar","Odisha",
E548="Chandigarh","Chandigarh",
E548="Chennai","Tamil Nadu",
E548="Delhi","Delhi",
E548="Guwahati","Assam",
E548="Hyderabad","Telangana",
E548="Indore","Madhya Pradesh",
E548="Jaipur","Rajasthan",
E548="Kochi","Kerala",
E548="Kolkata","West Bengal",
E548="Lucknow","Uttar Pradesh",
E548="Mumbai","Maharashtra",
E548="Nagpur","Maharashtra",
E548="Patna","Bihar",
E548="Pune","Maharashtra",
E548="Raipur","Chhattisgarh",
E548="Surat","Gujarat",
TRUE,"Not Found"
)</f>
        <v>Rajasthan</v>
      </c>
      <c r="G548" t="s">
        <v>1143</v>
      </c>
      <c r="H548" t="s">
        <v>1167</v>
      </c>
      <c r="I548" t="s">
        <v>1168</v>
      </c>
      <c r="J548" t="s">
        <v>1169</v>
      </c>
      <c r="K548" t="s">
        <v>1170</v>
      </c>
      <c r="L548">
        <v>3</v>
      </c>
      <c r="M548">
        <v>26480</v>
      </c>
      <c r="N548">
        <v>0.15</v>
      </c>
      <c r="O548">
        <v>22508</v>
      </c>
      <c r="P548">
        <v>0.05</v>
      </c>
      <c r="Q548">
        <v>67524</v>
      </c>
      <c r="R548">
        <v>3376.2</v>
      </c>
      <c r="S548">
        <v>70900.2</v>
      </c>
      <c r="T548">
        <f>ROUND(Table2[[#This Row],[TotalAmount]],0)</f>
        <v>70900</v>
      </c>
      <c r="U548" t="s">
        <v>1360</v>
      </c>
      <c r="V548" t="s">
        <v>1361</v>
      </c>
      <c r="W548" s="4">
        <v>45370</v>
      </c>
      <c r="X548" s="4">
        <v>45373</v>
      </c>
      <c r="Y548" t="b">
        <v>0</v>
      </c>
      <c r="Z548" t="s">
        <v>1412</v>
      </c>
      <c r="AA548" t="s">
        <v>1412</v>
      </c>
      <c r="AB548" t="s">
        <v>1412</v>
      </c>
      <c r="AC548" t="s">
        <v>1398</v>
      </c>
      <c r="AD548" t="s">
        <v>1387</v>
      </c>
      <c r="AE548" t="s">
        <v>1383</v>
      </c>
    </row>
    <row r="549" spans="1:31" x14ac:dyDescent="0.3">
      <c r="A549" t="s">
        <v>722</v>
      </c>
      <c r="B549" s="4">
        <v>45636.643055555563</v>
      </c>
      <c r="C549" t="s">
        <v>45</v>
      </c>
      <c r="D549" t="s">
        <v>1141</v>
      </c>
      <c r="E549" t="s">
        <v>1142</v>
      </c>
      <c r="F549" t="str" cm="1">
        <f t="array" ref="F549">_xlfn.IFS(
E549="Ahmedabad","Gujarat",
E549="Bengaluru","Karnataka",
E549="Bhopal","Madhya Pradesh",
E549="Bhubaneswar","Odisha",
E549="Chandigarh","Chandigarh",
E549="Chennai","Tamil Nadu",
E549="Delhi","Delhi",
E549="Guwahati","Assam",
E549="Hyderabad","Telangana",
E549="Indore","Madhya Pradesh",
E549="Jaipur","Rajasthan",
E549="Kochi","Kerala",
E549="Kolkata","West Bengal",
E549="Lucknow","Uttar Pradesh",
E549="Mumbai","Maharashtra",
E549="Nagpur","Maharashtra",
E549="Patna","Bihar",
E549="Pune","Maharashtra",
E549="Raipur","Chhattisgarh",
E549="Surat","Gujarat",
TRUE,"Not Found"
)</f>
        <v>West Bengal</v>
      </c>
      <c r="G549" t="s">
        <v>1150</v>
      </c>
      <c r="H549" t="s">
        <v>1163</v>
      </c>
      <c r="I549" t="s">
        <v>1266</v>
      </c>
      <c r="J549" t="s">
        <v>1348</v>
      </c>
      <c r="K549" t="s">
        <v>1349</v>
      </c>
      <c r="L549">
        <v>3</v>
      </c>
      <c r="M549">
        <v>665</v>
      </c>
      <c r="N549">
        <v>0.1</v>
      </c>
      <c r="O549">
        <v>598.5</v>
      </c>
      <c r="P549">
        <v>0.12</v>
      </c>
      <c r="Q549">
        <v>1795.5</v>
      </c>
      <c r="R549">
        <v>215.46</v>
      </c>
      <c r="S549">
        <v>2010.96</v>
      </c>
      <c r="T549">
        <f>ROUND(Table2[[#This Row],[TotalAmount]],0)</f>
        <v>2011</v>
      </c>
      <c r="U549" t="s">
        <v>1363</v>
      </c>
      <c r="V549" t="s">
        <v>1361</v>
      </c>
      <c r="W549" s="4">
        <v>45638</v>
      </c>
      <c r="X549" s="4">
        <v>45642</v>
      </c>
      <c r="Y549" t="b">
        <v>0</v>
      </c>
      <c r="Z549" t="s">
        <v>1412</v>
      </c>
      <c r="AA549" t="s">
        <v>1412</v>
      </c>
      <c r="AB549" t="s">
        <v>1412</v>
      </c>
      <c r="AC549" t="s">
        <v>1384</v>
      </c>
      <c r="AD549" t="s">
        <v>1399</v>
      </c>
      <c r="AE549" t="s">
        <v>1393</v>
      </c>
    </row>
    <row r="550" spans="1:31" x14ac:dyDescent="0.3">
      <c r="A550" t="s">
        <v>723</v>
      </c>
      <c r="B550" s="4">
        <v>45764.503472222219</v>
      </c>
      <c r="C550" t="s">
        <v>81</v>
      </c>
      <c r="D550" t="s">
        <v>1148</v>
      </c>
      <c r="E550" t="s">
        <v>1149</v>
      </c>
      <c r="F550" t="str" cm="1">
        <f t="array" ref="F550">_xlfn.IFS(
E550="Ahmedabad","Gujarat",
E550="Bengaluru","Karnataka",
E550="Bhopal","Madhya Pradesh",
E550="Bhubaneswar","Odisha",
E550="Chandigarh","Chandigarh",
E550="Chennai","Tamil Nadu",
E550="Delhi","Delhi",
E550="Guwahati","Assam",
E550="Hyderabad","Telangana",
E550="Indore","Madhya Pradesh",
E550="Jaipur","Rajasthan",
E550="Kochi","Kerala",
E550="Kolkata","West Bengal",
E550="Lucknow","Uttar Pradesh",
E550="Mumbai","Maharashtra",
E550="Nagpur","Maharashtra",
E550="Patna","Bihar",
E550="Pune","Maharashtra",
E550="Raipur","Chhattisgarh",
E550="Surat","Gujarat",
TRUE,"Not Found"
)</f>
        <v>Uttar Pradesh</v>
      </c>
      <c r="G550" t="s">
        <v>1150</v>
      </c>
      <c r="H550" t="s">
        <v>1172</v>
      </c>
      <c r="I550" t="s">
        <v>1188</v>
      </c>
      <c r="J550" t="s">
        <v>1258</v>
      </c>
      <c r="K550" t="s">
        <v>1259</v>
      </c>
      <c r="L550">
        <v>2</v>
      </c>
      <c r="M550">
        <v>8289</v>
      </c>
      <c r="N550">
        <v>0.05</v>
      </c>
      <c r="O550">
        <v>7874.5499999999993</v>
      </c>
      <c r="P550">
        <v>0.12</v>
      </c>
      <c r="Q550">
        <v>15749.1</v>
      </c>
      <c r="R550">
        <v>1889.8920000000001</v>
      </c>
      <c r="S550">
        <v>17638.991999999998</v>
      </c>
      <c r="T550">
        <f>ROUND(Table2[[#This Row],[TotalAmount]],0)</f>
        <v>17639</v>
      </c>
      <c r="U550" t="s">
        <v>1365</v>
      </c>
      <c r="V550" t="s">
        <v>1364</v>
      </c>
      <c r="W550" s="4">
        <v>45766</v>
      </c>
      <c r="X550" s="4" t="s">
        <v>1412</v>
      </c>
      <c r="Y550" t="b">
        <v>1</v>
      </c>
      <c r="Z550" s="1">
        <v>45769</v>
      </c>
      <c r="AA550" s="1">
        <v>45769</v>
      </c>
      <c r="AB550" t="s">
        <v>1381</v>
      </c>
      <c r="AC550" t="s">
        <v>1390</v>
      </c>
      <c r="AD550" t="s">
        <v>1387</v>
      </c>
      <c r="AE550" t="s">
        <v>1389</v>
      </c>
    </row>
    <row r="551" spans="1:31" x14ac:dyDescent="0.3">
      <c r="A551" t="s">
        <v>724</v>
      </c>
      <c r="B551" s="4">
        <v>45693.443749999999</v>
      </c>
      <c r="C551" t="s">
        <v>300</v>
      </c>
      <c r="D551" t="s">
        <v>1157</v>
      </c>
      <c r="E551" t="s">
        <v>1201</v>
      </c>
      <c r="F551" t="str" cm="1">
        <f t="array" ref="F551">_xlfn.IFS(
E551="Ahmedabad","Gujarat",
E551="Bengaluru","Karnataka",
E551="Bhopal","Madhya Pradesh",
E551="Bhubaneswar","Odisha",
E551="Chandigarh","Chandigarh",
E551="Chennai","Tamil Nadu",
E551="Delhi","Delhi",
E551="Guwahati","Assam",
E551="Hyderabad","Telangana",
E551="Indore","Madhya Pradesh",
E551="Jaipur","Rajasthan",
E551="Kochi","Kerala",
E551="Kolkata","West Bengal",
E551="Lucknow","Uttar Pradesh",
E551="Mumbai","Maharashtra",
E551="Nagpur","Maharashtra",
E551="Patna","Bihar",
E551="Pune","Maharashtra",
E551="Raipur","Chhattisgarh",
E551="Surat","Gujarat",
TRUE,"Not Found"
)</f>
        <v>Maharashtra</v>
      </c>
      <c r="G551" t="s">
        <v>1187</v>
      </c>
      <c r="H551" t="s">
        <v>1177</v>
      </c>
      <c r="I551" t="s">
        <v>1192</v>
      </c>
      <c r="J551" t="s">
        <v>1193</v>
      </c>
      <c r="K551" t="s">
        <v>1194</v>
      </c>
      <c r="L551">
        <v>1</v>
      </c>
      <c r="M551">
        <v>489</v>
      </c>
      <c r="N551">
        <v>0.1</v>
      </c>
      <c r="O551">
        <v>440.1</v>
      </c>
      <c r="P551">
        <v>0.18</v>
      </c>
      <c r="Q551">
        <v>440.1</v>
      </c>
      <c r="R551">
        <v>79.218000000000004</v>
      </c>
      <c r="S551">
        <v>519.31799999999998</v>
      </c>
      <c r="T551">
        <f>ROUND(Table2[[#This Row],[TotalAmount]],0)</f>
        <v>519</v>
      </c>
      <c r="U551" t="s">
        <v>1362</v>
      </c>
      <c r="V551" t="s">
        <v>1368</v>
      </c>
      <c r="W551" s="4">
        <v>45695</v>
      </c>
      <c r="X551" s="4" t="s">
        <v>1412</v>
      </c>
      <c r="Y551" t="b">
        <v>0</v>
      </c>
      <c r="Z551" t="s">
        <v>1412</v>
      </c>
      <c r="AA551" t="s">
        <v>1412</v>
      </c>
      <c r="AB551" t="s">
        <v>1412</v>
      </c>
      <c r="AC551" t="s">
        <v>1396</v>
      </c>
      <c r="AD551" t="s">
        <v>1400</v>
      </c>
      <c r="AE551" t="s">
        <v>1395</v>
      </c>
    </row>
    <row r="552" spans="1:31" x14ac:dyDescent="0.3">
      <c r="A552" t="s">
        <v>725</v>
      </c>
      <c r="B552" s="4">
        <v>45679.5</v>
      </c>
      <c r="C552" t="s">
        <v>191</v>
      </c>
      <c r="D552" t="s">
        <v>1153</v>
      </c>
      <c r="E552" t="s">
        <v>1154</v>
      </c>
      <c r="F552" t="str" cm="1">
        <f t="array" ref="F552">_xlfn.IFS(
E552="Ahmedabad","Gujarat",
E552="Bengaluru","Karnataka",
E552="Bhopal","Madhya Pradesh",
E552="Bhubaneswar","Odisha",
E552="Chandigarh","Chandigarh",
E552="Chennai","Tamil Nadu",
E552="Delhi","Delhi",
E552="Guwahati","Assam",
E552="Hyderabad","Telangana",
E552="Indore","Madhya Pradesh",
E552="Jaipur","Rajasthan",
E552="Kochi","Kerala",
E552="Kolkata","West Bengal",
E552="Lucknow","Uttar Pradesh",
E552="Mumbai","Maharashtra",
E552="Nagpur","Maharashtra",
E552="Patna","Bihar",
E552="Pune","Maharashtra",
E552="Raipur","Chhattisgarh",
E552="Surat","Gujarat",
TRUE,"Not Found"
)</f>
        <v>Maharashtra</v>
      </c>
      <c r="G552" t="s">
        <v>1143</v>
      </c>
      <c r="H552" t="s">
        <v>1177</v>
      </c>
      <c r="I552" t="s">
        <v>1195</v>
      </c>
      <c r="J552" t="s">
        <v>1196</v>
      </c>
      <c r="K552" t="s">
        <v>1197</v>
      </c>
      <c r="L552">
        <v>1</v>
      </c>
      <c r="M552">
        <v>2612</v>
      </c>
      <c r="N552">
        <v>0</v>
      </c>
      <c r="O552">
        <v>2612</v>
      </c>
      <c r="P552">
        <v>0.12</v>
      </c>
      <c r="Q552">
        <v>2612</v>
      </c>
      <c r="R552">
        <v>313.44</v>
      </c>
      <c r="S552">
        <v>2925.44</v>
      </c>
      <c r="T552">
        <f>ROUND(Table2[[#This Row],[TotalAmount]],0)</f>
        <v>2925</v>
      </c>
      <c r="U552" t="s">
        <v>1366</v>
      </c>
      <c r="V552" t="s">
        <v>1361</v>
      </c>
      <c r="W552" s="4">
        <v>45681</v>
      </c>
      <c r="X552" s="4">
        <v>45683</v>
      </c>
      <c r="Y552" t="b">
        <v>0</v>
      </c>
      <c r="Z552" t="s">
        <v>1412</v>
      </c>
      <c r="AA552" t="s">
        <v>1412</v>
      </c>
      <c r="AB552" t="s">
        <v>1412</v>
      </c>
      <c r="AC552" t="s">
        <v>1384</v>
      </c>
      <c r="AD552" t="s">
        <v>1400</v>
      </c>
      <c r="AE552" t="s">
        <v>1393</v>
      </c>
    </row>
    <row r="553" spans="1:31" x14ac:dyDescent="0.3">
      <c r="A553" t="s">
        <v>726</v>
      </c>
      <c r="B553" s="4">
        <v>45303.388888888891</v>
      </c>
      <c r="C553" t="s">
        <v>727</v>
      </c>
      <c r="D553" t="s">
        <v>1153</v>
      </c>
      <c r="E553" t="s">
        <v>1154</v>
      </c>
      <c r="F553" t="str" cm="1">
        <f t="array" ref="F553">_xlfn.IFS(
E553="Ahmedabad","Gujarat",
E553="Bengaluru","Karnataka",
E553="Bhopal","Madhya Pradesh",
E553="Bhubaneswar","Odisha",
E553="Chandigarh","Chandigarh",
E553="Chennai","Tamil Nadu",
E553="Delhi","Delhi",
E553="Guwahati","Assam",
E553="Hyderabad","Telangana",
E553="Indore","Madhya Pradesh",
E553="Jaipur","Rajasthan",
E553="Kochi","Kerala",
E553="Kolkata","West Bengal",
E553="Lucknow","Uttar Pradesh",
E553="Mumbai","Maharashtra",
E553="Nagpur","Maharashtra",
E553="Patna","Bihar",
E553="Pune","Maharashtra",
E553="Raipur","Chhattisgarh",
E553="Surat","Gujarat",
TRUE,"Not Found"
)</f>
        <v>Maharashtra</v>
      </c>
      <c r="G553" t="s">
        <v>1143</v>
      </c>
      <c r="H553" t="s">
        <v>1177</v>
      </c>
      <c r="I553" t="s">
        <v>1178</v>
      </c>
      <c r="J553" t="s">
        <v>1220</v>
      </c>
      <c r="K553" t="s">
        <v>1221</v>
      </c>
      <c r="L553">
        <v>2</v>
      </c>
      <c r="M553">
        <v>506</v>
      </c>
      <c r="N553">
        <v>0.1</v>
      </c>
      <c r="O553">
        <v>455.4</v>
      </c>
      <c r="P553">
        <v>0.12</v>
      </c>
      <c r="Q553">
        <v>910.80000000000007</v>
      </c>
      <c r="R553">
        <v>109.29600000000001</v>
      </c>
      <c r="S553">
        <v>1020.096</v>
      </c>
      <c r="T553">
        <f>ROUND(Table2[[#This Row],[TotalAmount]],0)</f>
        <v>1020</v>
      </c>
      <c r="U553" t="s">
        <v>1362</v>
      </c>
      <c r="V553" t="s">
        <v>1361</v>
      </c>
      <c r="W553" s="4">
        <v>45305</v>
      </c>
      <c r="X553" s="4">
        <v>45309</v>
      </c>
      <c r="Y553" t="b">
        <v>0</v>
      </c>
      <c r="Z553" t="s">
        <v>1412</v>
      </c>
      <c r="AA553" t="s">
        <v>1412</v>
      </c>
      <c r="AB553" t="s">
        <v>1412</v>
      </c>
      <c r="AC553" t="s">
        <v>1388</v>
      </c>
      <c r="AD553" t="s">
        <v>1399</v>
      </c>
      <c r="AE553" t="s">
        <v>1393</v>
      </c>
    </row>
    <row r="554" spans="1:31" x14ac:dyDescent="0.3">
      <c r="A554" t="s">
        <v>728</v>
      </c>
      <c r="B554" s="4">
        <v>45346.646527777782</v>
      </c>
      <c r="C554" t="s">
        <v>407</v>
      </c>
      <c r="D554" t="s">
        <v>1157</v>
      </c>
      <c r="E554" t="s">
        <v>1158</v>
      </c>
      <c r="F554" t="str" cm="1">
        <f t="array" ref="F554">_xlfn.IFS(
E554="Ahmedabad","Gujarat",
E554="Bengaluru","Karnataka",
E554="Bhopal","Madhya Pradesh",
E554="Bhubaneswar","Odisha",
E554="Chandigarh","Chandigarh",
E554="Chennai","Tamil Nadu",
E554="Delhi","Delhi",
E554="Guwahati","Assam",
E554="Hyderabad","Telangana",
E554="Indore","Madhya Pradesh",
E554="Jaipur","Rajasthan",
E554="Kochi","Kerala",
E554="Kolkata","West Bengal",
E554="Lucknow","Uttar Pradesh",
E554="Mumbai","Maharashtra",
E554="Nagpur","Maharashtra",
E554="Patna","Bihar",
E554="Pune","Maharashtra",
E554="Raipur","Chhattisgarh",
E554="Surat","Gujarat",
TRUE,"Not Found"
)</f>
        <v>Gujarat</v>
      </c>
      <c r="G554" t="s">
        <v>1143</v>
      </c>
      <c r="H554" t="s">
        <v>1177</v>
      </c>
      <c r="I554" t="s">
        <v>1236</v>
      </c>
      <c r="J554" t="s">
        <v>1254</v>
      </c>
      <c r="K554" t="s">
        <v>1255</v>
      </c>
      <c r="L554">
        <v>3</v>
      </c>
      <c r="M554">
        <v>1157</v>
      </c>
      <c r="N554">
        <v>0</v>
      </c>
      <c r="O554">
        <v>1157</v>
      </c>
      <c r="P554">
        <v>0.12</v>
      </c>
      <c r="Q554">
        <v>3471</v>
      </c>
      <c r="R554">
        <v>416.52</v>
      </c>
      <c r="S554">
        <v>3887.52</v>
      </c>
      <c r="T554">
        <f>ROUND(Table2[[#This Row],[TotalAmount]],0)</f>
        <v>3888</v>
      </c>
      <c r="U554" t="s">
        <v>1366</v>
      </c>
      <c r="V554" t="s">
        <v>1361</v>
      </c>
      <c r="W554" s="4">
        <v>45348</v>
      </c>
      <c r="X554" s="4">
        <v>45352</v>
      </c>
      <c r="Y554" t="b">
        <v>0</v>
      </c>
      <c r="Z554" t="s">
        <v>1412</v>
      </c>
      <c r="AA554" t="s">
        <v>1412</v>
      </c>
      <c r="AB554" t="s">
        <v>1412</v>
      </c>
      <c r="AC554" t="s">
        <v>1379</v>
      </c>
      <c r="AD554" t="s">
        <v>1385</v>
      </c>
      <c r="AE554" t="s">
        <v>1395</v>
      </c>
    </row>
    <row r="555" spans="1:31" x14ac:dyDescent="0.3">
      <c r="A555" t="s">
        <v>729</v>
      </c>
      <c r="B555" s="4">
        <v>45494.470138888893</v>
      </c>
      <c r="C555" t="s">
        <v>505</v>
      </c>
      <c r="D555" t="s">
        <v>1157</v>
      </c>
      <c r="E555" t="s">
        <v>1158</v>
      </c>
      <c r="F555" t="str" cm="1">
        <f t="array" ref="F555">_xlfn.IFS(
E555="Ahmedabad","Gujarat",
E555="Bengaluru","Karnataka",
E555="Bhopal","Madhya Pradesh",
E555="Bhubaneswar","Odisha",
E555="Chandigarh","Chandigarh",
E555="Chennai","Tamil Nadu",
E555="Delhi","Delhi",
E555="Guwahati","Assam",
E555="Hyderabad","Telangana",
E555="Indore","Madhya Pradesh",
E555="Jaipur","Rajasthan",
E555="Kochi","Kerala",
E555="Kolkata","West Bengal",
E555="Lucknow","Uttar Pradesh",
E555="Mumbai","Maharashtra",
E555="Nagpur","Maharashtra",
E555="Patna","Bihar",
E555="Pune","Maharashtra",
E555="Raipur","Chhattisgarh",
E555="Surat","Gujarat",
TRUE,"Not Found"
)</f>
        <v>Gujarat</v>
      </c>
      <c r="G555" t="s">
        <v>1150</v>
      </c>
      <c r="H555" t="s">
        <v>1144</v>
      </c>
      <c r="I555" t="s">
        <v>1276</v>
      </c>
      <c r="J555" t="s">
        <v>1286</v>
      </c>
      <c r="K555" t="s">
        <v>1287</v>
      </c>
      <c r="L555">
        <v>1</v>
      </c>
      <c r="M555">
        <v>5799</v>
      </c>
      <c r="N555">
        <v>0</v>
      </c>
      <c r="O555">
        <v>5799</v>
      </c>
      <c r="P555">
        <v>0.05</v>
      </c>
      <c r="Q555">
        <v>5799</v>
      </c>
      <c r="R555">
        <v>289.95</v>
      </c>
      <c r="S555">
        <v>6088.95</v>
      </c>
      <c r="T555">
        <f>ROUND(Table2[[#This Row],[TotalAmount]],0)</f>
        <v>6089</v>
      </c>
      <c r="U555" t="s">
        <v>1362</v>
      </c>
      <c r="V555" t="s">
        <v>1361</v>
      </c>
      <c r="W555" s="4">
        <v>45494</v>
      </c>
      <c r="X555" s="4">
        <v>45499</v>
      </c>
      <c r="Y555" t="b">
        <v>0</v>
      </c>
      <c r="Z555" t="s">
        <v>1412</v>
      </c>
      <c r="AA555" t="s">
        <v>1412</v>
      </c>
      <c r="AB555" t="s">
        <v>1412</v>
      </c>
      <c r="AC555" t="s">
        <v>1392</v>
      </c>
      <c r="AD555" t="s">
        <v>1385</v>
      </c>
      <c r="AE555" t="s">
        <v>1391</v>
      </c>
    </row>
    <row r="556" spans="1:31" x14ac:dyDescent="0.3">
      <c r="A556" t="s">
        <v>730</v>
      </c>
      <c r="B556" s="4">
        <v>45714.538194444453</v>
      </c>
      <c r="C556" t="s">
        <v>36</v>
      </c>
      <c r="D556" t="s">
        <v>1182</v>
      </c>
      <c r="E556" t="s">
        <v>1207</v>
      </c>
      <c r="F556" t="str" cm="1">
        <f t="array" ref="F556">_xlfn.IFS(
E556="Ahmedabad","Gujarat",
E556="Bengaluru","Karnataka",
E556="Bhopal","Madhya Pradesh",
E556="Bhubaneswar","Odisha",
E556="Chandigarh","Chandigarh",
E556="Chennai","Tamil Nadu",
E556="Delhi","Delhi",
E556="Guwahati","Assam",
E556="Hyderabad","Telangana",
E556="Indore","Madhya Pradesh",
E556="Jaipur","Rajasthan",
E556="Kochi","Kerala",
E556="Kolkata","West Bengal",
E556="Lucknow","Uttar Pradesh",
E556="Mumbai","Maharashtra",
E556="Nagpur","Maharashtra",
E556="Patna","Bihar",
E556="Pune","Maharashtra",
E556="Raipur","Chhattisgarh",
E556="Surat","Gujarat",
TRUE,"Not Found"
)</f>
        <v>Tamil Nadu</v>
      </c>
      <c r="G556" t="s">
        <v>1143</v>
      </c>
      <c r="H556" t="s">
        <v>1167</v>
      </c>
      <c r="I556" t="s">
        <v>1288</v>
      </c>
      <c r="J556" t="s">
        <v>1293</v>
      </c>
      <c r="K556" t="s">
        <v>1294</v>
      </c>
      <c r="L556">
        <v>3</v>
      </c>
      <c r="M556">
        <v>13804</v>
      </c>
      <c r="N556">
        <v>0</v>
      </c>
      <c r="O556">
        <v>13804</v>
      </c>
      <c r="P556">
        <v>0.12</v>
      </c>
      <c r="Q556">
        <v>41412</v>
      </c>
      <c r="R556">
        <v>4969.4399999999996</v>
      </c>
      <c r="S556">
        <v>46381.440000000002</v>
      </c>
      <c r="T556">
        <f>ROUND(Table2[[#This Row],[TotalAmount]],0)</f>
        <v>46381</v>
      </c>
      <c r="U556" t="s">
        <v>1363</v>
      </c>
      <c r="V556" t="s">
        <v>1361</v>
      </c>
      <c r="W556" s="4">
        <v>45716</v>
      </c>
      <c r="X556" s="4">
        <v>45718</v>
      </c>
      <c r="Y556" t="b">
        <v>0</v>
      </c>
      <c r="Z556" t="s">
        <v>1412</v>
      </c>
      <c r="AA556" t="s">
        <v>1412</v>
      </c>
      <c r="AB556" t="s">
        <v>1412</v>
      </c>
      <c r="AC556" t="s">
        <v>1388</v>
      </c>
      <c r="AD556" t="s">
        <v>1377</v>
      </c>
      <c r="AE556" t="s">
        <v>1389</v>
      </c>
    </row>
    <row r="557" spans="1:31" x14ac:dyDescent="0.3">
      <c r="A557" t="s">
        <v>731</v>
      </c>
      <c r="B557" s="4">
        <v>45628.580555555563</v>
      </c>
      <c r="C557" t="s">
        <v>102</v>
      </c>
      <c r="D557" t="s">
        <v>1141</v>
      </c>
      <c r="E557" t="s">
        <v>1239</v>
      </c>
      <c r="F557" t="str" cm="1">
        <f t="array" ref="F557">_xlfn.IFS(
E557="Ahmedabad","Gujarat",
E557="Bengaluru","Karnataka",
E557="Bhopal","Madhya Pradesh",
E557="Bhubaneswar","Odisha",
E557="Chandigarh","Chandigarh",
E557="Chennai","Tamil Nadu",
E557="Delhi","Delhi",
E557="Guwahati","Assam",
E557="Hyderabad","Telangana",
E557="Indore","Madhya Pradesh",
E557="Jaipur","Rajasthan",
E557="Kochi","Kerala",
E557="Kolkata","West Bengal",
E557="Lucknow","Uttar Pradesh",
E557="Mumbai","Maharashtra",
E557="Nagpur","Maharashtra",
E557="Patna","Bihar",
E557="Pune","Maharashtra",
E557="Raipur","Chhattisgarh",
E557="Surat","Gujarat",
TRUE,"Not Found"
)</f>
        <v>Odisha</v>
      </c>
      <c r="G557" t="s">
        <v>1150</v>
      </c>
      <c r="H557" t="s">
        <v>1172</v>
      </c>
      <c r="I557" t="s">
        <v>1229</v>
      </c>
      <c r="J557" t="s">
        <v>1340</v>
      </c>
      <c r="K557" t="s">
        <v>1341</v>
      </c>
      <c r="L557">
        <v>3</v>
      </c>
      <c r="M557">
        <v>512</v>
      </c>
      <c r="N557">
        <v>0.05</v>
      </c>
      <c r="O557">
        <v>486.4</v>
      </c>
      <c r="P557">
        <v>0.12</v>
      </c>
      <c r="Q557">
        <v>1459.2</v>
      </c>
      <c r="R557">
        <v>175.10400000000001</v>
      </c>
      <c r="S557">
        <v>1634.3040000000001</v>
      </c>
      <c r="T557">
        <f>ROUND(Table2[[#This Row],[TotalAmount]],0)</f>
        <v>1634</v>
      </c>
      <c r="U557" t="s">
        <v>1362</v>
      </c>
      <c r="V557" t="s">
        <v>1369</v>
      </c>
      <c r="W557" s="4" t="s">
        <v>1412</v>
      </c>
      <c r="X557" s="4" t="s">
        <v>1412</v>
      </c>
      <c r="Y557" t="b">
        <v>0</v>
      </c>
      <c r="Z557" t="s">
        <v>1412</v>
      </c>
      <c r="AA557" t="s">
        <v>1412</v>
      </c>
      <c r="AB557" t="s">
        <v>1412</v>
      </c>
      <c r="AC557" t="s">
        <v>1398</v>
      </c>
      <c r="AD557" t="s">
        <v>1399</v>
      </c>
      <c r="AE557" t="s">
        <v>1391</v>
      </c>
    </row>
    <row r="558" spans="1:31" x14ac:dyDescent="0.3">
      <c r="A558" t="s">
        <v>732</v>
      </c>
      <c r="B558" s="4">
        <v>45589.580555555563</v>
      </c>
      <c r="C558" t="s">
        <v>141</v>
      </c>
      <c r="D558" t="s">
        <v>1141</v>
      </c>
      <c r="E558" t="s">
        <v>1227</v>
      </c>
      <c r="F558" t="str" cm="1">
        <f t="array" ref="F558">_xlfn.IFS(
E558="Ahmedabad","Gujarat",
E558="Bengaluru","Karnataka",
E558="Bhopal","Madhya Pradesh",
E558="Bhubaneswar","Odisha",
E558="Chandigarh","Chandigarh",
E558="Chennai","Tamil Nadu",
E558="Delhi","Delhi",
E558="Guwahati","Assam",
E558="Hyderabad","Telangana",
E558="Indore","Madhya Pradesh",
E558="Jaipur","Rajasthan",
E558="Kochi","Kerala",
E558="Kolkata","West Bengal",
E558="Lucknow","Uttar Pradesh",
E558="Mumbai","Maharashtra",
E558="Nagpur","Maharashtra",
E558="Patna","Bihar",
E558="Pune","Maharashtra",
E558="Raipur","Chhattisgarh",
E558="Surat","Gujarat",
TRUE,"Not Found"
)</f>
        <v>Bihar</v>
      </c>
      <c r="G558" t="s">
        <v>1143</v>
      </c>
      <c r="H558" t="s">
        <v>1167</v>
      </c>
      <c r="I558" t="s">
        <v>1208</v>
      </c>
      <c r="J558" t="s">
        <v>1322</v>
      </c>
      <c r="K558" t="s">
        <v>1323</v>
      </c>
      <c r="L558">
        <v>4</v>
      </c>
      <c r="M558">
        <v>20070</v>
      </c>
      <c r="N558">
        <v>0.05</v>
      </c>
      <c r="O558">
        <v>19066.5</v>
      </c>
      <c r="P558">
        <v>0.12</v>
      </c>
      <c r="Q558">
        <v>76266</v>
      </c>
      <c r="R558">
        <v>9151.92</v>
      </c>
      <c r="S558">
        <v>85417.919999999998</v>
      </c>
      <c r="T558">
        <f>ROUND(Table2[[#This Row],[TotalAmount]],0)</f>
        <v>85418</v>
      </c>
      <c r="U558" t="s">
        <v>1362</v>
      </c>
      <c r="V558" t="s">
        <v>1361</v>
      </c>
      <c r="W558" s="4">
        <v>45589</v>
      </c>
      <c r="X558" s="4">
        <v>45591</v>
      </c>
      <c r="Y558" t="b">
        <v>0</v>
      </c>
      <c r="Z558" t="s">
        <v>1412</v>
      </c>
      <c r="AA558" t="s">
        <v>1412</v>
      </c>
      <c r="AB558" t="s">
        <v>1412</v>
      </c>
      <c r="AC558" t="s">
        <v>1382</v>
      </c>
      <c r="AD558" t="s">
        <v>1399</v>
      </c>
      <c r="AE558" t="s">
        <v>1378</v>
      </c>
    </row>
    <row r="559" spans="1:31" x14ac:dyDescent="0.3">
      <c r="A559" t="s">
        <v>733</v>
      </c>
      <c r="B559" s="4">
        <v>45625.504166666673</v>
      </c>
      <c r="C559" t="s">
        <v>63</v>
      </c>
      <c r="D559" t="s">
        <v>1141</v>
      </c>
      <c r="E559" t="s">
        <v>1239</v>
      </c>
      <c r="F559" t="str" cm="1">
        <f t="array" ref="F559">_xlfn.IFS(
E559="Ahmedabad","Gujarat",
E559="Bengaluru","Karnataka",
E559="Bhopal","Madhya Pradesh",
E559="Bhubaneswar","Odisha",
E559="Chandigarh","Chandigarh",
E559="Chennai","Tamil Nadu",
E559="Delhi","Delhi",
E559="Guwahati","Assam",
E559="Hyderabad","Telangana",
E559="Indore","Madhya Pradesh",
E559="Jaipur","Rajasthan",
E559="Kochi","Kerala",
E559="Kolkata","West Bengal",
E559="Lucknow","Uttar Pradesh",
E559="Mumbai","Maharashtra",
E559="Nagpur","Maharashtra",
E559="Patna","Bihar",
E559="Pune","Maharashtra",
E559="Raipur","Chhattisgarh",
E559="Surat","Gujarat",
TRUE,"Not Found"
)</f>
        <v>Odisha</v>
      </c>
      <c r="G559" t="s">
        <v>1143</v>
      </c>
      <c r="H559" t="s">
        <v>1167</v>
      </c>
      <c r="I559" t="s">
        <v>1168</v>
      </c>
      <c r="J559" t="s">
        <v>1312</v>
      </c>
      <c r="K559" t="s">
        <v>1313</v>
      </c>
      <c r="L559">
        <v>1</v>
      </c>
      <c r="M559">
        <v>48736</v>
      </c>
      <c r="N559">
        <v>0</v>
      </c>
      <c r="O559">
        <v>48736</v>
      </c>
      <c r="P559">
        <v>0.05</v>
      </c>
      <c r="Q559">
        <v>48736</v>
      </c>
      <c r="R559">
        <v>2436.8000000000002</v>
      </c>
      <c r="S559">
        <v>51172.800000000003</v>
      </c>
      <c r="T559">
        <f>ROUND(Table2[[#This Row],[TotalAmount]],0)</f>
        <v>51173</v>
      </c>
      <c r="U559" t="s">
        <v>1362</v>
      </c>
      <c r="V559" t="s">
        <v>1368</v>
      </c>
      <c r="W559" s="4">
        <v>45626</v>
      </c>
      <c r="X559" s="4" t="s">
        <v>1412</v>
      </c>
      <c r="Y559" t="b">
        <v>0</v>
      </c>
      <c r="Z559" t="s">
        <v>1412</v>
      </c>
      <c r="AA559" t="s">
        <v>1412</v>
      </c>
      <c r="AB559" t="s">
        <v>1412</v>
      </c>
      <c r="AC559" t="s">
        <v>1382</v>
      </c>
      <c r="AD559" t="s">
        <v>1394</v>
      </c>
      <c r="AE559" t="s">
        <v>1391</v>
      </c>
    </row>
    <row r="560" spans="1:31" x14ac:dyDescent="0.3">
      <c r="A560" t="s">
        <v>734</v>
      </c>
      <c r="B560" s="4">
        <v>45619.595138888893</v>
      </c>
      <c r="C560" t="s">
        <v>24</v>
      </c>
      <c r="D560" t="s">
        <v>1153</v>
      </c>
      <c r="E560" t="s">
        <v>1154</v>
      </c>
      <c r="F560" t="str" cm="1">
        <f t="array" ref="F560">_xlfn.IFS(
E560="Ahmedabad","Gujarat",
E560="Bengaluru","Karnataka",
E560="Bhopal","Madhya Pradesh",
E560="Bhubaneswar","Odisha",
E560="Chandigarh","Chandigarh",
E560="Chennai","Tamil Nadu",
E560="Delhi","Delhi",
E560="Guwahati","Assam",
E560="Hyderabad","Telangana",
E560="Indore","Madhya Pradesh",
E560="Jaipur","Rajasthan",
E560="Kochi","Kerala",
E560="Kolkata","West Bengal",
E560="Lucknow","Uttar Pradesh",
E560="Mumbai","Maharashtra",
E560="Nagpur","Maharashtra",
E560="Patna","Bihar",
E560="Pune","Maharashtra",
E560="Raipur","Chhattisgarh",
E560="Surat","Gujarat",
TRUE,"Not Found"
)</f>
        <v>Maharashtra</v>
      </c>
      <c r="G560" t="s">
        <v>1143</v>
      </c>
      <c r="H560" t="s">
        <v>1177</v>
      </c>
      <c r="I560" t="s">
        <v>1192</v>
      </c>
      <c r="J560" t="s">
        <v>1193</v>
      </c>
      <c r="K560" t="s">
        <v>1194</v>
      </c>
      <c r="L560">
        <v>1</v>
      </c>
      <c r="M560">
        <v>2266</v>
      </c>
      <c r="N560">
        <v>0.15</v>
      </c>
      <c r="O560">
        <v>1926.1</v>
      </c>
      <c r="P560">
        <v>0.12</v>
      </c>
      <c r="Q560">
        <v>1926.1</v>
      </c>
      <c r="R560">
        <v>231.13200000000001</v>
      </c>
      <c r="S560">
        <v>2157.232</v>
      </c>
      <c r="T560">
        <f>ROUND(Table2[[#This Row],[TotalAmount]],0)</f>
        <v>2157</v>
      </c>
      <c r="U560" t="s">
        <v>1366</v>
      </c>
      <c r="V560" t="s">
        <v>1361</v>
      </c>
      <c r="W560" s="4">
        <v>45620</v>
      </c>
      <c r="X560" s="4">
        <v>45622</v>
      </c>
      <c r="Y560" t="b">
        <v>0</v>
      </c>
      <c r="Z560" t="s">
        <v>1412</v>
      </c>
      <c r="AA560" t="s">
        <v>1412</v>
      </c>
      <c r="AB560" t="s">
        <v>1412</v>
      </c>
      <c r="AC560" t="s">
        <v>1390</v>
      </c>
      <c r="AD560" t="s">
        <v>1385</v>
      </c>
      <c r="AE560" t="s">
        <v>1395</v>
      </c>
    </row>
    <row r="561" spans="1:31" x14ac:dyDescent="0.3">
      <c r="A561" t="s">
        <v>735</v>
      </c>
      <c r="B561" s="4">
        <v>45722.589583333327</v>
      </c>
      <c r="C561" t="s">
        <v>69</v>
      </c>
      <c r="D561" t="s">
        <v>1153</v>
      </c>
      <c r="E561" t="s">
        <v>1191</v>
      </c>
      <c r="F561" t="str" cm="1">
        <f t="array" ref="F561">_xlfn.IFS(
E561="Ahmedabad","Gujarat",
E561="Bengaluru","Karnataka",
E561="Bhopal","Madhya Pradesh",
E561="Bhubaneswar","Odisha",
E561="Chandigarh","Chandigarh",
E561="Chennai","Tamil Nadu",
E561="Delhi","Delhi",
E561="Guwahati","Assam",
E561="Hyderabad","Telangana",
E561="Indore","Madhya Pradesh",
E561="Jaipur","Rajasthan",
E561="Kochi","Kerala",
E561="Kolkata","West Bengal",
E561="Lucknow","Uttar Pradesh",
E561="Mumbai","Maharashtra",
E561="Nagpur","Maharashtra",
E561="Patna","Bihar",
E561="Pune","Maharashtra",
E561="Raipur","Chhattisgarh",
E561="Surat","Gujarat",
TRUE,"Not Found"
)</f>
        <v>Madhya Pradesh</v>
      </c>
      <c r="G561" t="s">
        <v>1143</v>
      </c>
      <c r="H561" t="s">
        <v>1163</v>
      </c>
      <c r="I561" t="s">
        <v>1184</v>
      </c>
      <c r="J561" t="s">
        <v>1185</v>
      </c>
      <c r="K561" t="s">
        <v>1186</v>
      </c>
      <c r="L561">
        <v>3</v>
      </c>
      <c r="M561">
        <v>912</v>
      </c>
      <c r="N561">
        <v>0.05</v>
      </c>
      <c r="O561">
        <v>866.4</v>
      </c>
      <c r="P561">
        <v>0.12</v>
      </c>
      <c r="Q561">
        <v>2599.1999999999998</v>
      </c>
      <c r="R561">
        <v>311.90399999999988</v>
      </c>
      <c r="S561">
        <v>2911.1039999999998</v>
      </c>
      <c r="T561">
        <f>ROUND(Table2[[#This Row],[TotalAmount]],0)</f>
        <v>2911</v>
      </c>
      <c r="U561" t="s">
        <v>1363</v>
      </c>
      <c r="V561" t="s">
        <v>1367</v>
      </c>
      <c r="W561" s="4">
        <v>45722</v>
      </c>
      <c r="X561" s="4" t="s">
        <v>1412</v>
      </c>
      <c r="Y561" t="b">
        <v>0</v>
      </c>
      <c r="Z561" t="s">
        <v>1412</v>
      </c>
      <c r="AA561" t="s">
        <v>1412</v>
      </c>
      <c r="AB561" t="s">
        <v>1412</v>
      </c>
      <c r="AC561" t="s">
        <v>1388</v>
      </c>
      <c r="AD561" t="s">
        <v>1400</v>
      </c>
      <c r="AE561" t="s">
        <v>1391</v>
      </c>
    </row>
    <row r="562" spans="1:31" x14ac:dyDescent="0.3">
      <c r="A562" t="s">
        <v>736</v>
      </c>
      <c r="B562" s="4">
        <v>45601.513888888891</v>
      </c>
      <c r="C562" t="s">
        <v>296</v>
      </c>
      <c r="D562" t="s">
        <v>1157</v>
      </c>
      <c r="E562" t="s">
        <v>1181</v>
      </c>
      <c r="F562" t="str" cm="1">
        <f t="array" ref="F562">_xlfn.IFS(
E562="Ahmedabad","Gujarat",
E562="Bengaluru","Karnataka",
E562="Bhopal","Madhya Pradesh",
E562="Bhubaneswar","Odisha",
E562="Chandigarh","Chandigarh",
E562="Chennai","Tamil Nadu",
E562="Delhi","Delhi",
E562="Guwahati","Assam",
E562="Hyderabad","Telangana",
E562="Indore","Madhya Pradesh",
E562="Jaipur","Rajasthan",
E562="Kochi","Kerala",
E562="Kolkata","West Bengal",
E562="Lucknow","Uttar Pradesh",
E562="Mumbai","Maharashtra",
E562="Nagpur","Maharashtra",
E562="Patna","Bihar",
E562="Pune","Maharashtra",
E562="Raipur","Chhattisgarh",
E562="Surat","Gujarat",
TRUE,"Not Found"
)</f>
        <v>Gujarat</v>
      </c>
      <c r="G562" t="s">
        <v>1150</v>
      </c>
      <c r="H562" t="s">
        <v>1163</v>
      </c>
      <c r="I562" t="s">
        <v>1240</v>
      </c>
      <c r="J562" t="s">
        <v>1247</v>
      </c>
      <c r="K562" t="s">
        <v>1248</v>
      </c>
      <c r="L562">
        <v>2</v>
      </c>
      <c r="M562">
        <v>770</v>
      </c>
      <c r="N562">
        <v>0</v>
      </c>
      <c r="O562">
        <v>770</v>
      </c>
      <c r="P562">
        <v>0.18</v>
      </c>
      <c r="Q562">
        <v>1540</v>
      </c>
      <c r="R562">
        <v>277.2</v>
      </c>
      <c r="S562">
        <v>1817.2</v>
      </c>
      <c r="T562">
        <f>ROUND(Table2[[#This Row],[TotalAmount]],0)</f>
        <v>1817</v>
      </c>
      <c r="U562" t="s">
        <v>1360</v>
      </c>
      <c r="V562" t="s">
        <v>1368</v>
      </c>
      <c r="W562" s="4">
        <v>45603</v>
      </c>
      <c r="X562" s="4" t="s">
        <v>1412</v>
      </c>
      <c r="Y562" t="b">
        <v>0</v>
      </c>
      <c r="Z562" t="s">
        <v>1412</v>
      </c>
      <c r="AA562" t="s">
        <v>1412</v>
      </c>
      <c r="AB562" t="s">
        <v>1412</v>
      </c>
      <c r="AC562" t="s">
        <v>1379</v>
      </c>
      <c r="AD562" t="s">
        <v>1394</v>
      </c>
      <c r="AE562" t="s">
        <v>1383</v>
      </c>
    </row>
    <row r="563" spans="1:31" x14ac:dyDescent="0.3">
      <c r="A563" t="s">
        <v>737</v>
      </c>
      <c r="B563" s="4">
        <v>45678.522916666669</v>
      </c>
      <c r="C563" t="s">
        <v>269</v>
      </c>
      <c r="D563" t="s">
        <v>1141</v>
      </c>
      <c r="E563" t="s">
        <v>1239</v>
      </c>
      <c r="F563" t="str" cm="1">
        <f t="array" ref="F563">_xlfn.IFS(
E563="Ahmedabad","Gujarat",
E563="Bengaluru","Karnataka",
E563="Bhopal","Madhya Pradesh",
E563="Bhubaneswar","Odisha",
E563="Chandigarh","Chandigarh",
E563="Chennai","Tamil Nadu",
E563="Delhi","Delhi",
E563="Guwahati","Assam",
E563="Hyderabad","Telangana",
E563="Indore","Madhya Pradesh",
E563="Jaipur","Rajasthan",
E563="Kochi","Kerala",
E563="Kolkata","West Bengal",
E563="Lucknow","Uttar Pradesh",
E563="Mumbai","Maharashtra",
E563="Nagpur","Maharashtra",
E563="Patna","Bihar",
E563="Pune","Maharashtra",
E563="Raipur","Chhattisgarh",
E563="Surat","Gujarat",
TRUE,"Not Found"
)</f>
        <v>Odisha</v>
      </c>
      <c r="G563" t="s">
        <v>1150</v>
      </c>
      <c r="H563" t="s">
        <v>1144</v>
      </c>
      <c r="I563" t="s">
        <v>1214</v>
      </c>
      <c r="J563" t="s">
        <v>1215</v>
      </c>
      <c r="K563" t="s">
        <v>1216</v>
      </c>
      <c r="L563">
        <v>1</v>
      </c>
      <c r="M563">
        <v>13099</v>
      </c>
      <c r="N563">
        <v>0.05</v>
      </c>
      <c r="O563">
        <v>12444.05</v>
      </c>
      <c r="P563">
        <v>0.12</v>
      </c>
      <c r="Q563">
        <v>12444.05</v>
      </c>
      <c r="R563">
        <v>1493.2860000000001</v>
      </c>
      <c r="S563">
        <v>13937.335999999999</v>
      </c>
      <c r="T563">
        <f>ROUND(Table2[[#This Row],[TotalAmount]],0)</f>
        <v>13937</v>
      </c>
      <c r="U563" t="s">
        <v>1366</v>
      </c>
      <c r="V563" t="s">
        <v>1361</v>
      </c>
      <c r="W563" s="4">
        <v>45679</v>
      </c>
      <c r="X563" s="4">
        <v>45684</v>
      </c>
      <c r="Y563" t="b">
        <v>0</v>
      </c>
      <c r="Z563" t="s">
        <v>1412</v>
      </c>
      <c r="AA563" t="s">
        <v>1412</v>
      </c>
      <c r="AB563" t="s">
        <v>1412</v>
      </c>
      <c r="AC563" t="s">
        <v>1398</v>
      </c>
      <c r="AD563" t="s">
        <v>1399</v>
      </c>
      <c r="AE563" t="s">
        <v>1389</v>
      </c>
    </row>
    <row r="564" spans="1:31" x14ac:dyDescent="0.3">
      <c r="A564" t="s">
        <v>738</v>
      </c>
      <c r="B564" s="4">
        <v>45478.507638888892</v>
      </c>
      <c r="C564" t="s">
        <v>669</v>
      </c>
      <c r="D564" t="s">
        <v>1157</v>
      </c>
      <c r="E564" t="s">
        <v>1181</v>
      </c>
      <c r="F564" t="str" cm="1">
        <f t="array" ref="F564">_xlfn.IFS(
E564="Ahmedabad","Gujarat",
E564="Bengaluru","Karnataka",
E564="Bhopal","Madhya Pradesh",
E564="Bhubaneswar","Odisha",
E564="Chandigarh","Chandigarh",
E564="Chennai","Tamil Nadu",
E564="Delhi","Delhi",
E564="Guwahati","Assam",
E564="Hyderabad","Telangana",
E564="Indore","Madhya Pradesh",
E564="Jaipur","Rajasthan",
E564="Kochi","Kerala",
E564="Kolkata","West Bengal",
E564="Lucknow","Uttar Pradesh",
E564="Mumbai","Maharashtra",
E564="Nagpur","Maharashtra",
E564="Patna","Bihar",
E564="Pune","Maharashtra",
E564="Raipur","Chhattisgarh",
E564="Surat","Gujarat",
TRUE,"Not Found"
)</f>
        <v>Gujarat</v>
      </c>
      <c r="G564" t="s">
        <v>1143</v>
      </c>
      <c r="H564" t="s">
        <v>1167</v>
      </c>
      <c r="I564" t="s">
        <v>1263</v>
      </c>
      <c r="J564" t="s">
        <v>1264</v>
      </c>
      <c r="K564" t="s">
        <v>1265</v>
      </c>
      <c r="L564">
        <v>3</v>
      </c>
      <c r="M564">
        <v>10251</v>
      </c>
      <c r="N564">
        <v>0</v>
      </c>
      <c r="O564">
        <v>10251</v>
      </c>
      <c r="P564">
        <v>0.12</v>
      </c>
      <c r="Q564">
        <v>30753</v>
      </c>
      <c r="R564">
        <v>3690.36</v>
      </c>
      <c r="S564">
        <v>34443.360000000001</v>
      </c>
      <c r="T564">
        <f>ROUND(Table2[[#This Row],[TotalAmount]],0)</f>
        <v>34443</v>
      </c>
      <c r="U564" t="s">
        <v>1363</v>
      </c>
      <c r="V564" t="s">
        <v>1361</v>
      </c>
      <c r="W564" s="4">
        <v>45479</v>
      </c>
      <c r="X564" s="4">
        <v>45483</v>
      </c>
      <c r="Y564" t="b">
        <v>0</v>
      </c>
      <c r="Z564" t="s">
        <v>1412</v>
      </c>
      <c r="AA564" t="s">
        <v>1412</v>
      </c>
      <c r="AB564" t="s">
        <v>1412</v>
      </c>
      <c r="AC564" t="s">
        <v>1396</v>
      </c>
      <c r="AD564" t="s">
        <v>1399</v>
      </c>
      <c r="AE564" t="s">
        <v>1378</v>
      </c>
    </row>
    <row r="565" spans="1:31" x14ac:dyDescent="0.3">
      <c r="A565" t="s">
        <v>739</v>
      </c>
      <c r="B565" s="4">
        <v>45627.727083333331</v>
      </c>
      <c r="C565" t="s">
        <v>610</v>
      </c>
      <c r="D565" t="s">
        <v>1157</v>
      </c>
      <c r="E565" t="s">
        <v>1181</v>
      </c>
      <c r="F565" t="str" cm="1">
        <f t="array" ref="F565">_xlfn.IFS(
E565="Ahmedabad","Gujarat",
E565="Bengaluru","Karnataka",
E565="Bhopal","Madhya Pradesh",
E565="Bhubaneswar","Odisha",
E565="Chandigarh","Chandigarh",
E565="Chennai","Tamil Nadu",
E565="Delhi","Delhi",
E565="Guwahati","Assam",
E565="Hyderabad","Telangana",
E565="Indore","Madhya Pradesh",
E565="Jaipur","Rajasthan",
E565="Kochi","Kerala",
E565="Kolkata","West Bengal",
E565="Lucknow","Uttar Pradesh",
E565="Mumbai","Maharashtra",
E565="Nagpur","Maharashtra",
E565="Patna","Bihar",
E565="Pune","Maharashtra",
E565="Raipur","Chhattisgarh",
E565="Surat","Gujarat",
TRUE,"Not Found"
)</f>
        <v>Gujarat</v>
      </c>
      <c r="G565" t="s">
        <v>1143</v>
      </c>
      <c r="H565" t="s">
        <v>1144</v>
      </c>
      <c r="I565" t="s">
        <v>1159</v>
      </c>
      <c r="J565" t="s">
        <v>1334</v>
      </c>
      <c r="K565" t="s">
        <v>1335</v>
      </c>
      <c r="L565">
        <v>4</v>
      </c>
      <c r="M565">
        <v>11023</v>
      </c>
      <c r="N565">
        <v>0.05</v>
      </c>
      <c r="O565">
        <v>10471.85</v>
      </c>
      <c r="P565">
        <v>0.18</v>
      </c>
      <c r="Q565">
        <v>41887.4</v>
      </c>
      <c r="R565">
        <v>7539.732</v>
      </c>
      <c r="S565">
        <v>49427.131999999998</v>
      </c>
      <c r="T565">
        <f>ROUND(Table2[[#This Row],[TotalAmount]],0)</f>
        <v>49427</v>
      </c>
      <c r="U565" t="s">
        <v>1363</v>
      </c>
      <c r="V565" t="s">
        <v>1361</v>
      </c>
      <c r="W565" s="4">
        <v>45629</v>
      </c>
      <c r="X565" s="4">
        <v>45631</v>
      </c>
      <c r="Y565" t="b">
        <v>0</v>
      </c>
      <c r="Z565" t="s">
        <v>1412</v>
      </c>
      <c r="AA565" t="s">
        <v>1412</v>
      </c>
      <c r="AB565" t="s">
        <v>1412</v>
      </c>
      <c r="AC565" t="s">
        <v>1398</v>
      </c>
      <c r="AD565" t="s">
        <v>1397</v>
      </c>
      <c r="AE565" t="s">
        <v>1391</v>
      </c>
    </row>
    <row r="566" spans="1:31" x14ac:dyDescent="0.3">
      <c r="A566" t="s">
        <v>740</v>
      </c>
      <c r="B566" s="4">
        <v>45747.486805555563</v>
      </c>
      <c r="C566" t="s">
        <v>158</v>
      </c>
      <c r="D566" t="s">
        <v>1182</v>
      </c>
      <c r="E566" t="s">
        <v>1257</v>
      </c>
      <c r="F566" t="str" cm="1">
        <f t="array" ref="F566">_xlfn.IFS(
E566="Ahmedabad","Gujarat",
E566="Bengaluru","Karnataka",
E566="Bhopal","Madhya Pradesh",
E566="Bhubaneswar","Odisha",
E566="Chandigarh","Chandigarh",
E566="Chennai","Tamil Nadu",
E566="Delhi","Delhi",
E566="Guwahati","Assam",
E566="Hyderabad","Telangana",
E566="Indore","Madhya Pradesh",
E566="Jaipur","Rajasthan",
E566="Kochi","Kerala",
E566="Kolkata","West Bengal",
E566="Lucknow","Uttar Pradesh",
E566="Mumbai","Maharashtra",
E566="Nagpur","Maharashtra",
E566="Patna","Bihar",
E566="Pune","Maharashtra",
E566="Raipur","Chhattisgarh",
E566="Surat","Gujarat",
TRUE,"Not Found"
)</f>
        <v>Kerala</v>
      </c>
      <c r="G566" t="s">
        <v>1143</v>
      </c>
      <c r="H566" t="s">
        <v>1144</v>
      </c>
      <c r="I566" t="s">
        <v>1276</v>
      </c>
      <c r="J566" t="s">
        <v>1277</v>
      </c>
      <c r="K566" t="s">
        <v>1278</v>
      </c>
      <c r="L566">
        <v>2</v>
      </c>
      <c r="M566">
        <v>6057</v>
      </c>
      <c r="N566">
        <v>0</v>
      </c>
      <c r="O566">
        <v>6057</v>
      </c>
      <c r="P566">
        <v>0.12</v>
      </c>
      <c r="Q566">
        <v>12114</v>
      </c>
      <c r="R566">
        <v>1453.68</v>
      </c>
      <c r="S566">
        <v>13567.68</v>
      </c>
      <c r="T566">
        <f>ROUND(Table2[[#This Row],[TotalAmount]],0)</f>
        <v>13568</v>
      </c>
      <c r="U566" t="s">
        <v>1363</v>
      </c>
      <c r="V566" t="s">
        <v>1361</v>
      </c>
      <c r="W566" s="4">
        <v>45747</v>
      </c>
      <c r="X566" s="4">
        <v>45748</v>
      </c>
      <c r="Y566" t="b">
        <v>0</v>
      </c>
      <c r="Z566" t="s">
        <v>1412</v>
      </c>
      <c r="AA566" t="s">
        <v>1412</v>
      </c>
      <c r="AB566" t="s">
        <v>1412</v>
      </c>
      <c r="AC566" t="s">
        <v>1376</v>
      </c>
      <c r="AD566" t="s">
        <v>1400</v>
      </c>
      <c r="AE566" t="s">
        <v>1380</v>
      </c>
    </row>
    <row r="567" spans="1:31" x14ac:dyDescent="0.3">
      <c r="A567" t="s">
        <v>741</v>
      </c>
      <c r="B567" s="4">
        <v>45489.665972222218</v>
      </c>
      <c r="C567" t="s">
        <v>354</v>
      </c>
      <c r="D567" t="s">
        <v>1148</v>
      </c>
      <c r="E567" t="s">
        <v>1217</v>
      </c>
      <c r="F567" t="str" cm="1">
        <f t="array" ref="F567">_xlfn.IFS(
E567="Ahmedabad","Gujarat",
E567="Bengaluru","Karnataka",
E567="Bhopal","Madhya Pradesh",
E567="Bhubaneswar","Odisha",
E567="Chandigarh","Chandigarh",
E567="Chennai","Tamil Nadu",
E567="Delhi","Delhi",
E567="Guwahati","Assam",
E567="Hyderabad","Telangana",
E567="Indore","Madhya Pradesh",
E567="Jaipur","Rajasthan",
E567="Kochi","Kerala",
E567="Kolkata","West Bengal",
E567="Lucknow","Uttar Pradesh",
E567="Mumbai","Maharashtra",
E567="Nagpur","Maharashtra",
E567="Patna","Bihar",
E567="Pune","Maharashtra",
E567="Raipur","Chhattisgarh",
E567="Surat","Gujarat",
TRUE,"Not Found"
)</f>
        <v>Delhi</v>
      </c>
      <c r="G567" t="s">
        <v>1143</v>
      </c>
      <c r="H567" t="s">
        <v>1144</v>
      </c>
      <c r="I567" t="s">
        <v>1276</v>
      </c>
      <c r="J567" t="s">
        <v>1277</v>
      </c>
      <c r="K567" t="s">
        <v>1278</v>
      </c>
      <c r="L567">
        <v>1</v>
      </c>
      <c r="M567">
        <v>14339</v>
      </c>
      <c r="N567">
        <v>0.05</v>
      </c>
      <c r="O567">
        <v>13622.05</v>
      </c>
      <c r="P567">
        <v>0.18</v>
      </c>
      <c r="Q567">
        <v>13622.05</v>
      </c>
      <c r="R567">
        <v>2451.9690000000001</v>
      </c>
      <c r="S567">
        <v>16074.019</v>
      </c>
      <c r="T567">
        <f>ROUND(Table2[[#This Row],[TotalAmount]],0)</f>
        <v>16074</v>
      </c>
      <c r="U567" t="s">
        <v>1365</v>
      </c>
      <c r="V567" t="s">
        <v>1361</v>
      </c>
      <c r="W567" s="4">
        <v>45489</v>
      </c>
      <c r="X567" s="4">
        <v>45493</v>
      </c>
      <c r="Y567" t="b">
        <v>0</v>
      </c>
      <c r="Z567" t="s">
        <v>1412</v>
      </c>
      <c r="AA567" t="s">
        <v>1412</v>
      </c>
      <c r="AB567" t="s">
        <v>1412</v>
      </c>
      <c r="AC567" t="s">
        <v>1390</v>
      </c>
      <c r="AD567" t="s">
        <v>1385</v>
      </c>
      <c r="AE567" t="s">
        <v>1383</v>
      </c>
    </row>
    <row r="568" spans="1:31" x14ac:dyDescent="0.3">
      <c r="A568" t="s">
        <v>742</v>
      </c>
      <c r="B568" s="4">
        <v>45408.53402777778</v>
      </c>
      <c r="C568" t="s">
        <v>10</v>
      </c>
      <c r="D568" t="s">
        <v>1157</v>
      </c>
      <c r="E568" t="s">
        <v>1158</v>
      </c>
      <c r="F568" t="str" cm="1">
        <f t="array" ref="F568">_xlfn.IFS(
E568="Ahmedabad","Gujarat",
E568="Bengaluru","Karnataka",
E568="Bhopal","Madhya Pradesh",
E568="Bhubaneswar","Odisha",
E568="Chandigarh","Chandigarh",
E568="Chennai","Tamil Nadu",
E568="Delhi","Delhi",
E568="Guwahati","Assam",
E568="Hyderabad","Telangana",
E568="Indore","Madhya Pradesh",
E568="Jaipur","Rajasthan",
E568="Kochi","Kerala",
E568="Kolkata","West Bengal",
E568="Lucknow","Uttar Pradesh",
E568="Mumbai","Maharashtra",
E568="Nagpur","Maharashtra",
E568="Patna","Bihar",
E568="Pune","Maharashtra",
E568="Raipur","Chhattisgarh",
E568="Surat","Gujarat",
TRUE,"Not Found"
)</f>
        <v>Gujarat</v>
      </c>
      <c r="G568" t="s">
        <v>1150</v>
      </c>
      <c r="H568" t="s">
        <v>1172</v>
      </c>
      <c r="I568" t="s">
        <v>1198</v>
      </c>
      <c r="J568" t="s">
        <v>1250</v>
      </c>
      <c r="K568" t="s">
        <v>1251</v>
      </c>
      <c r="L568">
        <v>1</v>
      </c>
      <c r="M568">
        <v>6272</v>
      </c>
      <c r="N568">
        <v>0</v>
      </c>
      <c r="O568">
        <v>6272</v>
      </c>
      <c r="P568">
        <v>0.12</v>
      </c>
      <c r="Q568">
        <v>6272</v>
      </c>
      <c r="R568">
        <v>752.64</v>
      </c>
      <c r="S568">
        <v>7024.64</v>
      </c>
      <c r="T568">
        <f>ROUND(Table2[[#This Row],[TotalAmount]],0)</f>
        <v>7025</v>
      </c>
      <c r="U568" t="s">
        <v>1362</v>
      </c>
      <c r="V568" t="s">
        <v>1361</v>
      </c>
      <c r="W568" s="4">
        <v>45410</v>
      </c>
      <c r="X568" s="4">
        <v>45414</v>
      </c>
      <c r="Y568" t="b">
        <v>0</v>
      </c>
      <c r="Z568" t="s">
        <v>1412</v>
      </c>
      <c r="AA568" t="s">
        <v>1412</v>
      </c>
      <c r="AB568" t="s">
        <v>1412</v>
      </c>
      <c r="AC568" t="s">
        <v>1379</v>
      </c>
      <c r="AD568" t="s">
        <v>1399</v>
      </c>
      <c r="AE568" t="s">
        <v>1391</v>
      </c>
    </row>
    <row r="569" spans="1:31" x14ac:dyDescent="0.3">
      <c r="A569" t="s">
        <v>743</v>
      </c>
      <c r="B569" s="4">
        <v>45617.603472222218</v>
      </c>
      <c r="C569" t="s">
        <v>137</v>
      </c>
      <c r="D569" t="s">
        <v>1182</v>
      </c>
      <c r="E569" t="s">
        <v>1183</v>
      </c>
      <c r="F569" t="str" cm="1">
        <f t="array" ref="F569">_xlfn.IFS(
E569="Ahmedabad","Gujarat",
E569="Bengaluru","Karnataka",
E569="Bhopal","Madhya Pradesh",
E569="Bhubaneswar","Odisha",
E569="Chandigarh","Chandigarh",
E569="Chennai","Tamil Nadu",
E569="Delhi","Delhi",
E569="Guwahati","Assam",
E569="Hyderabad","Telangana",
E569="Indore","Madhya Pradesh",
E569="Jaipur","Rajasthan",
E569="Kochi","Kerala",
E569="Kolkata","West Bengal",
E569="Lucknow","Uttar Pradesh",
E569="Mumbai","Maharashtra",
E569="Nagpur","Maharashtra",
E569="Patna","Bihar",
E569="Pune","Maharashtra",
E569="Raipur","Chhattisgarh",
E569="Surat","Gujarat",
TRUE,"Not Found"
)</f>
        <v>Telangana</v>
      </c>
      <c r="G569" t="s">
        <v>1150</v>
      </c>
      <c r="H569" t="s">
        <v>1163</v>
      </c>
      <c r="I569" t="s">
        <v>1266</v>
      </c>
      <c r="J569" t="s">
        <v>1330</v>
      </c>
      <c r="K569" t="s">
        <v>1331</v>
      </c>
      <c r="L569">
        <v>3</v>
      </c>
      <c r="M569">
        <v>1021</v>
      </c>
      <c r="N569">
        <v>0</v>
      </c>
      <c r="O569">
        <v>1021</v>
      </c>
      <c r="P569">
        <v>0.18</v>
      </c>
      <c r="Q569">
        <v>3063</v>
      </c>
      <c r="R569">
        <v>551.34</v>
      </c>
      <c r="S569">
        <v>3614.34</v>
      </c>
      <c r="T569">
        <f>ROUND(Table2[[#This Row],[TotalAmount]],0)</f>
        <v>3614</v>
      </c>
      <c r="U569" t="s">
        <v>1360</v>
      </c>
      <c r="V569" t="s">
        <v>1361</v>
      </c>
      <c r="W569" s="4">
        <v>45617</v>
      </c>
      <c r="X569" s="4">
        <v>45620</v>
      </c>
      <c r="Y569" t="b">
        <v>0</v>
      </c>
      <c r="Z569" t="s">
        <v>1412</v>
      </c>
      <c r="AA569" t="s">
        <v>1412</v>
      </c>
      <c r="AB569" t="s">
        <v>1412</v>
      </c>
      <c r="AC569" t="s">
        <v>1379</v>
      </c>
      <c r="AD569" t="s">
        <v>1385</v>
      </c>
      <c r="AE569" t="s">
        <v>1395</v>
      </c>
    </row>
    <row r="570" spans="1:31" x14ac:dyDescent="0.3">
      <c r="A570" t="s">
        <v>744</v>
      </c>
      <c r="B570" s="4">
        <v>45301.634027777778</v>
      </c>
      <c r="C570" t="s">
        <v>117</v>
      </c>
      <c r="D570" t="s">
        <v>1141</v>
      </c>
      <c r="E570" t="s">
        <v>1285</v>
      </c>
      <c r="F570" t="str" cm="1">
        <f t="array" ref="F570">_xlfn.IFS(
E570="Ahmedabad","Gujarat",
E570="Bengaluru","Karnataka",
E570="Bhopal","Madhya Pradesh",
E570="Bhubaneswar","Odisha",
E570="Chandigarh","Chandigarh",
E570="Chennai","Tamil Nadu",
E570="Delhi","Delhi",
E570="Guwahati","Assam",
E570="Hyderabad","Telangana",
E570="Indore","Madhya Pradesh",
E570="Jaipur","Rajasthan",
E570="Kochi","Kerala",
E570="Kolkata","West Bengal",
E570="Lucknow","Uttar Pradesh",
E570="Mumbai","Maharashtra",
E570="Nagpur","Maharashtra",
E570="Patna","Bihar",
E570="Pune","Maharashtra",
E570="Raipur","Chhattisgarh",
E570="Surat","Gujarat",
TRUE,"Not Found"
)</f>
        <v>Assam</v>
      </c>
      <c r="G570" t="s">
        <v>1143</v>
      </c>
      <c r="H570" t="s">
        <v>1172</v>
      </c>
      <c r="I570" t="s">
        <v>1198</v>
      </c>
      <c r="J570" t="s">
        <v>1199</v>
      </c>
      <c r="K570" t="s">
        <v>1200</v>
      </c>
      <c r="L570">
        <v>2</v>
      </c>
      <c r="M570">
        <v>2258</v>
      </c>
      <c r="N570">
        <v>0.15</v>
      </c>
      <c r="O570">
        <v>1919.3</v>
      </c>
      <c r="P570">
        <v>0.12</v>
      </c>
      <c r="Q570">
        <v>3838.6</v>
      </c>
      <c r="R570">
        <v>460.63199999999989</v>
      </c>
      <c r="S570">
        <v>4299.232</v>
      </c>
      <c r="T570">
        <f>ROUND(Table2[[#This Row],[TotalAmount]],0)</f>
        <v>4299</v>
      </c>
      <c r="U570" t="s">
        <v>1362</v>
      </c>
      <c r="V570" t="s">
        <v>1361</v>
      </c>
      <c r="W570" s="4">
        <v>45302</v>
      </c>
      <c r="X570" s="4">
        <v>45305</v>
      </c>
      <c r="Y570" t="b">
        <v>0</v>
      </c>
      <c r="Z570" t="s">
        <v>1412</v>
      </c>
      <c r="AA570" t="s">
        <v>1412</v>
      </c>
      <c r="AB570" t="s">
        <v>1412</v>
      </c>
      <c r="AC570" t="s">
        <v>1384</v>
      </c>
      <c r="AD570" t="s">
        <v>1387</v>
      </c>
      <c r="AE570" t="s">
        <v>1378</v>
      </c>
    </row>
    <row r="571" spans="1:31" x14ac:dyDescent="0.3">
      <c r="A571" t="s">
        <v>745</v>
      </c>
      <c r="B571" s="4">
        <v>45642.495138888888</v>
      </c>
      <c r="C571" t="s">
        <v>269</v>
      </c>
      <c r="D571" t="s">
        <v>1141</v>
      </c>
      <c r="E571" t="s">
        <v>1239</v>
      </c>
      <c r="F571" t="str" cm="1">
        <f t="array" ref="F571">_xlfn.IFS(
E571="Ahmedabad","Gujarat",
E571="Bengaluru","Karnataka",
E571="Bhopal","Madhya Pradesh",
E571="Bhubaneswar","Odisha",
E571="Chandigarh","Chandigarh",
E571="Chennai","Tamil Nadu",
E571="Delhi","Delhi",
E571="Guwahati","Assam",
E571="Hyderabad","Telangana",
E571="Indore","Madhya Pradesh",
E571="Jaipur","Rajasthan",
E571="Kochi","Kerala",
E571="Kolkata","West Bengal",
E571="Lucknow","Uttar Pradesh",
E571="Mumbai","Maharashtra",
E571="Nagpur","Maharashtra",
E571="Patna","Bihar",
E571="Pune","Maharashtra",
E571="Raipur","Chhattisgarh",
E571="Surat","Gujarat",
TRUE,"Not Found"
)</f>
        <v>Odisha</v>
      </c>
      <c r="G571" t="s">
        <v>1143</v>
      </c>
      <c r="H571" t="s">
        <v>1144</v>
      </c>
      <c r="I571" t="s">
        <v>1159</v>
      </c>
      <c r="J571" t="s">
        <v>1272</v>
      </c>
      <c r="K571" t="s">
        <v>1273</v>
      </c>
      <c r="L571">
        <v>2</v>
      </c>
      <c r="M571">
        <v>12744</v>
      </c>
      <c r="N571">
        <v>0.1</v>
      </c>
      <c r="O571">
        <v>11469.6</v>
      </c>
      <c r="P571">
        <v>0.12</v>
      </c>
      <c r="Q571">
        <v>22939.200000000001</v>
      </c>
      <c r="R571">
        <v>2752.7040000000002</v>
      </c>
      <c r="S571">
        <v>25691.903999999999</v>
      </c>
      <c r="T571">
        <f>ROUND(Table2[[#This Row],[TotalAmount]],0)</f>
        <v>25692</v>
      </c>
      <c r="U571" t="s">
        <v>1360</v>
      </c>
      <c r="V571" t="s">
        <v>1368</v>
      </c>
      <c r="W571" s="4">
        <v>45643</v>
      </c>
      <c r="X571" s="4" t="s">
        <v>1412</v>
      </c>
      <c r="Y571" t="b">
        <v>0</v>
      </c>
      <c r="Z571" t="s">
        <v>1412</v>
      </c>
      <c r="AA571" t="s">
        <v>1412</v>
      </c>
      <c r="AB571" t="s">
        <v>1412</v>
      </c>
      <c r="AC571" t="s">
        <v>1392</v>
      </c>
      <c r="AD571" t="s">
        <v>1400</v>
      </c>
      <c r="AE571" t="s">
        <v>1378</v>
      </c>
    </row>
    <row r="572" spans="1:31" x14ac:dyDescent="0.3">
      <c r="A572" t="s">
        <v>746</v>
      </c>
      <c r="B572" s="4">
        <v>45343.433333333327</v>
      </c>
      <c r="C572" t="s">
        <v>130</v>
      </c>
      <c r="D572" t="s">
        <v>1153</v>
      </c>
      <c r="E572" t="s">
        <v>1176</v>
      </c>
      <c r="F572" t="str" cm="1">
        <f t="array" ref="F572">_xlfn.IFS(
E572="Ahmedabad","Gujarat",
E572="Bengaluru","Karnataka",
E572="Bhopal","Madhya Pradesh",
E572="Bhubaneswar","Odisha",
E572="Chandigarh","Chandigarh",
E572="Chennai","Tamil Nadu",
E572="Delhi","Delhi",
E572="Guwahati","Assam",
E572="Hyderabad","Telangana",
E572="Indore","Madhya Pradesh",
E572="Jaipur","Rajasthan",
E572="Kochi","Kerala",
E572="Kolkata","West Bengal",
E572="Lucknow","Uttar Pradesh",
E572="Mumbai","Maharashtra",
E572="Nagpur","Maharashtra",
E572="Patna","Bihar",
E572="Pune","Maharashtra",
E572="Raipur","Chhattisgarh",
E572="Surat","Gujarat",
TRUE,"Not Found"
)</f>
        <v>Chhattisgarh</v>
      </c>
      <c r="G572" t="s">
        <v>1143</v>
      </c>
      <c r="H572" t="s">
        <v>1172</v>
      </c>
      <c r="I572" t="s">
        <v>1229</v>
      </c>
      <c r="J572" t="s">
        <v>1295</v>
      </c>
      <c r="K572" t="s">
        <v>1296</v>
      </c>
      <c r="L572">
        <v>2</v>
      </c>
      <c r="M572">
        <v>7478</v>
      </c>
      <c r="N572">
        <v>0.15</v>
      </c>
      <c r="O572">
        <v>6356.3</v>
      </c>
      <c r="P572">
        <v>0.18</v>
      </c>
      <c r="Q572">
        <v>12712.6</v>
      </c>
      <c r="R572">
        <v>2288.268</v>
      </c>
      <c r="S572">
        <v>15000.868</v>
      </c>
      <c r="T572">
        <f>ROUND(Table2[[#This Row],[TotalAmount]],0)</f>
        <v>15001</v>
      </c>
      <c r="U572" t="s">
        <v>1362</v>
      </c>
      <c r="V572" t="s">
        <v>1361</v>
      </c>
      <c r="W572" s="4">
        <v>45345</v>
      </c>
      <c r="X572" s="4">
        <v>45346</v>
      </c>
      <c r="Y572" t="b">
        <v>0</v>
      </c>
      <c r="Z572" t="s">
        <v>1412</v>
      </c>
      <c r="AA572" t="s">
        <v>1412</v>
      </c>
      <c r="AB572" t="s">
        <v>1412</v>
      </c>
      <c r="AC572" t="s">
        <v>1396</v>
      </c>
      <c r="AD572" t="s">
        <v>1387</v>
      </c>
      <c r="AE572" t="s">
        <v>1395</v>
      </c>
    </row>
    <row r="573" spans="1:31" x14ac:dyDescent="0.3">
      <c r="A573" t="s">
        <v>747</v>
      </c>
      <c r="B573" s="4">
        <v>45649.570138888892</v>
      </c>
      <c r="C573" t="s">
        <v>34</v>
      </c>
      <c r="D573" t="s">
        <v>1148</v>
      </c>
      <c r="E573" t="s">
        <v>1149</v>
      </c>
      <c r="F573" t="str" cm="1">
        <f t="array" ref="F573">_xlfn.IFS(
E573="Ahmedabad","Gujarat",
E573="Bengaluru","Karnataka",
E573="Bhopal","Madhya Pradesh",
E573="Bhubaneswar","Odisha",
E573="Chandigarh","Chandigarh",
E573="Chennai","Tamil Nadu",
E573="Delhi","Delhi",
E573="Guwahati","Assam",
E573="Hyderabad","Telangana",
E573="Indore","Madhya Pradesh",
E573="Jaipur","Rajasthan",
E573="Kochi","Kerala",
E573="Kolkata","West Bengal",
E573="Lucknow","Uttar Pradesh",
E573="Mumbai","Maharashtra",
E573="Nagpur","Maharashtra",
E573="Patna","Bihar",
E573="Pune","Maharashtra",
E573="Raipur","Chhattisgarh",
E573="Surat","Gujarat",
TRUE,"Not Found"
)</f>
        <v>Uttar Pradesh</v>
      </c>
      <c r="G573" t="s">
        <v>1150</v>
      </c>
      <c r="H573" t="s">
        <v>1167</v>
      </c>
      <c r="I573" t="s">
        <v>1211</v>
      </c>
      <c r="J573" t="s">
        <v>1212</v>
      </c>
      <c r="K573" t="s">
        <v>1213</v>
      </c>
      <c r="L573">
        <v>2</v>
      </c>
      <c r="M573">
        <v>32244</v>
      </c>
      <c r="N573">
        <v>0.05</v>
      </c>
      <c r="O573">
        <v>30631.8</v>
      </c>
      <c r="P573">
        <v>0.18</v>
      </c>
      <c r="Q573">
        <v>61263.6</v>
      </c>
      <c r="R573">
        <v>11027.448</v>
      </c>
      <c r="S573">
        <v>72291.047999999995</v>
      </c>
      <c r="T573">
        <f>ROUND(Table2[[#This Row],[TotalAmount]],0)</f>
        <v>72291</v>
      </c>
      <c r="U573" t="s">
        <v>1363</v>
      </c>
      <c r="V573" t="s">
        <v>1361</v>
      </c>
      <c r="W573" s="4">
        <v>45650</v>
      </c>
      <c r="X573" s="4">
        <v>45654</v>
      </c>
      <c r="Y573" t="b">
        <v>0</v>
      </c>
      <c r="Z573" t="s">
        <v>1412</v>
      </c>
      <c r="AA573" t="s">
        <v>1412</v>
      </c>
      <c r="AB573" t="s">
        <v>1412</v>
      </c>
      <c r="AC573" t="s">
        <v>1376</v>
      </c>
      <c r="AD573" t="s">
        <v>1387</v>
      </c>
      <c r="AE573" t="s">
        <v>1393</v>
      </c>
    </row>
    <row r="574" spans="1:31" x14ac:dyDescent="0.3">
      <c r="A574" t="s">
        <v>748</v>
      </c>
      <c r="B574" s="4">
        <v>45725.636805555558</v>
      </c>
      <c r="C574" t="s">
        <v>197</v>
      </c>
      <c r="D574" t="s">
        <v>1148</v>
      </c>
      <c r="E574" t="s">
        <v>1262</v>
      </c>
      <c r="F574" t="str" cm="1">
        <f t="array" ref="F574">_xlfn.IFS(
E574="Ahmedabad","Gujarat",
E574="Bengaluru","Karnataka",
E574="Bhopal","Madhya Pradesh",
E574="Bhubaneswar","Odisha",
E574="Chandigarh","Chandigarh",
E574="Chennai","Tamil Nadu",
E574="Delhi","Delhi",
E574="Guwahati","Assam",
E574="Hyderabad","Telangana",
E574="Indore","Madhya Pradesh",
E574="Jaipur","Rajasthan",
E574="Kochi","Kerala",
E574="Kolkata","West Bengal",
E574="Lucknow","Uttar Pradesh",
E574="Mumbai","Maharashtra",
E574="Nagpur","Maharashtra",
E574="Patna","Bihar",
E574="Pune","Maharashtra",
E574="Raipur","Chhattisgarh",
E574="Surat","Gujarat",
TRUE,"Not Found"
)</f>
        <v>Rajasthan</v>
      </c>
      <c r="G574" t="s">
        <v>1187</v>
      </c>
      <c r="H574" t="s">
        <v>1144</v>
      </c>
      <c r="I574" t="s">
        <v>1276</v>
      </c>
      <c r="J574" t="s">
        <v>1307</v>
      </c>
      <c r="K574" t="s">
        <v>1308</v>
      </c>
      <c r="L574">
        <v>1</v>
      </c>
      <c r="M574">
        <v>5328</v>
      </c>
      <c r="N574">
        <v>0</v>
      </c>
      <c r="O574">
        <v>5328</v>
      </c>
      <c r="P574">
        <v>0.12</v>
      </c>
      <c r="Q574">
        <v>5328</v>
      </c>
      <c r="R574">
        <v>639.36</v>
      </c>
      <c r="S574">
        <v>5967.36</v>
      </c>
      <c r="T574">
        <f>ROUND(Table2[[#This Row],[TotalAmount]],0)</f>
        <v>5967</v>
      </c>
      <c r="U574" t="s">
        <v>1360</v>
      </c>
      <c r="V574" t="s">
        <v>1361</v>
      </c>
      <c r="W574" s="4">
        <v>45726</v>
      </c>
      <c r="X574" s="4">
        <v>45727</v>
      </c>
      <c r="Y574" t="b">
        <v>0</v>
      </c>
      <c r="Z574" t="s">
        <v>1412</v>
      </c>
      <c r="AA574" t="s">
        <v>1412</v>
      </c>
      <c r="AB574" t="s">
        <v>1412</v>
      </c>
      <c r="AC574" t="s">
        <v>1386</v>
      </c>
      <c r="AD574" t="s">
        <v>1394</v>
      </c>
      <c r="AE574" t="s">
        <v>1391</v>
      </c>
    </row>
    <row r="575" spans="1:31" x14ac:dyDescent="0.3">
      <c r="A575" t="s">
        <v>749</v>
      </c>
      <c r="B575" s="4">
        <v>45563.40625</v>
      </c>
      <c r="C575" t="s">
        <v>14</v>
      </c>
      <c r="D575" t="s">
        <v>1153</v>
      </c>
      <c r="E575" t="s">
        <v>1162</v>
      </c>
      <c r="F575" t="str" cm="1">
        <f t="array" ref="F575">_xlfn.IFS(
E575="Ahmedabad","Gujarat",
E575="Bengaluru","Karnataka",
E575="Bhopal","Madhya Pradesh",
E575="Bhubaneswar","Odisha",
E575="Chandigarh","Chandigarh",
E575="Chennai","Tamil Nadu",
E575="Delhi","Delhi",
E575="Guwahati","Assam",
E575="Hyderabad","Telangana",
E575="Indore","Madhya Pradesh",
E575="Jaipur","Rajasthan",
E575="Kochi","Kerala",
E575="Kolkata","West Bengal",
E575="Lucknow","Uttar Pradesh",
E575="Mumbai","Maharashtra",
E575="Nagpur","Maharashtra",
E575="Patna","Bihar",
E575="Pune","Maharashtra",
E575="Raipur","Chhattisgarh",
E575="Surat","Gujarat",
TRUE,"Not Found"
)</f>
        <v>Madhya Pradesh</v>
      </c>
      <c r="G575" t="s">
        <v>1228</v>
      </c>
      <c r="H575" t="s">
        <v>1172</v>
      </c>
      <c r="I575" t="s">
        <v>1229</v>
      </c>
      <c r="J575" t="s">
        <v>1295</v>
      </c>
      <c r="K575" t="s">
        <v>1296</v>
      </c>
      <c r="L575">
        <v>1</v>
      </c>
      <c r="M575">
        <v>9392</v>
      </c>
      <c r="N575">
        <v>0.05</v>
      </c>
      <c r="O575">
        <v>8922.4</v>
      </c>
      <c r="P575">
        <v>0.18</v>
      </c>
      <c r="Q575">
        <v>8922.4</v>
      </c>
      <c r="R575">
        <v>1606.0319999999999</v>
      </c>
      <c r="S575">
        <v>10528.432000000001</v>
      </c>
      <c r="T575">
        <f>ROUND(Table2[[#This Row],[TotalAmount]],0)</f>
        <v>10528</v>
      </c>
      <c r="U575" t="s">
        <v>1360</v>
      </c>
      <c r="V575" t="s">
        <v>1361</v>
      </c>
      <c r="W575" s="4">
        <v>45564</v>
      </c>
      <c r="X575" s="4">
        <v>45565</v>
      </c>
      <c r="Y575" t="b">
        <v>0</v>
      </c>
      <c r="Z575" t="s">
        <v>1412</v>
      </c>
      <c r="AA575" t="s">
        <v>1412</v>
      </c>
      <c r="AB575" t="s">
        <v>1412</v>
      </c>
      <c r="AC575" t="s">
        <v>1384</v>
      </c>
      <c r="AD575" t="s">
        <v>1394</v>
      </c>
      <c r="AE575" t="s">
        <v>1391</v>
      </c>
    </row>
    <row r="576" spans="1:31" x14ac:dyDescent="0.3">
      <c r="A576" t="s">
        <v>750</v>
      </c>
      <c r="B576" s="4">
        <v>45370.574305555558</v>
      </c>
      <c r="C576" t="s">
        <v>38</v>
      </c>
      <c r="D576" t="s">
        <v>1148</v>
      </c>
      <c r="E576" t="s">
        <v>1149</v>
      </c>
      <c r="F576" t="str" cm="1">
        <f t="array" ref="F576">_xlfn.IFS(
E576="Ahmedabad","Gujarat",
E576="Bengaluru","Karnataka",
E576="Bhopal","Madhya Pradesh",
E576="Bhubaneswar","Odisha",
E576="Chandigarh","Chandigarh",
E576="Chennai","Tamil Nadu",
E576="Delhi","Delhi",
E576="Guwahati","Assam",
E576="Hyderabad","Telangana",
E576="Indore","Madhya Pradesh",
E576="Jaipur","Rajasthan",
E576="Kochi","Kerala",
E576="Kolkata","West Bengal",
E576="Lucknow","Uttar Pradesh",
E576="Mumbai","Maharashtra",
E576="Nagpur","Maharashtra",
E576="Patna","Bihar",
E576="Pune","Maharashtra",
E576="Raipur","Chhattisgarh",
E576="Surat","Gujarat",
TRUE,"Not Found"
)</f>
        <v>Uttar Pradesh</v>
      </c>
      <c r="G576" t="s">
        <v>1150</v>
      </c>
      <c r="H576" t="s">
        <v>1177</v>
      </c>
      <c r="I576" t="s">
        <v>1195</v>
      </c>
      <c r="J576" t="s">
        <v>1202</v>
      </c>
      <c r="K576" t="s">
        <v>1203</v>
      </c>
      <c r="L576">
        <v>1</v>
      </c>
      <c r="M576">
        <v>534</v>
      </c>
      <c r="N576">
        <v>0.05</v>
      </c>
      <c r="O576">
        <v>507.3</v>
      </c>
      <c r="P576">
        <v>0.18</v>
      </c>
      <c r="Q576">
        <v>507.3</v>
      </c>
      <c r="R576">
        <v>91.313999999999993</v>
      </c>
      <c r="S576">
        <v>598.61399999999992</v>
      </c>
      <c r="T576">
        <f>ROUND(Table2[[#This Row],[TotalAmount]],0)</f>
        <v>599</v>
      </c>
      <c r="U576" t="s">
        <v>1363</v>
      </c>
      <c r="V576" t="s">
        <v>1364</v>
      </c>
      <c r="W576" s="4">
        <v>45372</v>
      </c>
      <c r="X576" s="4" t="s">
        <v>1412</v>
      </c>
      <c r="Y576" t="b">
        <v>1</v>
      </c>
      <c r="Z576" s="1">
        <v>45384</v>
      </c>
      <c r="AA576" s="1">
        <v>45384</v>
      </c>
      <c r="AB576" t="s">
        <v>1402</v>
      </c>
      <c r="AC576" t="s">
        <v>1388</v>
      </c>
      <c r="AD576" t="s">
        <v>1385</v>
      </c>
      <c r="AE576" t="s">
        <v>1380</v>
      </c>
    </row>
    <row r="577" spans="1:31" x14ac:dyDescent="0.3">
      <c r="A577" t="s">
        <v>751</v>
      </c>
      <c r="B577" s="4">
        <v>45704.574999999997</v>
      </c>
      <c r="C577" t="s">
        <v>510</v>
      </c>
      <c r="D577" t="s">
        <v>1153</v>
      </c>
      <c r="E577" t="s">
        <v>1191</v>
      </c>
      <c r="F577" t="str" cm="1">
        <f t="array" ref="F577">_xlfn.IFS(
E577="Ahmedabad","Gujarat",
E577="Bengaluru","Karnataka",
E577="Bhopal","Madhya Pradesh",
E577="Bhubaneswar","Odisha",
E577="Chandigarh","Chandigarh",
E577="Chennai","Tamil Nadu",
E577="Delhi","Delhi",
E577="Guwahati","Assam",
E577="Hyderabad","Telangana",
E577="Indore","Madhya Pradesh",
E577="Jaipur","Rajasthan",
E577="Kochi","Kerala",
E577="Kolkata","West Bengal",
E577="Lucknow","Uttar Pradesh",
E577="Mumbai","Maharashtra",
E577="Nagpur","Maharashtra",
E577="Patna","Bihar",
E577="Pune","Maharashtra",
E577="Raipur","Chhattisgarh",
E577="Surat","Gujarat",
TRUE,"Not Found"
)</f>
        <v>Madhya Pradesh</v>
      </c>
      <c r="G577" t="s">
        <v>1143</v>
      </c>
      <c r="H577" t="s">
        <v>1167</v>
      </c>
      <c r="I577" t="s">
        <v>1263</v>
      </c>
      <c r="J577" t="s">
        <v>1274</v>
      </c>
      <c r="K577" t="s">
        <v>1275</v>
      </c>
      <c r="L577">
        <v>1</v>
      </c>
      <c r="M577">
        <v>24039</v>
      </c>
      <c r="N577">
        <v>0.1</v>
      </c>
      <c r="O577">
        <v>21635.1</v>
      </c>
      <c r="P577">
        <v>0.05</v>
      </c>
      <c r="Q577">
        <v>21635.1</v>
      </c>
      <c r="R577">
        <v>1081.7550000000001</v>
      </c>
      <c r="S577">
        <v>22716.855</v>
      </c>
      <c r="T577">
        <f>ROUND(Table2[[#This Row],[TotalAmount]],0)</f>
        <v>22717</v>
      </c>
      <c r="U577" t="s">
        <v>1363</v>
      </c>
      <c r="V577" t="s">
        <v>1361</v>
      </c>
      <c r="W577" s="4">
        <v>45705</v>
      </c>
      <c r="X577" s="4">
        <v>45707</v>
      </c>
      <c r="Y577" t="b">
        <v>0</v>
      </c>
      <c r="Z577" t="s">
        <v>1412</v>
      </c>
      <c r="AA577" t="s">
        <v>1412</v>
      </c>
      <c r="AB577" t="s">
        <v>1412</v>
      </c>
      <c r="AC577" t="s">
        <v>1388</v>
      </c>
      <c r="AD577" t="s">
        <v>1397</v>
      </c>
      <c r="AE577" t="s">
        <v>1380</v>
      </c>
    </row>
    <row r="578" spans="1:31" x14ac:dyDescent="0.3">
      <c r="A578" t="s">
        <v>752</v>
      </c>
      <c r="B578" s="4">
        <v>45597.586111111108</v>
      </c>
      <c r="C578" t="s">
        <v>83</v>
      </c>
      <c r="D578" t="s">
        <v>1141</v>
      </c>
      <c r="E578" t="s">
        <v>1239</v>
      </c>
      <c r="F578" t="str" cm="1">
        <f t="array" ref="F578">_xlfn.IFS(
E578="Ahmedabad","Gujarat",
E578="Bengaluru","Karnataka",
E578="Bhopal","Madhya Pradesh",
E578="Bhubaneswar","Odisha",
E578="Chandigarh","Chandigarh",
E578="Chennai","Tamil Nadu",
E578="Delhi","Delhi",
E578="Guwahati","Assam",
E578="Hyderabad","Telangana",
E578="Indore","Madhya Pradesh",
E578="Jaipur","Rajasthan",
E578="Kochi","Kerala",
E578="Kolkata","West Bengal",
E578="Lucknow","Uttar Pradesh",
E578="Mumbai","Maharashtra",
E578="Nagpur","Maharashtra",
E578="Patna","Bihar",
E578="Pune","Maharashtra",
E578="Raipur","Chhattisgarh",
E578="Surat","Gujarat",
TRUE,"Not Found"
)</f>
        <v>Odisha</v>
      </c>
      <c r="G578" t="s">
        <v>1187</v>
      </c>
      <c r="H578" t="s">
        <v>1163</v>
      </c>
      <c r="I578" t="s">
        <v>1184</v>
      </c>
      <c r="J578" t="s">
        <v>1260</v>
      </c>
      <c r="K578" t="s">
        <v>1261</v>
      </c>
      <c r="L578">
        <v>5</v>
      </c>
      <c r="M578">
        <v>511</v>
      </c>
      <c r="N578">
        <v>0.05</v>
      </c>
      <c r="O578">
        <v>485.45</v>
      </c>
      <c r="P578">
        <v>0.12</v>
      </c>
      <c r="Q578">
        <v>2427.25</v>
      </c>
      <c r="R578">
        <v>291.27</v>
      </c>
      <c r="S578">
        <v>2718.52</v>
      </c>
      <c r="T578">
        <f>ROUND(Table2[[#This Row],[TotalAmount]],0)</f>
        <v>2719</v>
      </c>
      <c r="U578" t="s">
        <v>1360</v>
      </c>
      <c r="V578" t="s">
        <v>1361</v>
      </c>
      <c r="W578" s="4">
        <v>45599</v>
      </c>
      <c r="X578" s="4">
        <v>45601</v>
      </c>
      <c r="Y578" t="b">
        <v>0</v>
      </c>
      <c r="Z578" t="s">
        <v>1412</v>
      </c>
      <c r="AA578" t="s">
        <v>1412</v>
      </c>
      <c r="AB578" t="s">
        <v>1412</v>
      </c>
      <c r="AC578" t="s">
        <v>1384</v>
      </c>
      <c r="AD578" t="s">
        <v>1394</v>
      </c>
      <c r="AE578" t="s">
        <v>1378</v>
      </c>
    </row>
    <row r="579" spans="1:31" x14ac:dyDescent="0.3">
      <c r="A579" t="s">
        <v>753</v>
      </c>
      <c r="B579" s="4">
        <v>45614.477083333331</v>
      </c>
      <c r="C579" t="s">
        <v>267</v>
      </c>
      <c r="D579" t="s">
        <v>1148</v>
      </c>
      <c r="E579" t="s">
        <v>1217</v>
      </c>
      <c r="F579" t="str" cm="1">
        <f t="array" ref="F579">_xlfn.IFS(
E579="Ahmedabad","Gujarat",
E579="Bengaluru","Karnataka",
E579="Bhopal","Madhya Pradesh",
E579="Bhubaneswar","Odisha",
E579="Chandigarh","Chandigarh",
E579="Chennai","Tamil Nadu",
E579="Delhi","Delhi",
E579="Guwahati","Assam",
E579="Hyderabad","Telangana",
E579="Indore","Madhya Pradesh",
E579="Jaipur","Rajasthan",
E579="Kochi","Kerala",
E579="Kolkata","West Bengal",
E579="Lucknow","Uttar Pradesh",
E579="Mumbai","Maharashtra",
E579="Nagpur","Maharashtra",
E579="Patna","Bihar",
E579="Pune","Maharashtra",
E579="Raipur","Chhattisgarh",
E579="Surat","Gujarat",
TRUE,"Not Found"
)</f>
        <v>Delhi</v>
      </c>
      <c r="G579" t="s">
        <v>1143</v>
      </c>
      <c r="H579" t="s">
        <v>1167</v>
      </c>
      <c r="I579" t="s">
        <v>1263</v>
      </c>
      <c r="J579" t="s">
        <v>1346</v>
      </c>
      <c r="K579" t="s">
        <v>1347</v>
      </c>
      <c r="L579">
        <v>5</v>
      </c>
      <c r="M579">
        <v>19282</v>
      </c>
      <c r="N579">
        <v>0.05</v>
      </c>
      <c r="O579">
        <v>18317.900000000001</v>
      </c>
      <c r="P579">
        <v>0.05</v>
      </c>
      <c r="Q579">
        <v>91589.499999999985</v>
      </c>
      <c r="R579">
        <v>4579.4749999999995</v>
      </c>
      <c r="S579">
        <v>96168.974999999991</v>
      </c>
      <c r="T579">
        <f>ROUND(Table2[[#This Row],[TotalAmount]],0)</f>
        <v>96169</v>
      </c>
      <c r="U579" t="s">
        <v>1363</v>
      </c>
      <c r="V579" t="s">
        <v>1361</v>
      </c>
      <c r="W579" s="4">
        <v>45614</v>
      </c>
      <c r="X579" s="4">
        <v>45617</v>
      </c>
      <c r="Y579" t="b">
        <v>0</v>
      </c>
      <c r="Z579" t="s">
        <v>1412</v>
      </c>
      <c r="AA579" t="s">
        <v>1412</v>
      </c>
      <c r="AB579" t="s">
        <v>1412</v>
      </c>
      <c r="AC579" t="s">
        <v>1390</v>
      </c>
      <c r="AD579" t="s">
        <v>1397</v>
      </c>
      <c r="AE579" t="s">
        <v>1395</v>
      </c>
    </row>
    <row r="580" spans="1:31" x14ac:dyDescent="0.3">
      <c r="A580" t="s">
        <v>754</v>
      </c>
      <c r="B580" s="4">
        <v>45753.538194444453</v>
      </c>
      <c r="C580" t="s">
        <v>63</v>
      </c>
      <c r="D580" t="s">
        <v>1141</v>
      </c>
      <c r="E580" t="s">
        <v>1239</v>
      </c>
      <c r="F580" t="str" cm="1">
        <f t="array" ref="F580">_xlfn.IFS(
E580="Ahmedabad","Gujarat",
E580="Bengaluru","Karnataka",
E580="Bhopal","Madhya Pradesh",
E580="Bhubaneswar","Odisha",
E580="Chandigarh","Chandigarh",
E580="Chennai","Tamil Nadu",
E580="Delhi","Delhi",
E580="Guwahati","Assam",
E580="Hyderabad","Telangana",
E580="Indore","Madhya Pradesh",
E580="Jaipur","Rajasthan",
E580="Kochi","Kerala",
E580="Kolkata","West Bengal",
E580="Lucknow","Uttar Pradesh",
E580="Mumbai","Maharashtra",
E580="Nagpur","Maharashtra",
E580="Patna","Bihar",
E580="Pune","Maharashtra",
E580="Raipur","Chhattisgarh",
E580="Surat","Gujarat",
TRUE,"Not Found"
)</f>
        <v>Odisha</v>
      </c>
      <c r="G580" t="s">
        <v>1143</v>
      </c>
      <c r="H580" t="s">
        <v>1177</v>
      </c>
      <c r="I580" t="s">
        <v>1195</v>
      </c>
      <c r="J580" t="s">
        <v>1202</v>
      </c>
      <c r="K580" t="s">
        <v>1203</v>
      </c>
      <c r="L580">
        <v>3</v>
      </c>
      <c r="M580">
        <v>1428</v>
      </c>
      <c r="N580">
        <v>0.15</v>
      </c>
      <c r="O580">
        <v>1213.8</v>
      </c>
      <c r="P580">
        <v>0.12</v>
      </c>
      <c r="Q580">
        <v>3641.4</v>
      </c>
      <c r="R580">
        <v>436.96800000000002</v>
      </c>
      <c r="S580">
        <v>4078.367999999999</v>
      </c>
      <c r="T580">
        <f>ROUND(Table2[[#This Row],[TotalAmount]],0)</f>
        <v>4078</v>
      </c>
      <c r="U580" t="s">
        <v>1363</v>
      </c>
      <c r="V580" t="s">
        <v>1361</v>
      </c>
      <c r="W580" s="4">
        <v>45755</v>
      </c>
      <c r="X580" s="4">
        <v>45757</v>
      </c>
      <c r="Y580" t="b">
        <v>0</v>
      </c>
      <c r="Z580" t="s">
        <v>1412</v>
      </c>
      <c r="AA580" t="s">
        <v>1412</v>
      </c>
      <c r="AB580" t="s">
        <v>1412</v>
      </c>
      <c r="AC580" t="s">
        <v>1386</v>
      </c>
      <c r="AD580" t="s">
        <v>1387</v>
      </c>
      <c r="AE580" t="s">
        <v>1391</v>
      </c>
    </row>
    <row r="581" spans="1:31" x14ac:dyDescent="0.3">
      <c r="A581" t="s">
        <v>755</v>
      </c>
      <c r="B581" s="4">
        <v>45429.473611111112</v>
      </c>
      <c r="C581" t="s">
        <v>185</v>
      </c>
      <c r="D581" t="s">
        <v>1153</v>
      </c>
      <c r="E581" t="s">
        <v>1154</v>
      </c>
      <c r="F581" t="str" cm="1">
        <f t="array" ref="F581">_xlfn.IFS(
E581="Ahmedabad","Gujarat",
E581="Bengaluru","Karnataka",
E581="Bhopal","Madhya Pradesh",
E581="Bhubaneswar","Odisha",
E581="Chandigarh","Chandigarh",
E581="Chennai","Tamil Nadu",
E581="Delhi","Delhi",
E581="Guwahati","Assam",
E581="Hyderabad","Telangana",
E581="Indore","Madhya Pradesh",
E581="Jaipur","Rajasthan",
E581="Kochi","Kerala",
E581="Kolkata","West Bengal",
E581="Lucknow","Uttar Pradesh",
E581="Mumbai","Maharashtra",
E581="Nagpur","Maharashtra",
E581="Patna","Bihar",
E581="Pune","Maharashtra",
E581="Raipur","Chhattisgarh",
E581="Surat","Gujarat",
TRUE,"Not Found"
)</f>
        <v>Maharashtra</v>
      </c>
      <c r="G581" t="s">
        <v>1228</v>
      </c>
      <c r="H581" t="s">
        <v>1144</v>
      </c>
      <c r="I581" t="s">
        <v>1159</v>
      </c>
      <c r="J581" t="s">
        <v>1160</v>
      </c>
      <c r="K581" t="s">
        <v>1161</v>
      </c>
      <c r="L581">
        <v>1</v>
      </c>
      <c r="M581">
        <v>6749</v>
      </c>
      <c r="N581">
        <v>0</v>
      </c>
      <c r="O581">
        <v>6749</v>
      </c>
      <c r="P581">
        <v>0.18</v>
      </c>
      <c r="Q581">
        <v>6749</v>
      </c>
      <c r="R581">
        <v>1214.82</v>
      </c>
      <c r="S581">
        <v>7963.82</v>
      </c>
      <c r="T581">
        <f>ROUND(Table2[[#This Row],[TotalAmount]],0)</f>
        <v>7964</v>
      </c>
      <c r="U581" t="s">
        <v>1363</v>
      </c>
      <c r="V581" t="s">
        <v>1361</v>
      </c>
      <c r="W581" s="4">
        <v>45429</v>
      </c>
      <c r="X581" s="4">
        <v>45431</v>
      </c>
      <c r="Y581" t="b">
        <v>0</v>
      </c>
      <c r="Z581" t="s">
        <v>1412</v>
      </c>
      <c r="AA581" t="s">
        <v>1412</v>
      </c>
      <c r="AB581" t="s">
        <v>1412</v>
      </c>
      <c r="AC581" t="s">
        <v>1392</v>
      </c>
      <c r="AD581" t="s">
        <v>1399</v>
      </c>
      <c r="AE581" t="s">
        <v>1391</v>
      </c>
    </row>
    <row r="582" spans="1:31" x14ac:dyDescent="0.3">
      <c r="A582" t="s">
        <v>756</v>
      </c>
      <c r="B582" s="4">
        <v>45730.618055555547</v>
      </c>
      <c r="C582" t="s">
        <v>171</v>
      </c>
      <c r="D582" t="s">
        <v>1182</v>
      </c>
      <c r="E582" t="s">
        <v>1207</v>
      </c>
      <c r="F582" t="str" cm="1">
        <f t="array" ref="F582">_xlfn.IFS(
E582="Ahmedabad","Gujarat",
E582="Bengaluru","Karnataka",
E582="Bhopal","Madhya Pradesh",
E582="Bhubaneswar","Odisha",
E582="Chandigarh","Chandigarh",
E582="Chennai","Tamil Nadu",
E582="Delhi","Delhi",
E582="Guwahati","Assam",
E582="Hyderabad","Telangana",
E582="Indore","Madhya Pradesh",
E582="Jaipur","Rajasthan",
E582="Kochi","Kerala",
E582="Kolkata","West Bengal",
E582="Lucknow","Uttar Pradesh",
E582="Mumbai","Maharashtra",
E582="Nagpur","Maharashtra",
E582="Patna","Bihar",
E582="Pune","Maharashtra",
E582="Raipur","Chhattisgarh",
E582="Surat","Gujarat",
TRUE,"Not Found"
)</f>
        <v>Tamil Nadu</v>
      </c>
      <c r="G582" t="s">
        <v>1143</v>
      </c>
      <c r="H582" t="s">
        <v>1172</v>
      </c>
      <c r="I582" t="s">
        <v>1229</v>
      </c>
      <c r="J582" t="s">
        <v>1230</v>
      </c>
      <c r="K582" t="s">
        <v>1231</v>
      </c>
      <c r="L582">
        <v>1</v>
      </c>
      <c r="M582">
        <v>6126</v>
      </c>
      <c r="N582">
        <v>0</v>
      </c>
      <c r="O582">
        <v>6126</v>
      </c>
      <c r="P582">
        <v>0.12</v>
      </c>
      <c r="Q582">
        <v>6126</v>
      </c>
      <c r="R582">
        <v>735.12</v>
      </c>
      <c r="S582">
        <v>6861.12</v>
      </c>
      <c r="T582">
        <f>ROUND(Table2[[#This Row],[TotalAmount]],0)</f>
        <v>6861</v>
      </c>
      <c r="U582" t="s">
        <v>1360</v>
      </c>
      <c r="V582" t="s">
        <v>1361</v>
      </c>
      <c r="W582" s="4">
        <v>45730</v>
      </c>
      <c r="X582" s="4">
        <v>45734</v>
      </c>
      <c r="Y582" t="b">
        <v>0</v>
      </c>
      <c r="Z582" t="s">
        <v>1412</v>
      </c>
      <c r="AA582" t="s">
        <v>1412</v>
      </c>
      <c r="AB582" t="s">
        <v>1412</v>
      </c>
      <c r="AC582" t="s">
        <v>1382</v>
      </c>
      <c r="AD582" t="s">
        <v>1397</v>
      </c>
      <c r="AE582" t="s">
        <v>1393</v>
      </c>
    </row>
    <row r="583" spans="1:31" x14ac:dyDescent="0.3">
      <c r="A583" t="s">
        <v>757</v>
      </c>
      <c r="B583" s="4">
        <v>45344.504861111112</v>
      </c>
      <c r="C583" t="s">
        <v>683</v>
      </c>
      <c r="D583" t="s">
        <v>1182</v>
      </c>
      <c r="E583" t="s">
        <v>1257</v>
      </c>
      <c r="F583" t="str" cm="1">
        <f t="array" ref="F583">_xlfn.IFS(
E583="Ahmedabad","Gujarat",
E583="Bengaluru","Karnataka",
E583="Bhopal","Madhya Pradesh",
E583="Bhubaneswar","Odisha",
E583="Chandigarh","Chandigarh",
E583="Chennai","Tamil Nadu",
E583="Delhi","Delhi",
E583="Guwahati","Assam",
E583="Hyderabad","Telangana",
E583="Indore","Madhya Pradesh",
E583="Jaipur","Rajasthan",
E583="Kochi","Kerala",
E583="Kolkata","West Bengal",
E583="Lucknow","Uttar Pradesh",
E583="Mumbai","Maharashtra",
E583="Nagpur","Maharashtra",
E583="Patna","Bihar",
E583="Pune","Maharashtra",
E583="Raipur","Chhattisgarh",
E583="Surat","Gujarat",
TRUE,"Not Found"
)</f>
        <v>Kerala</v>
      </c>
      <c r="G583" t="s">
        <v>1143</v>
      </c>
      <c r="H583" t="s">
        <v>1163</v>
      </c>
      <c r="I583" t="s">
        <v>1240</v>
      </c>
      <c r="J583" t="s">
        <v>1241</v>
      </c>
      <c r="K583" t="s">
        <v>1242</v>
      </c>
      <c r="L583">
        <v>5</v>
      </c>
      <c r="M583">
        <v>1105</v>
      </c>
      <c r="N583">
        <v>0.05</v>
      </c>
      <c r="O583">
        <v>1049.75</v>
      </c>
      <c r="P583">
        <v>0.12</v>
      </c>
      <c r="Q583">
        <v>5248.75</v>
      </c>
      <c r="R583">
        <v>629.85</v>
      </c>
      <c r="S583">
        <v>5878.6</v>
      </c>
      <c r="T583">
        <f>ROUND(Table2[[#This Row],[TotalAmount]],0)</f>
        <v>5879</v>
      </c>
      <c r="U583" t="s">
        <v>1360</v>
      </c>
      <c r="V583" t="s">
        <v>1368</v>
      </c>
      <c r="W583" s="4">
        <v>45344</v>
      </c>
      <c r="X583" s="4" t="s">
        <v>1412</v>
      </c>
      <c r="Y583" t="b">
        <v>0</v>
      </c>
      <c r="Z583" t="s">
        <v>1412</v>
      </c>
      <c r="AA583" t="s">
        <v>1412</v>
      </c>
      <c r="AB583" t="s">
        <v>1412</v>
      </c>
      <c r="AC583" t="s">
        <v>1392</v>
      </c>
      <c r="AD583" t="s">
        <v>1394</v>
      </c>
      <c r="AE583" t="s">
        <v>1383</v>
      </c>
    </row>
    <row r="584" spans="1:31" x14ac:dyDescent="0.3">
      <c r="A584" t="s">
        <v>758</v>
      </c>
      <c r="B584" s="4">
        <v>45387.429861111108</v>
      </c>
      <c r="C584" t="s">
        <v>12</v>
      </c>
      <c r="D584" t="s">
        <v>1153</v>
      </c>
      <c r="E584" t="s">
        <v>1162</v>
      </c>
      <c r="F584" t="str" cm="1">
        <f t="array" ref="F584">_xlfn.IFS(
E584="Ahmedabad","Gujarat",
E584="Bengaluru","Karnataka",
E584="Bhopal","Madhya Pradesh",
E584="Bhubaneswar","Odisha",
E584="Chandigarh","Chandigarh",
E584="Chennai","Tamil Nadu",
E584="Delhi","Delhi",
E584="Guwahati","Assam",
E584="Hyderabad","Telangana",
E584="Indore","Madhya Pradesh",
E584="Jaipur","Rajasthan",
E584="Kochi","Kerala",
E584="Kolkata","West Bengal",
E584="Lucknow","Uttar Pradesh",
E584="Mumbai","Maharashtra",
E584="Nagpur","Maharashtra",
E584="Patna","Bihar",
E584="Pune","Maharashtra",
E584="Raipur","Chhattisgarh",
E584="Surat","Gujarat",
TRUE,"Not Found"
)</f>
        <v>Madhya Pradesh</v>
      </c>
      <c r="G584" t="s">
        <v>1150</v>
      </c>
      <c r="H584" t="s">
        <v>1172</v>
      </c>
      <c r="I584" t="s">
        <v>1229</v>
      </c>
      <c r="J584" t="s">
        <v>1230</v>
      </c>
      <c r="K584" t="s">
        <v>1231</v>
      </c>
      <c r="L584">
        <v>2</v>
      </c>
      <c r="M584">
        <v>2191</v>
      </c>
      <c r="N584">
        <v>0</v>
      </c>
      <c r="O584">
        <v>2191</v>
      </c>
      <c r="P584">
        <v>0.18</v>
      </c>
      <c r="Q584">
        <v>4382</v>
      </c>
      <c r="R584">
        <v>788.76</v>
      </c>
      <c r="S584">
        <v>5170.76</v>
      </c>
      <c r="T584">
        <f>ROUND(Table2[[#This Row],[TotalAmount]],0)</f>
        <v>5171</v>
      </c>
      <c r="U584" t="s">
        <v>1362</v>
      </c>
      <c r="V584" t="s">
        <v>1364</v>
      </c>
      <c r="W584" s="4">
        <v>45388</v>
      </c>
      <c r="X584" s="4" t="s">
        <v>1412</v>
      </c>
      <c r="Y584" t="b">
        <v>1</v>
      </c>
      <c r="Z584" s="1">
        <v>45406</v>
      </c>
      <c r="AA584" s="1">
        <v>45406</v>
      </c>
      <c r="AB584" t="s">
        <v>1401</v>
      </c>
      <c r="AC584" t="s">
        <v>1388</v>
      </c>
      <c r="AD584" t="s">
        <v>1385</v>
      </c>
      <c r="AE584" t="s">
        <v>1383</v>
      </c>
    </row>
    <row r="585" spans="1:31" x14ac:dyDescent="0.3">
      <c r="A585" t="s">
        <v>759</v>
      </c>
      <c r="B585" s="4">
        <v>45417.482638888891</v>
      </c>
      <c r="C585" t="s">
        <v>164</v>
      </c>
      <c r="D585" t="s">
        <v>1157</v>
      </c>
      <c r="E585" t="s">
        <v>1249</v>
      </c>
      <c r="F585" t="str" cm="1">
        <f t="array" ref="F585">_xlfn.IFS(
E585="Ahmedabad","Gujarat",
E585="Bengaluru","Karnataka",
E585="Bhopal","Madhya Pradesh",
E585="Bhubaneswar","Odisha",
E585="Chandigarh","Chandigarh",
E585="Chennai","Tamil Nadu",
E585="Delhi","Delhi",
E585="Guwahati","Assam",
E585="Hyderabad","Telangana",
E585="Indore","Madhya Pradesh",
E585="Jaipur","Rajasthan",
E585="Kochi","Kerala",
E585="Kolkata","West Bengal",
E585="Lucknow","Uttar Pradesh",
E585="Mumbai","Maharashtra",
E585="Nagpur","Maharashtra",
E585="Patna","Bihar",
E585="Pune","Maharashtra",
E585="Raipur","Chhattisgarh",
E585="Surat","Gujarat",
TRUE,"Not Found"
)</f>
        <v>Maharashtra</v>
      </c>
      <c r="G585" t="s">
        <v>1187</v>
      </c>
      <c r="H585" t="s">
        <v>1163</v>
      </c>
      <c r="I585" t="s">
        <v>1240</v>
      </c>
      <c r="J585" t="s">
        <v>1247</v>
      </c>
      <c r="K585" t="s">
        <v>1248</v>
      </c>
      <c r="L585">
        <v>4</v>
      </c>
      <c r="M585">
        <v>1197</v>
      </c>
      <c r="N585">
        <v>0.1</v>
      </c>
      <c r="O585">
        <v>1077.3</v>
      </c>
      <c r="P585">
        <v>0.12</v>
      </c>
      <c r="Q585">
        <v>4309.2</v>
      </c>
      <c r="R585">
        <v>517.10399999999993</v>
      </c>
      <c r="S585">
        <v>4826.3040000000001</v>
      </c>
      <c r="T585">
        <f>ROUND(Table2[[#This Row],[TotalAmount]],0)</f>
        <v>4826</v>
      </c>
      <c r="U585" t="s">
        <v>1360</v>
      </c>
      <c r="V585" t="s">
        <v>1368</v>
      </c>
      <c r="W585" s="4">
        <v>45417</v>
      </c>
      <c r="X585" s="4" t="s">
        <v>1412</v>
      </c>
      <c r="Y585" t="b">
        <v>0</v>
      </c>
      <c r="Z585" t="s">
        <v>1412</v>
      </c>
      <c r="AA585" t="s">
        <v>1412</v>
      </c>
      <c r="AB585" t="s">
        <v>1412</v>
      </c>
      <c r="AC585" t="s">
        <v>1382</v>
      </c>
      <c r="AD585" t="s">
        <v>1387</v>
      </c>
      <c r="AE585" t="s">
        <v>1391</v>
      </c>
    </row>
    <row r="586" spans="1:31" x14ac:dyDescent="0.3">
      <c r="A586" t="s">
        <v>760</v>
      </c>
      <c r="B586" s="4">
        <v>45566.504166666673</v>
      </c>
      <c r="C586" t="s">
        <v>407</v>
      </c>
      <c r="D586" t="s">
        <v>1157</v>
      </c>
      <c r="E586" t="s">
        <v>1158</v>
      </c>
      <c r="F586" t="str" cm="1">
        <f t="array" ref="F586">_xlfn.IFS(
E586="Ahmedabad","Gujarat",
E586="Bengaluru","Karnataka",
E586="Bhopal","Madhya Pradesh",
E586="Bhubaneswar","Odisha",
E586="Chandigarh","Chandigarh",
E586="Chennai","Tamil Nadu",
E586="Delhi","Delhi",
E586="Guwahati","Assam",
E586="Hyderabad","Telangana",
E586="Indore","Madhya Pradesh",
E586="Jaipur","Rajasthan",
E586="Kochi","Kerala",
E586="Kolkata","West Bengal",
E586="Lucknow","Uttar Pradesh",
E586="Mumbai","Maharashtra",
E586="Nagpur","Maharashtra",
E586="Patna","Bihar",
E586="Pune","Maharashtra",
E586="Raipur","Chhattisgarh",
E586="Surat","Gujarat",
TRUE,"Not Found"
)</f>
        <v>Gujarat</v>
      </c>
      <c r="G586" t="s">
        <v>1150</v>
      </c>
      <c r="H586" t="s">
        <v>1167</v>
      </c>
      <c r="I586" t="s">
        <v>1208</v>
      </c>
      <c r="J586" t="s">
        <v>1322</v>
      </c>
      <c r="K586" t="s">
        <v>1323</v>
      </c>
      <c r="L586">
        <v>2</v>
      </c>
      <c r="M586">
        <v>6980</v>
      </c>
      <c r="N586">
        <v>0.1</v>
      </c>
      <c r="O586">
        <v>6282</v>
      </c>
      <c r="P586">
        <v>0.05</v>
      </c>
      <c r="Q586">
        <v>12564</v>
      </c>
      <c r="R586">
        <v>628.20000000000005</v>
      </c>
      <c r="S586">
        <v>13192.2</v>
      </c>
      <c r="T586">
        <f>ROUND(Table2[[#This Row],[TotalAmount]],0)</f>
        <v>13192</v>
      </c>
      <c r="U586" t="s">
        <v>1365</v>
      </c>
      <c r="V586" t="s">
        <v>1361</v>
      </c>
      <c r="W586" s="4">
        <v>45567</v>
      </c>
      <c r="X586" s="4">
        <v>45572</v>
      </c>
      <c r="Y586" t="b">
        <v>0</v>
      </c>
      <c r="Z586" t="s">
        <v>1412</v>
      </c>
      <c r="AA586" t="s">
        <v>1412</v>
      </c>
      <c r="AB586" t="s">
        <v>1412</v>
      </c>
      <c r="AC586" t="s">
        <v>1390</v>
      </c>
      <c r="AD586" t="s">
        <v>1397</v>
      </c>
      <c r="AE586" t="s">
        <v>1380</v>
      </c>
    </row>
    <row r="587" spans="1:31" x14ac:dyDescent="0.3">
      <c r="A587" t="s">
        <v>761</v>
      </c>
      <c r="B587" s="4">
        <v>45379.507638888892</v>
      </c>
      <c r="C587" t="s">
        <v>93</v>
      </c>
      <c r="D587" t="s">
        <v>1157</v>
      </c>
      <c r="E587" t="s">
        <v>1201</v>
      </c>
      <c r="F587" t="str" cm="1">
        <f t="array" ref="F587">_xlfn.IFS(
E587="Ahmedabad","Gujarat",
E587="Bengaluru","Karnataka",
E587="Bhopal","Madhya Pradesh",
E587="Bhubaneswar","Odisha",
E587="Chandigarh","Chandigarh",
E587="Chennai","Tamil Nadu",
E587="Delhi","Delhi",
E587="Guwahati","Assam",
E587="Hyderabad","Telangana",
E587="Indore","Madhya Pradesh",
E587="Jaipur","Rajasthan",
E587="Kochi","Kerala",
E587="Kolkata","West Bengal",
E587="Lucknow","Uttar Pradesh",
E587="Mumbai","Maharashtra",
E587="Nagpur","Maharashtra",
E587="Patna","Bihar",
E587="Pune","Maharashtra",
E587="Raipur","Chhattisgarh",
E587="Surat","Gujarat",
TRUE,"Not Found"
)</f>
        <v>Maharashtra</v>
      </c>
      <c r="G587" t="s">
        <v>1143</v>
      </c>
      <c r="H587" t="s">
        <v>1167</v>
      </c>
      <c r="I587" t="s">
        <v>1288</v>
      </c>
      <c r="J587" t="s">
        <v>1293</v>
      </c>
      <c r="K587" t="s">
        <v>1294</v>
      </c>
      <c r="L587">
        <v>1</v>
      </c>
      <c r="M587">
        <v>50115</v>
      </c>
      <c r="N587">
        <v>0</v>
      </c>
      <c r="O587">
        <v>50115</v>
      </c>
      <c r="P587">
        <v>0.12</v>
      </c>
      <c r="Q587">
        <v>50115</v>
      </c>
      <c r="R587">
        <v>6013.8</v>
      </c>
      <c r="S587">
        <v>56128.800000000003</v>
      </c>
      <c r="T587">
        <f>ROUND(Table2[[#This Row],[TotalAmount]],0)</f>
        <v>56129</v>
      </c>
      <c r="U587" t="s">
        <v>1365</v>
      </c>
      <c r="V587" t="s">
        <v>1361</v>
      </c>
      <c r="W587" s="4">
        <v>45380</v>
      </c>
      <c r="X587" s="4">
        <v>45385</v>
      </c>
      <c r="Y587" t="b">
        <v>0</v>
      </c>
      <c r="Z587" t="s">
        <v>1412</v>
      </c>
      <c r="AA587" t="s">
        <v>1412</v>
      </c>
      <c r="AB587" t="s">
        <v>1412</v>
      </c>
      <c r="AC587" t="s">
        <v>1386</v>
      </c>
      <c r="AD587" t="s">
        <v>1394</v>
      </c>
      <c r="AE587" t="s">
        <v>1395</v>
      </c>
    </row>
    <row r="588" spans="1:31" x14ac:dyDescent="0.3">
      <c r="A588" t="s">
        <v>762</v>
      </c>
      <c r="B588" s="4">
        <v>45668.560416666667</v>
      </c>
      <c r="C588" t="s">
        <v>394</v>
      </c>
      <c r="D588" t="s">
        <v>1148</v>
      </c>
      <c r="E588" t="s">
        <v>1262</v>
      </c>
      <c r="F588" t="str" cm="1">
        <f t="array" ref="F588">_xlfn.IFS(
E588="Ahmedabad","Gujarat",
E588="Bengaluru","Karnataka",
E588="Bhopal","Madhya Pradesh",
E588="Bhubaneswar","Odisha",
E588="Chandigarh","Chandigarh",
E588="Chennai","Tamil Nadu",
E588="Delhi","Delhi",
E588="Guwahati","Assam",
E588="Hyderabad","Telangana",
E588="Indore","Madhya Pradesh",
E588="Jaipur","Rajasthan",
E588="Kochi","Kerala",
E588="Kolkata","West Bengal",
E588="Lucknow","Uttar Pradesh",
E588="Mumbai","Maharashtra",
E588="Nagpur","Maharashtra",
E588="Patna","Bihar",
E588="Pune","Maharashtra",
E588="Raipur","Chhattisgarh",
E588="Surat","Gujarat",
TRUE,"Not Found"
)</f>
        <v>Rajasthan</v>
      </c>
      <c r="G588" t="s">
        <v>1187</v>
      </c>
      <c r="H588" t="s">
        <v>1163</v>
      </c>
      <c r="I588" t="s">
        <v>1164</v>
      </c>
      <c r="J588" t="s">
        <v>1324</v>
      </c>
      <c r="K588" t="s">
        <v>1325</v>
      </c>
      <c r="L588">
        <v>2</v>
      </c>
      <c r="M588">
        <v>596</v>
      </c>
      <c r="N588">
        <v>0.05</v>
      </c>
      <c r="O588">
        <v>566.19999999999993</v>
      </c>
      <c r="P588">
        <v>0.12</v>
      </c>
      <c r="Q588">
        <v>1132.4000000000001</v>
      </c>
      <c r="R588">
        <v>135.88800000000001</v>
      </c>
      <c r="S588">
        <v>1268.288</v>
      </c>
      <c r="T588">
        <f>ROUND(Table2[[#This Row],[TotalAmount]],0)</f>
        <v>1268</v>
      </c>
      <c r="U588" t="s">
        <v>1362</v>
      </c>
      <c r="V588" t="s">
        <v>1361</v>
      </c>
      <c r="W588" s="4">
        <v>45670</v>
      </c>
      <c r="X588" s="4">
        <v>45671</v>
      </c>
      <c r="Y588" t="b">
        <v>0</v>
      </c>
      <c r="Z588" t="s">
        <v>1412</v>
      </c>
      <c r="AA588" t="s">
        <v>1412</v>
      </c>
      <c r="AB588" t="s">
        <v>1412</v>
      </c>
      <c r="AC588" t="s">
        <v>1379</v>
      </c>
      <c r="AD588" t="s">
        <v>1397</v>
      </c>
      <c r="AE588" t="s">
        <v>1378</v>
      </c>
    </row>
    <row r="589" spans="1:31" x14ac:dyDescent="0.3">
      <c r="A589" t="s">
        <v>763</v>
      </c>
      <c r="B589" s="4">
        <v>45459.661805555559</v>
      </c>
      <c r="C589" t="s">
        <v>119</v>
      </c>
      <c r="D589" t="s">
        <v>1148</v>
      </c>
      <c r="E589" t="s">
        <v>1149</v>
      </c>
      <c r="F589" t="str" cm="1">
        <f t="array" ref="F589">_xlfn.IFS(
E589="Ahmedabad","Gujarat",
E589="Bengaluru","Karnataka",
E589="Bhopal","Madhya Pradesh",
E589="Bhubaneswar","Odisha",
E589="Chandigarh","Chandigarh",
E589="Chennai","Tamil Nadu",
E589="Delhi","Delhi",
E589="Guwahati","Assam",
E589="Hyderabad","Telangana",
E589="Indore","Madhya Pradesh",
E589="Jaipur","Rajasthan",
E589="Kochi","Kerala",
E589="Kolkata","West Bengal",
E589="Lucknow","Uttar Pradesh",
E589="Mumbai","Maharashtra",
E589="Nagpur","Maharashtra",
E589="Patna","Bihar",
E589="Pune","Maharashtra",
E589="Raipur","Chhattisgarh",
E589="Surat","Gujarat",
TRUE,"Not Found"
)</f>
        <v>Uttar Pradesh</v>
      </c>
      <c r="G589" t="s">
        <v>1150</v>
      </c>
      <c r="H589" t="s">
        <v>1144</v>
      </c>
      <c r="I589" t="s">
        <v>1214</v>
      </c>
      <c r="J589" t="s">
        <v>1252</v>
      </c>
      <c r="K589" t="s">
        <v>1253</v>
      </c>
      <c r="L589">
        <v>2</v>
      </c>
      <c r="M589">
        <v>14791</v>
      </c>
      <c r="N589">
        <v>0.1</v>
      </c>
      <c r="O589">
        <v>13311.9</v>
      </c>
      <c r="P589">
        <v>0.18</v>
      </c>
      <c r="Q589">
        <v>26623.8</v>
      </c>
      <c r="R589">
        <v>4792.2839999999997</v>
      </c>
      <c r="S589">
        <v>31416.083999999999</v>
      </c>
      <c r="T589">
        <f>ROUND(Table2[[#This Row],[TotalAmount]],0)</f>
        <v>31416</v>
      </c>
      <c r="U589" t="s">
        <v>1360</v>
      </c>
      <c r="V589" t="s">
        <v>1369</v>
      </c>
      <c r="W589" s="4" t="s">
        <v>1412</v>
      </c>
      <c r="X589" s="4" t="s">
        <v>1412</v>
      </c>
      <c r="Y589" t="b">
        <v>0</v>
      </c>
      <c r="Z589" t="s">
        <v>1412</v>
      </c>
      <c r="AA589" t="s">
        <v>1412</v>
      </c>
      <c r="AB589" t="s">
        <v>1412</v>
      </c>
      <c r="AC589" t="s">
        <v>1390</v>
      </c>
      <c r="AD589" t="s">
        <v>1400</v>
      </c>
      <c r="AE589" t="s">
        <v>1383</v>
      </c>
    </row>
    <row r="590" spans="1:31" x14ac:dyDescent="0.3">
      <c r="A590" t="s">
        <v>764</v>
      </c>
      <c r="B590" s="4">
        <v>45723.445833333331</v>
      </c>
      <c r="C590" t="s">
        <v>271</v>
      </c>
      <c r="D590" t="s">
        <v>1148</v>
      </c>
      <c r="E590" t="s">
        <v>1149</v>
      </c>
      <c r="F590" t="str" cm="1">
        <f t="array" ref="F590">_xlfn.IFS(
E590="Ahmedabad","Gujarat",
E590="Bengaluru","Karnataka",
E590="Bhopal","Madhya Pradesh",
E590="Bhubaneswar","Odisha",
E590="Chandigarh","Chandigarh",
E590="Chennai","Tamil Nadu",
E590="Delhi","Delhi",
E590="Guwahati","Assam",
E590="Hyderabad","Telangana",
E590="Indore","Madhya Pradesh",
E590="Jaipur","Rajasthan",
E590="Kochi","Kerala",
E590="Kolkata","West Bengal",
E590="Lucknow","Uttar Pradesh",
E590="Mumbai","Maharashtra",
E590="Nagpur","Maharashtra",
E590="Patna","Bihar",
E590="Pune","Maharashtra",
E590="Raipur","Chhattisgarh",
E590="Surat","Gujarat",
TRUE,"Not Found"
)</f>
        <v>Uttar Pradesh</v>
      </c>
      <c r="G590" t="s">
        <v>1150</v>
      </c>
      <c r="H590" t="s">
        <v>1163</v>
      </c>
      <c r="I590" t="s">
        <v>1240</v>
      </c>
      <c r="J590" t="s">
        <v>1241</v>
      </c>
      <c r="K590" t="s">
        <v>1242</v>
      </c>
      <c r="L590">
        <v>3</v>
      </c>
      <c r="M590">
        <v>931</v>
      </c>
      <c r="N590">
        <v>0</v>
      </c>
      <c r="O590">
        <v>931</v>
      </c>
      <c r="P590">
        <v>0.18</v>
      </c>
      <c r="Q590">
        <v>2793</v>
      </c>
      <c r="R590">
        <v>502.74</v>
      </c>
      <c r="S590">
        <v>3295.74</v>
      </c>
      <c r="T590">
        <f>ROUND(Table2[[#This Row],[TotalAmount]],0)</f>
        <v>3296</v>
      </c>
      <c r="U590" t="s">
        <v>1366</v>
      </c>
      <c r="V590" t="s">
        <v>1361</v>
      </c>
      <c r="W590" s="4">
        <v>45724</v>
      </c>
      <c r="X590" s="4">
        <v>45728</v>
      </c>
      <c r="Y590" t="b">
        <v>0</v>
      </c>
      <c r="Z590" t="s">
        <v>1412</v>
      </c>
      <c r="AA590" t="s">
        <v>1412</v>
      </c>
      <c r="AB590" t="s">
        <v>1412</v>
      </c>
      <c r="AC590" t="s">
        <v>1388</v>
      </c>
      <c r="AD590" t="s">
        <v>1377</v>
      </c>
      <c r="AE590" t="s">
        <v>1383</v>
      </c>
    </row>
    <row r="591" spans="1:31" x14ac:dyDescent="0.3">
      <c r="A591" t="s">
        <v>765</v>
      </c>
      <c r="B591" s="4">
        <v>45506.452777777777</v>
      </c>
      <c r="C591" t="s">
        <v>283</v>
      </c>
      <c r="D591" t="s">
        <v>1148</v>
      </c>
      <c r="E591" t="s">
        <v>1262</v>
      </c>
      <c r="F591" t="str" cm="1">
        <f t="array" ref="F591">_xlfn.IFS(
E591="Ahmedabad","Gujarat",
E591="Bengaluru","Karnataka",
E591="Bhopal","Madhya Pradesh",
E591="Bhubaneswar","Odisha",
E591="Chandigarh","Chandigarh",
E591="Chennai","Tamil Nadu",
E591="Delhi","Delhi",
E591="Guwahati","Assam",
E591="Hyderabad","Telangana",
E591="Indore","Madhya Pradesh",
E591="Jaipur","Rajasthan",
E591="Kochi","Kerala",
E591="Kolkata","West Bengal",
E591="Lucknow","Uttar Pradesh",
E591="Mumbai","Maharashtra",
E591="Nagpur","Maharashtra",
E591="Patna","Bihar",
E591="Pune","Maharashtra",
E591="Raipur","Chhattisgarh",
E591="Surat","Gujarat",
TRUE,"Not Found"
)</f>
        <v>Rajasthan</v>
      </c>
      <c r="G591" t="s">
        <v>1143</v>
      </c>
      <c r="H591" t="s">
        <v>1172</v>
      </c>
      <c r="I591" t="s">
        <v>1229</v>
      </c>
      <c r="J591" t="s">
        <v>1340</v>
      </c>
      <c r="K591" t="s">
        <v>1341</v>
      </c>
      <c r="L591">
        <v>3</v>
      </c>
      <c r="M591">
        <v>9783</v>
      </c>
      <c r="N591">
        <v>0.1</v>
      </c>
      <c r="O591">
        <v>8804.7000000000007</v>
      </c>
      <c r="P591">
        <v>0.05</v>
      </c>
      <c r="Q591">
        <v>26414.1</v>
      </c>
      <c r="R591">
        <v>1320.7049999999999</v>
      </c>
      <c r="S591">
        <v>27734.805</v>
      </c>
      <c r="T591">
        <f>ROUND(Table2[[#This Row],[TotalAmount]],0)</f>
        <v>27735</v>
      </c>
      <c r="U591" t="s">
        <v>1362</v>
      </c>
      <c r="V591" t="s">
        <v>1361</v>
      </c>
      <c r="W591" s="4">
        <v>45508</v>
      </c>
      <c r="X591" s="4">
        <v>45509</v>
      </c>
      <c r="Y591" t="b">
        <v>0</v>
      </c>
      <c r="Z591" t="s">
        <v>1412</v>
      </c>
      <c r="AA591" t="s">
        <v>1412</v>
      </c>
      <c r="AB591" t="s">
        <v>1412</v>
      </c>
      <c r="AC591" t="s">
        <v>1386</v>
      </c>
      <c r="AD591" t="s">
        <v>1387</v>
      </c>
      <c r="AE591" t="s">
        <v>1380</v>
      </c>
    </row>
    <row r="592" spans="1:31" x14ac:dyDescent="0.3">
      <c r="A592" t="s">
        <v>766</v>
      </c>
      <c r="B592" s="4">
        <v>45508.729861111111</v>
      </c>
      <c r="C592" t="s">
        <v>378</v>
      </c>
      <c r="D592" t="s">
        <v>1157</v>
      </c>
      <c r="E592" t="s">
        <v>1158</v>
      </c>
      <c r="F592" t="str" cm="1">
        <f t="array" ref="F592">_xlfn.IFS(
E592="Ahmedabad","Gujarat",
E592="Bengaluru","Karnataka",
E592="Bhopal","Madhya Pradesh",
E592="Bhubaneswar","Odisha",
E592="Chandigarh","Chandigarh",
E592="Chennai","Tamil Nadu",
E592="Delhi","Delhi",
E592="Guwahati","Assam",
E592="Hyderabad","Telangana",
E592="Indore","Madhya Pradesh",
E592="Jaipur","Rajasthan",
E592="Kochi","Kerala",
E592="Kolkata","West Bengal",
E592="Lucknow","Uttar Pradesh",
E592="Mumbai","Maharashtra",
E592="Nagpur","Maharashtra",
E592="Patna","Bihar",
E592="Pune","Maharashtra",
E592="Raipur","Chhattisgarh",
E592="Surat","Gujarat",
TRUE,"Not Found"
)</f>
        <v>Gujarat</v>
      </c>
      <c r="G592" t="s">
        <v>1143</v>
      </c>
      <c r="H592" t="s">
        <v>1167</v>
      </c>
      <c r="I592" t="s">
        <v>1168</v>
      </c>
      <c r="J592" t="s">
        <v>1312</v>
      </c>
      <c r="K592" t="s">
        <v>1313</v>
      </c>
      <c r="L592">
        <v>2</v>
      </c>
      <c r="M592">
        <v>13544</v>
      </c>
      <c r="N592">
        <v>0.1</v>
      </c>
      <c r="O592">
        <v>12189.6</v>
      </c>
      <c r="P592">
        <v>0.18</v>
      </c>
      <c r="Q592">
        <v>24379.200000000001</v>
      </c>
      <c r="R592">
        <v>4388.2560000000003</v>
      </c>
      <c r="S592">
        <v>28767.455999999998</v>
      </c>
      <c r="T592">
        <f>ROUND(Table2[[#This Row],[TotalAmount]],0)</f>
        <v>28767</v>
      </c>
      <c r="U592" t="s">
        <v>1366</v>
      </c>
      <c r="V592" t="s">
        <v>1361</v>
      </c>
      <c r="W592" s="4">
        <v>45510</v>
      </c>
      <c r="X592" s="4">
        <v>45512</v>
      </c>
      <c r="Y592" t="b">
        <v>0</v>
      </c>
      <c r="Z592" t="s">
        <v>1412</v>
      </c>
      <c r="AA592" t="s">
        <v>1412</v>
      </c>
      <c r="AB592" t="s">
        <v>1412</v>
      </c>
      <c r="AC592" t="s">
        <v>1390</v>
      </c>
      <c r="AD592" t="s">
        <v>1385</v>
      </c>
      <c r="AE592" t="s">
        <v>1395</v>
      </c>
    </row>
    <row r="593" spans="1:31" x14ac:dyDescent="0.3">
      <c r="A593" t="s">
        <v>767</v>
      </c>
      <c r="B593" s="4">
        <v>45517.461111111108</v>
      </c>
      <c r="C593" t="s">
        <v>768</v>
      </c>
      <c r="D593" t="s">
        <v>1182</v>
      </c>
      <c r="E593" t="s">
        <v>1256</v>
      </c>
      <c r="F593" t="str" cm="1">
        <f t="array" ref="F593">_xlfn.IFS(
E593="Ahmedabad","Gujarat",
E593="Bengaluru","Karnataka",
E593="Bhopal","Madhya Pradesh",
E593="Bhubaneswar","Odisha",
E593="Chandigarh","Chandigarh",
E593="Chennai","Tamil Nadu",
E593="Delhi","Delhi",
E593="Guwahati","Assam",
E593="Hyderabad","Telangana",
E593="Indore","Madhya Pradesh",
E593="Jaipur","Rajasthan",
E593="Kochi","Kerala",
E593="Kolkata","West Bengal",
E593="Lucknow","Uttar Pradesh",
E593="Mumbai","Maharashtra",
E593="Nagpur","Maharashtra",
E593="Patna","Bihar",
E593="Pune","Maharashtra",
E593="Raipur","Chhattisgarh",
E593="Surat","Gujarat",
TRUE,"Not Found"
)</f>
        <v>Karnataka</v>
      </c>
      <c r="G593" t="s">
        <v>1228</v>
      </c>
      <c r="H593" t="s">
        <v>1163</v>
      </c>
      <c r="I593" t="s">
        <v>1266</v>
      </c>
      <c r="J593" t="s">
        <v>1348</v>
      </c>
      <c r="K593" t="s">
        <v>1349</v>
      </c>
      <c r="L593">
        <v>4</v>
      </c>
      <c r="M593">
        <v>886</v>
      </c>
      <c r="N593">
        <v>0</v>
      </c>
      <c r="O593">
        <v>886</v>
      </c>
      <c r="P593">
        <v>0.12</v>
      </c>
      <c r="Q593">
        <v>3544</v>
      </c>
      <c r="R593">
        <v>425.28</v>
      </c>
      <c r="S593">
        <v>3969.28</v>
      </c>
      <c r="T593">
        <f>ROUND(Table2[[#This Row],[TotalAmount]],0)</f>
        <v>3969</v>
      </c>
      <c r="U593" t="s">
        <v>1362</v>
      </c>
      <c r="V593" t="s">
        <v>1361</v>
      </c>
      <c r="W593" s="4">
        <v>45518</v>
      </c>
      <c r="X593" s="4">
        <v>45523</v>
      </c>
      <c r="Y593" t="b">
        <v>0</v>
      </c>
      <c r="Z593" t="s">
        <v>1412</v>
      </c>
      <c r="AA593" t="s">
        <v>1412</v>
      </c>
      <c r="AB593" t="s">
        <v>1412</v>
      </c>
      <c r="AC593" t="s">
        <v>1390</v>
      </c>
      <c r="AD593" t="s">
        <v>1394</v>
      </c>
      <c r="AE593" t="s">
        <v>1393</v>
      </c>
    </row>
    <row r="594" spans="1:31" x14ac:dyDescent="0.3">
      <c r="A594" t="s">
        <v>769</v>
      </c>
      <c r="B594" s="4">
        <v>45523.584027777782</v>
      </c>
      <c r="C594" t="s">
        <v>148</v>
      </c>
      <c r="D594" t="s">
        <v>1153</v>
      </c>
      <c r="E594" t="s">
        <v>1162</v>
      </c>
      <c r="F594" t="str" cm="1">
        <f t="array" ref="F594">_xlfn.IFS(
E594="Ahmedabad","Gujarat",
E594="Bengaluru","Karnataka",
E594="Bhopal","Madhya Pradesh",
E594="Bhubaneswar","Odisha",
E594="Chandigarh","Chandigarh",
E594="Chennai","Tamil Nadu",
E594="Delhi","Delhi",
E594="Guwahati","Assam",
E594="Hyderabad","Telangana",
E594="Indore","Madhya Pradesh",
E594="Jaipur","Rajasthan",
E594="Kochi","Kerala",
E594="Kolkata","West Bengal",
E594="Lucknow","Uttar Pradesh",
E594="Mumbai","Maharashtra",
E594="Nagpur","Maharashtra",
E594="Patna","Bihar",
E594="Pune","Maharashtra",
E594="Raipur","Chhattisgarh",
E594="Surat","Gujarat",
TRUE,"Not Found"
)</f>
        <v>Madhya Pradesh</v>
      </c>
      <c r="G594" t="s">
        <v>1143</v>
      </c>
      <c r="H594" t="s">
        <v>1167</v>
      </c>
      <c r="I594" t="s">
        <v>1208</v>
      </c>
      <c r="J594" t="s">
        <v>1291</v>
      </c>
      <c r="K594" t="s">
        <v>1292</v>
      </c>
      <c r="L594">
        <v>1</v>
      </c>
      <c r="M594">
        <v>27611</v>
      </c>
      <c r="N594">
        <v>0.05</v>
      </c>
      <c r="O594">
        <v>26230.45</v>
      </c>
      <c r="P594">
        <v>0.05</v>
      </c>
      <c r="Q594">
        <v>26230.45</v>
      </c>
      <c r="R594">
        <v>1311.5225</v>
      </c>
      <c r="S594">
        <v>27541.9725</v>
      </c>
      <c r="T594">
        <f>ROUND(Table2[[#This Row],[TotalAmount]],0)</f>
        <v>27542</v>
      </c>
      <c r="U594" t="s">
        <v>1360</v>
      </c>
      <c r="V594" t="s">
        <v>1361</v>
      </c>
      <c r="W594" s="4">
        <v>45523</v>
      </c>
      <c r="X594" s="4">
        <v>45527</v>
      </c>
      <c r="Y594" t="b">
        <v>0</v>
      </c>
      <c r="Z594" t="s">
        <v>1412</v>
      </c>
      <c r="AA594" t="s">
        <v>1412</v>
      </c>
      <c r="AB594" t="s">
        <v>1412</v>
      </c>
      <c r="AC594" t="s">
        <v>1392</v>
      </c>
      <c r="AD594" t="s">
        <v>1399</v>
      </c>
      <c r="AE594" t="s">
        <v>1393</v>
      </c>
    </row>
    <row r="595" spans="1:31" x14ac:dyDescent="0.3">
      <c r="A595" t="s">
        <v>770</v>
      </c>
      <c r="B595" s="4">
        <v>45515.48541666667</v>
      </c>
      <c r="C595" t="s">
        <v>30</v>
      </c>
      <c r="D595" t="s">
        <v>1153</v>
      </c>
      <c r="E595" t="s">
        <v>1162</v>
      </c>
      <c r="F595" t="str" cm="1">
        <f t="array" ref="F595">_xlfn.IFS(
E595="Ahmedabad","Gujarat",
E595="Bengaluru","Karnataka",
E595="Bhopal","Madhya Pradesh",
E595="Bhubaneswar","Odisha",
E595="Chandigarh","Chandigarh",
E595="Chennai","Tamil Nadu",
E595="Delhi","Delhi",
E595="Guwahati","Assam",
E595="Hyderabad","Telangana",
E595="Indore","Madhya Pradesh",
E595="Jaipur","Rajasthan",
E595="Kochi","Kerala",
E595="Kolkata","West Bengal",
E595="Lucknow","Uttar Pradesh",
E595="Mumbai","Maharashtra",
E595="Nagpur","Maharashtra",
E595="Patna","Bihar",
E595="Pune","Maharashtra",
E595="Raipur","Chhattisgarh",
E595="Surat","Gujarat",
TRUE,"Not Found"
)</f>
        <v>Madhya Pradesh</v>
      </c>
      <c r="G595" t="s">
        <v>1143</v>
      </c>
      <c r="H595" t="s">
        <v>1177</v>
      </c>
      <c r="I595" t="s">
        <v>1309</v>
      </c>
      <c r="J595" t="s">
        <v>1332</v>
      </c>
      <c r="K595" t="s">
        <v>1333</v>
      </c>
      <c r="L595">
        <v>3</v>
      </c>
      <c r="M595">
        <v>2873</v>
      </c>
      <c r="N595">
        <v>0</v>
      </c>
      <c r="O595">
        <v>2873</v>
      </c>
      <c r="P595">
        <v>0.05</v>
      </c>
      <c r="Q595">
        <v>8619</v>
      </c>
      <c r="R595">
        <v>430.95</v>
      </c>
      <c r="S595">
        <v>9049.9500000000007</v>
      </c>
      <c r="T595">
        <f>ROUND(Table2[[#This Row],[TotalAmount]],0)</f>
        <v>9050</v>
      </c>
      <c r="U595" t="s">
        <v>1366</v>
      </c>
      <c r="V595" t="s">
        <v>1364</v>
      </c>
      <c r="W595" s="4">
        <v>45516</v>
      </c>
      <c r="X595" s="4" t="s">
        <v>1412</v>
      </c>
      <c r="Y595" t="b">
        <v>1</v>
      </c>
      <c r="Z595" s="1">
        <v>45524</v>
      </c>
      <c r="AA595" s="1">
        <v>45524</v>
      </c>
      <c r="AB595" t="s">
        <v>1401</v>
      </c>
      <c r="AC595" t="s">
        <v>1379</v>
      </c>
      <c r="AD595" t="s">
        <v>1385</v>
      </c>
      <c r="AE595" t="s">
        <v>1383</v>
      </c>
    </row>
    <row r="596" spans="1:31" x14ac:dyDescent="0.3">
      <c r="A596" t="s">
        <v>771</v>
      </c>
      <c r="B596" s="4">
        <v>45508.460416666669</v>
      </c>
      <c r="C596" t="s">
        <v>6</v>
      </c>
      <c r="D596" t="s">
        <v>1148</v>
      </c>
      <c r="E596" t="s">
        <v>1149</v>
      </c>
      <c r="F596" t="str" cm="1">
        <f t="array" ref="F596">_xlfn.IFS(
E596="Ahmedabad","Gujarat",
E596="Bengaluru","Karnataka",
E596="Bhopal","Madhya Pradesh",
E596="Bhubaneswar","Odisha",
E596="Chandigarh","Chandigarh",
E596="Chennai","Tamil Nadu",
E596="Delhi","Delhi",
E596="Guwahati","Assam",
E596="Hyderabad","Telangana",
E596="Indore","Madhya Pradesh",
E596="Jaipur","Rajasthan",
E596="Kochi","Kerala",
E596="Kolkata","West Bengal",
E596="Lucknow","Uttar Pradesh",
E596="Mumbai","Maharashtra",
E596="Nagpur","Maharashtra",
E596="Patna","Bihar",
E596="Pune","Maharashtra",
E596="Raipur","Chhattisgarh",
E596="Surat","Gujarat",
TRUE,"Not Found"
)</f>
        <v>Uttar Pradesh</v>
      </c>
      <c r="G596" t="s">
        <v>1143</v>
      </c>
      <c r="H596" t="s">
        <v>1177</v>
      </c>
      <c r="I596" t="s">
        <v>1178</v>
      </c>
      <c r="J596" t="s">
        <v>1179</v>
      </c>
      <c r="K596" t="s">
        <v>1180</v>
      </c>
      <c r="L596">
        <v>4</v>
      </c>
      <c r="M596">
        <v>2964</v>
      </c>
      <c r="N596">
        <v>0.15</v>
      </c>
      <c r="O596">
        <v>2519.4</v>
      </c>
      <c r="P596">
        <v>0.18</v>
      </c>
      <c r="Q596">
        <v>10077.6</v>
      </c>
      <c r="R596">
        <v>1813.9680000000001</v>
      </c>
      <c r="S596">
        <v>11891.567999999999</v>
      </c>
      <c r="T596">
        <f>ROUND(Table2[[#This Row],[TotalAmount]],0)</f>
        <v>11892</v>
      </c>
      <c r="U596" t="s">
        <v>1360</v>
      </c>
      <c r="V596" t="s">
        <v>1361</v>
      </c>
      <c r="W596" s="4">
        <v>45508</v>
      </c>
      <c r="X596" s="4">
        <v>45511</v>
      </c>
      <c r="Y596" t="b">
        <v>0</v>
      </c>
      <c r="Z596" t="s">
        <v>1412</v>
      </c>
      <c r="AA596" t="s">
        <v>1412</v>
      </c>
      <c r="AB596" t="s">
        <v>1412</v>
      </c>
      <c r="AC596" t="s">
        <v>1390</v>
      </c>
      <c r="AD596" t="s">
        <v>1397</v>
      </c>
      <c r="AE596" t="s">
        <v>1391</v>
      </c>
    </row>
    <row r="597" spans="1:31" x14ac:dyDescent="0.3">
      <c r="A597" t="s">
        <v>772</v>
      </c>
      <c r="B597" s="4">
        <v>45588.552777777782</v>
      </c>
      <c r="C597" t="s">
        <v>111</v>
      </c>
      <c r="D597" t="s">
        <v>1153</v>
      </c>
      <c r="E597" t="s">
        <v>1162</v>
      </c>
      <c r="F597" t="str" cm="1">
        <f t="array" ref="F597">_xlfn.IFS(
E597="Ahmedabad","Gujarat",
E597="Bengaluru","Karnataka",
E597="Bhopal","Madhya Pradesh",
E597="Bhubaneswar","Odisha",
E597="Chandigarh","Chandigarh",
E597="Chennai","Tamil Nadu",
E597="Delhi","Delhi",
E597="Guwahati","Assam",
E597="Hyderabad","Telangana",
E597="Indore","Madhya Pradesh",
E597="Jaipur","Rajasthan",
E597="Kochi","Kerala",
E597="Kolkata","West Bengal",
E597="Lucknow","Uttar Pradesh",
E597="Mumbai","Maharashtra",
E597="Nagpur","Maharashtra",
E597="Patna","Bihar",
E597="Pune","Maharashtra",
E597="Raipur","Chhattisgarh",
E597="Surat","Gujarat",
TRUE,"Not Found"
)</f>
        <v>Madhya Pradesh</v>
      </c>
      <c r="G597" t="s">
        <v>1143</v>
      </c>
      <c r="H597" t="s">
        <v>1177</v>
      </c>
      <c r="I597" t="s">
        <v>1195</v>
      </c>
      <c r="J597" t="s">
        <v>1202</v>
      </c>
      <c r="K597" t="s">
        <v>1203</v>
      </c>
      <c r="L597">
        <v>1</v>
      </c>
      <c r="M597">
        <v>2190</v>
      </c>
      <c r="N597">
        <v>0</v>
      </c>
      <c r="O597">
        <v>2190</v>
      </c>
      <c r="P597">
        <v>0.12</v>
      </c>
      <c r="Q597">
        <v>2190</v>
      </c>
      <c r="R597">
        <v>262.8</v>
      </c>
      <c r="S597">
        <v>2452.8000000000002</v>
      </c>
      <c r="T597">
        <f>ROUND(Table2[[#This Row],[TotalAmount]],0)</f>
        <v>2453</v>
      </c>
      <c r="U597" t="s">
        <v>1363</v>
      </c>
      <c r="V597" t="s">
        <v>1367</v>
      </c>
      <c r="W597" s="4">
        <v>45588</v>
      </c>
      <c r="X597" s="4" t="s">
        <v>1412</v>
      </c>
      <c r="Y597" t="b">
        <v>0</v>
      </c>
      <c r="Z597" t="s">
        <v>1412</v>
      </c>
      <c r="AA597" t="s">
        <v>1412</v>
      </c>
      <c r="AB597" t="s">
        <v>1412</v>
      </c>
      <c r="AC597" t="s">
        <v>1390</v>
      </c>
      <c r="AD597" t="s">
        <v>1397</v>
      </c>
      <c r="AE597" t="s">
        <v>1389</v>
      </c>
    </row>
    <row r="598" spans="1:31" x14ac:dyDescent="0.3">
      <c r="A598" t="s">
        <v>773</v>
      </c>
      <c r="B598" s="4">
        <v>45669.444444444453</v>
      </c>
      <c r="C598" t="s">
        <v>150</v>
      </c>
      <c r="D598" t="s">
        <v>1141</v>
      </c>
      <c r="E598" t="s">
        <v>1239</v>
      </c>
      <c r="F598" t="str" cm="1">
        <f t="array" ref="F598">_xlfn.IFS(
E598="Ahmedabad","Gujarat",
E598="Bengaluru","Karnataka",
E598="Bhopal","Madhya Pradesh",
E598="Bhubaneswar","Odisha",
E598="Chandigarh","Chandigarh",
E598="Chennai","Tamil Nadu",
E598="Delhi","Delhi",
E598="Guwahati","Assam",
E598="Hyderabad","Telangana",
E598="Indore","Madhya Pradesh",
E598="Jaipur","Rajasthan",
E598="Kochi","Kerala",
E598="Kolkata","West Bengal",
E598="Lucknow","Uttar Pradesh",
E598="Mumbai","Maharashtra",
E598="Nagpur","Maharashtra",
E598="Patna","Bihar",
E598="Pune","Maharashtra",
E598="Raipur","Chhattisgarh",
E598="Surat","Gujarat",
TRUE,"Not Found"
)</f>
        <v>Odisha</v>
      </c>
      <c r="G598" t="s">
        <v>1150</v>
      </c>
      <c r="H598" t="s">
        <v>1163</v>
      </c>
      <c r="I598" t="s">
        <v>1240</v>
      </c>
      <c r="J598" t="s">
        <v>1241</v>
      </c>
      <c r="K598" t="s">
        <v>1242</v>
      </c>
      <c r="L598">
        <v>2</v>
      </c>
      <c r="M598">
        <v>1115</v>
      </c>
      <c r="N598">
        <v>0</v>
      </c>
      <c r="O598">
        <v>1115</v>
      </c>
      <c r="P598">
        <v>0.12</v>
      </c>
      <c r="Q598">
        <v>2230</v>
      </c>
      <c r="R598">
        <v>267.60000000000002</v>
      </c>
      <c r="S598">
        <v>2497.6</v>
      </c>
      <c r="T598">
        <f>ROUND(Table2[[#This Row],[TotalAmount]],0)</f>
        <v>2498</v>
      </c>
      <c r="U598" t="s">
        <v>1366</v>
      </c>
      <c r="V598" t="s">
        <v>1361</v>
      </c>
      <c r="W598" s="4">
        <v>45670</v>
      </c>
      <c r="X598" s="4">
        <v>45672</v>
      </c>
      <c r="Y598" t="b">
        <v>0</v>
      </c>
      <c r="Z598" t="s">
        <v>1412</v>
      </c>
      <c r="AA598" t="s">
        <v>1412</v>
      </c>
      <c r="AB598" t="s">
        <v>1412</v>
      </c>
      <c r="AC598" t="s">
        <v>1384</v>
      </c>
      <c r="AD598" t="s">
        <v>1397</v>
      </c>
      <c r="AE598" t="s">
        <v>1395</v>
      </c>
    </row>
    <row r="599" spans="1:31" x14ac:dyDescent="0.3">
      <c r="A599" t="s">
        <v>774</v>
      </c>
      <c r="B599" s="4">
        <v>45298.481249999997</v>
      </c>
      <c r="C599" t="s">
        <v>179</v>
      </c>
      <c r="D599" t="s">
        <v>1141</v>
      </c>
      <c r="E599" t="s">
        <v>1239</v>
      </c>
      <c r="F599" t="str" cm="1">
        <f t="array" ref="F599">_xlfn.IFS(
E599="Ahmedabad","Gujarat",
E599="Bengaluru","Karnataka",
E599="Bhopal","Madhya Pradesh",
E599="Bhubaneswar","Odisha",
E599="Chandigarh","Chandigarh",
E599="Chennai","Tamil Nadu",
E599="Delhi","Delhi",
E599="Guwahati","Assam",
E599="Hyderabad","Telangana",
E599="Indore","Madhya Pradesh",
E599="Jaipur","Rajasthan",
E599="Kochi","Kerala",
E599="Kolkata","West Bengal",
E599="Lucknow","Uttar Pradesh",
E599="Mumbai","Maharashtra",
E599="Nagpur","Maharashtra",
E599="Patna","Bihar",
E599="Pune","Maharashtra",
E599="Raipur","Chhattisgarh",
E599="Surat","Gujarat",
TRUE,"Not Found"
)</f>
        <v>Odisha</v>
      </c>
      <c r="G599" t="s">
        <v>1143</v>
      </c>
      <c r="H599" t="s">
        <v>1177</v>
      </c>
      <c r="I599" t="s">
        <v>1192</v>
      </c>
      <c r="J599" t="s">
        <v>1344</v>
      </c>
      <c r="K599" t="s">
        <v>1345</v>
      </c>
      <c r="L599">
        <v>3</v>
      </c>
      <c r="M599">
        <v>463</v>
      </c>
      <c r="N599">
        <v>0.1</v>
      </c>
      <c r="O599">
        <v>416.7</v>
      </c>
      <c r="P599">
        <v>0.12</v>
      </c>
      <c r="Q599">
        <v>1250.0999999999999</v>
      </c>
      <c r="R599">
        <v>150.012</v>
      </c>
      <c r="S599">
        <v>1400.1120000000001</v>
      </c>
      <c r="T599">
        <f>ROUND(Table2[[#This Row],[TotalAmount]],0)</f>
        <v>1400</v>
      </c>
      <c r="U599" t="s">
        <v>1363</v>
      </c>
      <c r="V599" t="s">
        <v>1361</v>
      </c>
      <c r="W599" s="4">
        <v>45298</v>
      </c>
      <c r="X599" s="4">
        <v>45303</v>
      </c>
      <c r="Y599" t="b">
        <v>0</v>
      </c>
      <c r="Z599" t="s">
        <v>1412</v>
      </c>
      <c r="AA599" t="s">
        <v>1412</v>
      </c>
      <c r="AB599" t="s">
        <v>1412</v>
      </c>
      <c r="AC599" t="s">
        <v>1388</v>
      </c>
      <c r="AD599" t="s">
        <v>1387</v>
      </c>
      <c r="AE599" t="s">
        <v>1378</v>
      </c>
    </row>
    <row r="600" spans="1:31" x14ac:dyDescent="0.3">
      <c r="A600" t="s">
        <v>775</v>
      </c>
      <c r="B600" s="4">
        <v>45670.43472222222</v>
      </c>
      <c r="C600" t="s">
        <v>510</v>
      </c>
      <c r="D600" t="s">
        <v>1153</v>
      </c>
      <c r="E600" t="s">
        <v>1191</v>
      </c>
      <c r="F600" t="str" cm="1">
        <f t="array" ref="F600">_xlfn.IFS(
E600="Ahmedabad","Gujarat",
E600="Bengaluru","Karnataka",
E600="Bhopal","Madhya Pradesh",
E600="Bhubaneswar","Odisha",
E600="Chandigarh","Chandigarh",
E600="Chennai","Tamil Nadu",
E600="Delhi","Delhi",
E600="Guwahati","Assam",
E600="Hyderabad","Telangana",
E600="Indore","Madhya Pradesh",
E600="Jaipur","Rajasthan",
E600="Kochi","Kerala",
E600="Kolkata","West Bengal",
E600="Lucknow","Uttar Pradesh",
E600="Mumbai","Maharashtra",
E600="Nagpur","Maharashtra",
E600="Patna","Bihar",
E600="Pune","Maharashtra",
E600="Raipur","Chhattisgarh",
E600="Surat","Gujarat",
TRUE,"Not Found"
)</f>
        <v>Madhya Pradesh</v>
      </c>
      <c r="G600" t="s">
        <v>1143</v>
      </c>
      <c r="H600" t="s">
        <v>1172</v>
      </c>
      <c r="I600" t="s">
        <v>1204</v>
      </c>
      <c r="J600" t="s">
        <v>1297</v>
      </c>
      <c r="K600" t="s">
        <v>1298</v>
      </c>
      <c r="L600">
        <v>1</v>
      </c>
      <c r="M600">
        <v>5453</v>
      </c>
      <c r="N600">
        <v>0</v>
      </c>
      <c r="O600">
        <v>5453</v>
      </c>
      <c r="P600">
        <v>0.12</v>
      </c>
      <c r="Q600">
        <v>5453</v>
      </c>
      <c r="R600">
        <v>654.36</v>
      </c>
      <c r="S600">
        <v>6107.36</v>
      </c>
      <c r="T600">
        <f>ROUND(Table2[[#This Row],[TotalAmount]],0)</f>
        <v>6107</v>
      </c>
      <c r="U600" t="s">
        <v>1363</v>
      </c>
      <c r="V600" t="s">
        <v>1361</v>
      </c>
      <c r="W600" s="4">
        <v>45671</v>
      </c>
      <c r="X600" s="4">
        <v>45676</v>
      </c>
      <c r="Y600" t="b">
        <v>0</v>
      </c>
      <c r="Z600" t="s">
        <v>1412</v>
      </c>
      <c r="AA600" t="s">
        <v>1412</v>
      </c>
      <c r="AB600" t="s">
        <v>1412</v>
      </c>
      <c r="AC600" t="s">
        <v>1382</v>
      </c>
      <c r="AD600" t="s">
        <v>1387</v>
      </c>
      <c r="AE600" t="s">
        <v>1378</v>
      </c>
    </row>
    <row r="601" spans="1:31" x14ac:dyDescent="0.3">
      <c r="A601" t="s">
        <v>776</v>
      </c>
      <c r="B601" s="4">
        <v>45300.525000000001</v>
      </c>
      <c r="C601" t="s">
        <v>208</v>
      </c>
      <c r="D601" t="s">
        <v>1157</v>
      </c>
      <c r="E601" t="s">
        <v>1201</v>
      </c>
      <c r="F601" t="str" cm="1">
        <f t="array" ref="F601">_xlfn.IFS(
E601="Ahmedabad","Gujarat",
E601="Bengaluru","Karnataka",
E601="Bhopal","Madhya Pradesh",
E601="Bhubaneswar","Odisha",
E601="Chandigarh","Chandigarh",
E601="Chennai","Tamil Nadu",
E601="Delhi","Delhi",
E601="Guwahati","Assam",
E601="Hyderabad","Telangana",
E601="Indore","Madhya Pradesh",
E601="Jaipur","Rajasthan",
E601="Kochi","Kerala",
E601="Kolkata","West Bengal",
E601="Lucknow","Uttar Pradesh",
E601="Mumbai","Maharashtra",
E601="Nagpur","Maharashtra",
E601="Patna","Bihar",
E601="Pune","Maharashtra",
E601="Raipur","Chhattisgarh",
E601="Surat","Gujarat",
TRUE,"Not Found"
)</f>
        <v>Maharashtra</v>
      </c>
      <c r="G601" t="s">
        <v>1143</v>
      </c>
      <c r="H601" t="s">
        <v>1167</v>
      </c>
      <c r="I601" t="s">
        <v>1168</v>
      </c>
      <c r="J601" t="s">
        <v>1169</v>
      </c>
      <c r="K601" t="s">
        <v>1170</v>
      </c>
      <c r="L601">
        <v>3</v>
      </c>
      <c r="M601">
        <v>25341</v>
      </c>
      <c r="N601">
        <v>0</v>
      </c>
      <c r="O601">
        <v>25341</v>
      </c>
      <c r="P601">
        <v>0.12</v>
      </c>
      <c r="Q601">
        <v>76023</v>
      </c>
      <c r="R601">
        <v>9122.76</v>
      </c>
      <c r="S601">
        <v>85145.76</v>
      </c>
      <c r="T601">
        <f>ROUND(Table2[[#This Row],[TotalAmount]],0)</f>
        <v>85146</v>
      </c>
      <c r="U601" t="s">
        <v>1360</v>
      </c>
      <c r="V601" t="s">
        <v>1361</v>
      </c>
      <c r="W601" s="4">
        <v>45301</v>
      </c>
      <c r="X601" s="4">
        <v>45305</v>
      </c>
      <c r="Y601" t="b">
        <v>0</v>
      </c>
      <c r="Z601" t="s">
        <v>1412</v>
      </c>
      <c r="AA601" t="s">
        <v>1412</v>
      </c>
      <c r="AB601" t="s">
        <v>1412</v>
      </c>
      <c r="AC601" t="s">
        <v>1386</v>
      </c>
      <c r="AD601" t="s">
        <v>1387</v>
      </c>
      <c r="AE601" t="s">
        <v>1395</v>
      </c>
    </row>
    <row r="602" spans="1:31" x14ac:dyDescent="0.3">
      <c r="A602" t="s">
        <v>777</v>
      </c>
      <c r="B602" s="4">
        <v>45298.465277777781</v>
      </c>
      <c r="C602" t="s">
        <v>343</v>
      </c>
      <c r="D602" t="s">
        <v>1182</v>
      </c>
      <c r="E602" t="s">
        <v>1207</v>
      </c>
      <c r="F602" t="str" cm="1">
        <f t="array" ref="F602">_xlfn.IFS(
E602="Ahmedabad","Gujarat",
E602="Bengaluru","Karnataka",
E602="Bhopal","Madhya Pradesh",
E602="Bhubaneswar","Odisha",
E602="Chandigarh","Chandigarh",
E602="Chennai","Tamil Nadu",
E602="Delhi","Delhi",
E602="Guwahati","Assam",
E602="Hyderabad","Telangana",
E602="Indore","Madhya Pradesh",
E602="Jaipur","Rajasthan",
E602="Kochi","Kerala",
E602="Kolkata","West Bengal",
E602="Lucknow","Uttar Pradesh",
E602="Mumbai","Maharashtra",
E602="Nagpur","Maharashtra",
E602="Patna","Bihar",
E602="Pune","Maharashtra",
E602="Raipur","Chhattisgarh",
E602="Surat","Gujarat",
TRUE,"Not Found"
)</f>
        <v>Tamil Nadu</v>
      </c>
      <c r="G602" t="s">
        <v>1187</v>
      </c>
      <c r="H602" t="s">
        <v>1172</v>
      </c>
      <c r="I602" t="s">
        <v>1188</v>
      </c>
      <c r="J602" t="s">
        <v>1189</v>
      </c>
      <c r="K602" t="s">
        <v>1190</v>
      </c>
      <c r="L602">
        <v>1</v>
      </c>
      <c r="M602">
        <v>9270</v>
      </c>
      <c r="N602">
        <v>0</v>
      </c>
      <c r="O602">
        <v>9270</v>
      </c>
      <c r="P602">
        <v>0.05</v>
      </c>
      <c r="Q602">
        <v>9270</v>
      </c>
      <c r="R602">
        <v>463.5</v>
      </c>
      <c r="S602">
        <v>9733.5</v>
      </c>
      <c r="T602">
        <f>ROUND(Table2[[#This Row],[TotalAmount]],0)</f>
        <v>9734</v>
      </c>
      <c r="U602" t="s">
        <v>1362</v>
      </c>
      <c r="V602" t="s">
        <v>1361</v>
      </c>
      <c r="W602" s="4">
        <v>45299</v>
      </c>
      <c r="X602" s="4">
        <v>45302</v>
      </c>
      <c r="Y602" t="b">
        <v>0</v>
      </c>
      <c r="Z602" t="s">
        <v>1412</v>
      </c>
      <c r="AA602" t="s">
        <v>1412</v>
      </c>
      <c r="AB602" t="s">
        <v>1412</v>
      </c>
      <c r="AC602" t="s">
        <v>1392</v>
      </c>
      <c r="AD602" t="s">
        <v>1377</v>
      </c>
      <c r="AE602" t="s">
        <v>1393</v>
      </c>
    </row>
    <row r="603" spans="1:31" x14ac:dyDescent="0.3">
      <c r="A603" t="s">
        <v>778</v>
      </c>
      <c r="B603" s="4">
        <v>45711.65</v>
      </c>
      <c r="C603" t="s">
        <v>421</v>
      </c>
      <c r="D603" t="s">
        <v>1182</v>
      </c>
      <c r="E603" t="s">
        <v>1207</v>
      </c>
      <c r="F603" t="str" cm="1">
        <f t="array" ref="F603">_xlfn.IFS(
E603="Ahmedabad","Gujarat",
E603="Bengaluru","Karnataka",
E603="Bhopal","Madhya Pradesh",
E603="Bhubaneswar","Odisha",
E603="Chandigarh","Chandigarh",
E603="Chennai","Tamil Nadu",
E603="Delhi","Delhi",
E603="Guwahati","Assam",
E603="Hyderabad","Telangana",
E603="Indore","Madhya Pradesh",
E603="Jaipur","Rajasthan",
E603="Kochi","Kerala",
E603="Kolkata","West Bengal",
E603="Lucknow","Uttar Pradesh",
E603="Mumbai","Maharashtra",
E603="Nagpur","Maharashtra",
E603="Patna","Bihar",
E603="Pune","Maharashtra",
E603="Raipur","Chhattisgarh",
E603="Surat","Gujarat",
TRUE,"Not Found"
)</f>
        <v>Tamil Nadu</v>
      </c>
      <c r="G603" t="s">
        <v>1228</v>
      </c>
      <c r="H603" t="s">
        <v>1177</v>
      </c>
      <c r="I603" t="s">
        <v>1236</v>
      </c>
      <c r="J603" t="s">
        <v>1237</v>
      </c>
      <c r="K603" t="s">
        <v>1238</v>
      </c>
      <c r="L603">
        <v>2</v>
      </c>
      <c r="M603">
        <v>1396</v>
      </c>
      <c r="N603">
        <v>0.2</v>
      </c>
      <c r="O603">
        <v>1116.8</v>
      </c>
      <c r="P603">
        <v>0.12</v>
      </c>
      <c r="Q603">
        <v>2233.6</v>
      </c>
      <c r="R603">
        <v>268.03199999999998</v>
      </c>
      <c r="S603">
        <v>2501.6320000000001</v>
      </c>
      <c r="T603">
        <f>ROUND(Table2[[#This Row],[TotalAmount]],0)</f>
        <v>2502</v>
      </c>
      <c r="U603" t="s">
        <v>1363</v>
      </c>
      <c r="V603" t="s">
        <v>1361</v>
      </c>
      <c r="W603" s="4">
        <v>45713</v>
      </c>
      <c r="X603" s="4">
        <v>45714</v>
      </c>
      <c r="Y603" t="b">
        <v>0</v>
      </c>
      <c r="Z603" t="s">
        <v>1412</v>
      </c>
      <c r="AA603" t="s">
        <v>1412</v>
      </c>
      <c r="AB603" t="s">
        <v>1412</v>
      </c>
      <c r="AC603" t="s">
        <v>1379</v>
      </c>
      <c r="AD603" t="s">
        <v>1385</v>
      </c>
      <c r="AE603" t="s">
        <v>1378</v>
      </c>
    </row>
    <row r="604" spans="1:31" x14ac:dyDescent="0.3">
      <c r="A604" t="s">
        <v>779</v>
      </c>
      <c r="B604" s="4">
        <v>45519.486805555563</v>
      </c>
      <c r="C604" t="s">
        <v>457</v>
      </c>
      <c r="D604" t="s">
        <v>1157</v>
      </c>
      <c r="E604" t="s">
        <v>1158</v>
      </c>
      <c r="F604" t="str" cm="1">
        <f t="array" ref="F604">_xlfn.IFS(
E604="Ahmedabad","Gujarat",
E604="Bengaluru","Karnataka",
E604="Bhopal","Madhya Pradesh",
E604="Bhubaneswar","Odisha",
E604="Chandigarh","Chandigarh",
E604="Chennai","Tamil Nadu",
E604="Delhi","Delhi",
E604="Guwahati","Assam",
E604="Hyderabad","Telangana",
E604="Indore","Madhya Pradesh",
E604="Jaipur","Rajasthan",
E604="Kochi","Kerala",
E604="Kolkata","West Bengal",
E604="Lucknow","Uttar Pradesh",
E604="Mumbai","Maharashtra",
E604="Nagpur","Maharashtra",
E604="Patna","Bihar",
E604="Pune","Maharashtra",
E604="Raipur","Chhattisgarh",
E604="Surat","Gujarat",
TRUE,"Not Found"
)</f>
        <v>Gujarat</v>
      </c>
      <c r="G604" t="s">
        <v>1143</v>
      </c>
      <c r="H604" t="s">
        <v>1167</v>
      </c>
      <c r="I604" t="s">
        <v>1208</v>
      </c>
      <c r="J604" t="s">
        <v>1209</v>
      </c>
      <c r="K604" t="s">
        <v>1210</v>
      </c>
      <c r="L604">
        <v>3</v>
      </c>
      <c r="M604">
        <v>36685</v>
      </c>
      <c r="N604">
        <v>0.15</v>
      </c>
      <c r="O604">
        <v>31182.25</v>
      </c>
      <c r="P604">
        <v>0.12</v>
      </c>
      <c r="Q604">
        <v>93546.75</v>
      </c>
      <c r="R604">
        <v>11225.61</v>
      </c>
      <c r="S604">
        <v>104772.36</v>
      </c>
      <c r="T604">
        <f>ROUND(Table2[[#This Row],[TotalAmount]],0)</f>
        <v>104772</v>
      </c>
      <c r="U604" t="s">
        <v>1365</v>
      </c>
      <c r="V604" t="s">
        <v>1361</v>
      </c>
      <c r="W604" s="4">
        <v>45521</v>
      </c>
      <c r="X604" s="4">
        <v>45524</v>
      </c>
      <c r="Y604" t="b">
        <v>0</v>
      </c>
      <c r="Z604" t="s">
        <v>1412</v>
      </c>
      <c r="AA604" t="s">
        <v>1412</v>
      </c>
      <c r="AB604" t="s">
        <v>1412</v>
      </c>
      <c r="AC604" t="s">
        <v>1392</v>
      </c>
      <c r="AD604" t="s">
        <v>1394</v>
      </c>
      <c r="AE604" t="s">
        <v>1395</v>
      </c>
    </row>
    <row r="605" spans="1:31" x14ac:dyDescent="0.3">
      <c r="A605" t="s">
        <v>780</v>
      </c>
      <c r="B605" s="4">
        <v>45508.479166666657</v>
      </c>
      <c r="C605" t="s">
        <v>781</v>
      </c>
      <c r="D605" t="s">
        <v>1153</v>
      </c>
      <c r="E605" t="s">
        <v>1191</v>
      </c>
      <c r="F605" t="str" cm="1">
        <f t="array" ref="F605">_xlfn.IFS(
E605="Ahmedabad","Gujarat",
E605="Bengaluru","Karnataka",
E605="Bhopal","Madhya Pradesh",
E605="Bhubaneswar","Odisha",
E605="Chandigarh","Chandigarh",
E605="Chennai","Tamil Nadu",
E605="Delhi","Delhi",
E605="Guwahati","Assam",
E605="Hyderabad","Telangana",
E605="Indore","Madhya Pradesh",
E605="Jaipur","Rajasthan",
E605="Kochi","Kerala",
E605="Kolkata","West Bengal",
E605="Lucknow","Uttar Pradesh",
E605="Mumbai","Maharashtra",
E605="Nagpur","Maharashtra",
E605="Patna","Bihar",
E605="Pune","Maharashtra",
E605="Raipur","Chhattisgarh",
E605="Surat","Gujarat",
TRUE,"Not Found"
)</f>
        <v>Madhya Pradesh</v>
      </c>
      <c r="G605" t="s">
        <v>1143</v>
      </c>
      <c r="H605" t="s">
        <v>1144</v>
      </c>
      <c r="I605" t="s">
        <v>1276</v>
      </c>
      <c r="J605" t="s">
        <v>1277</v>
      </c>
      <c r="K605" t="s">
        <v>1278</v>
      </c>
      <c r="L605">
        <v>3</v>
      </c>
      <c r="M605">
        <v>3152</v>
      </c>
      <c r="N605">
        <v>0.15</v>
      </c>
      <c r="O605">
        <v>2679.2</v>
      </c>
      <c r="P605">
        <v>0.12</v>
      </c>
      <c r="Q605">
        <v>8037.5999999999995</v>
      </c>
      <c r="R605">
        <v>964.51199999999994</v>
      </c>
      <c r="S605">
        <v>9002.1119999999992</v>
      </c>
      <c r="T605">
        <f>ROUND(Table2[[#This Row],[TotalAmount]],0)</f>
        <v>9002</v>
      </c>
      <c r="U605" t="s">
        <v>1362</v>
      </c>
      <c r="V605" t="s">
        <v>1361</v>
      </c>
      <c r="W605" s="4">
        <v>45509</v>
      </c>
      <c r="X605" s="4">
        <v>45513</v>
      </c>
      <c r="Y605" t="b">
        <v>0</v>
      </c>
      <c r="Z605" t="s">
        <v>1412</v>
      </c>
      <c r="AA605" t="s">
        <v>1412</v>
      </c>
      <c r="AB605" t="s">
        <v>1412</v>
      </c>
      <c r="AC605" t="s">
        <v>1392</v>
      </c>
      <c r="AD605" t="s">
        <v>1399</v>
      </c>
      <c r="AE605" t="s">
        <v>1395</v>
      </c>
    </row>
    <row r="606" spans="1:31" x14ac:dyDescent="0.3">
      <c r="A606" t="s">
        <v>782</v>
      </c>
      <c r="B606" s="4">
        <v>45655.547222222223</v>
      </c>
      <c r="C606" t="s">
        <v>6</v>
      </c>
      <c r="D606" t="s">
        <v>1148</v>
      </c>
      <c r="E606" t="s">
        <v>1149</v>
      </c>
      <c r="F606" t="str" cm="1">
        <f t="array" ref="F606">_xlfn.IFS(
E606="Ahmedabad","Gujarat",
E606="Bengaluru","Karnataka",
E606="Bhopal","Madhya Pradesh",
E606="Bhubaneswar","Odisha",
E606="Chandigarh","Chandigarh",
E606="Chennai","Tamil Nadu",
E606="Delhi","Delhi",
E606="Guwahati","Assam",
E606="Hyderabad","Telangana",
E606="Indore","Madhya Pradesh",
E606="Jaipur","Rajasthan",
E606="Kochi","Kerala",
E606="Kolkata","West Bengal",
E606="Lucknow","Uttar Pradesh",
E606="Mumbai","Maharashtra",
E606="Nagpur","Maharashtra",
E606="Patna","Bihar",
E606="Pune","Maharashtra",
E606="Raipur","Chhattisgarh",
E606="Surat","Gujarat",
TRUE,"Not Found"
)</f>
        <v>Uttar Pradesh</v>
      </c>
      <c r="G606" t="s">
        <v>1143</v>
      </c>
      <c r="H606" t="s">
        <v>1163</v>
      </c>
      <c r="I606" t="s">
        <v>1184</v>
      </c>
      <c r="J606" t="s">
        <v>1185</v>
      </c>
      <c r="K606" t="s">
        <v>1186</v>
      </c>
      <c r="L606">
        <v>3</v>
      </c>
      <c r="M606">
        <v>631</v>
      </c>
      <c r="N606">
        <v>0.05</v>
      </c>
      <c r="O606">
        <v>599.44999999999993</v>
      </c>
      <c r="P606">
        <v>0.12</v>
      </c>
      <c r="Q606">
        <v>1798.35</v>
      </c>
      <c r="R606">
        <v>215.80199999999999</v>
      </c>
      <c r="S606">
        <v>2014.152</v>
      </c>
      <c r="T606">
        <f>ROUND(Table2[[#This Row],[TotalAmount]],0)</f>
        <v>2014</v>
      </c>
      <c r="U606" t="s">
        <v>1362</v>
      </c>
      <c r="V606" t="s">
        <v>1361</v>
      </c>
      <c r="W606" s="4">
        <v>45657</v>
      </c>
      <c r="X606" s="4">
        <v>45658</v>
      </c>
      <c r="Y606" t="b">
        <v>0</v>
      </c>
      <c r="Z606" t="s">
        <v>1412</v>
      </c>
      <c r="AA606" t="s">
        <v>1412</v>
      </c>
      <c r="AB606" t="s">
        <v>1412</v>
      </c>
      <c r="AC606" t="s">
        <v>1382</v>
      </c>
      <c r="AD606" t="s">
        <v>1394</v>
      </c>
      <c r="AE606" t="s">
        <v>1383</v>
      </c>
    </row>
    <row r="607" spans="1:31" x14ac:dyDescent="0.3">
      <c r="A607" t="s">
        <v>783</v>
      </c>
      <c r="B607" s="4">
        <v>45745.507638888892</v>
      </c>
      <c r="C607" t="s">
        <v>115</v>
      </c>
      <c r="D607" t="s">
        <v>1157</v>
      </c>
      <c r="E607" t="s">
        <v>1249</v>
      </c>
      <c r="F607" t="str" cm="1">
        <f t="array" ref="F607">_xlfn.IFS(
E607="Ahmedabad","Gujarat",
E607="Bengaluru","Karnataka",
E607="Bhopal","Madhya Pradesh",
E607="Bhubaneswar","Odisha",
E607="Chandigarh","Chandigarh",
E607="Chennai","Tamil Nadu",
E607="Delhi","Delhi",
E607="Guwahati","Assam",
E607="Hyderabad","Telangana",
E607="Indore","Madhya Pradesh",
E607="Jaipur","Rajasthan",
E607="Kochi","Kerala",
E607="Kolkata","West Bengal",
E607="Lucknow","Uttar Pradesh",
E607="Mumbai","Maharashtra",
E607="Nagpur","Maharashtra",
E607="Patna","Bihar",
E607="Pune","Maharashtra",
E607="Raipur","Chhattisgarh",
E607="Surat","Gujarat",
TRUE,"Not Found"
)</f>
        <v>Maharashtra</v>
      </c>
      <c r="G607" t="s">
        <v>1150</v>
      </c>
      <c r="H607" t="s">
        <v>1172</v>
      </c>
      <c r="I607" t="s">
        <v>1204</v>
      </c>
      <c r="J607" t="s">
        <v>1297</v>
      </c>
      <c r="K607" t="s">
        <v>1298</v>
      </c>
      <c r="L607">
        <v>4</v>
      </c>
      <c r="M607">
        <v>1969</v>
      </c>
      <c r="N607">
        <v>0.15</v>
      </c>
      <c r="O607">
        <v>1673.65</v>
      </c>
      <c r="P607">
        <v>0.12</v>
      </c>
      <c r="Q607">
        <v>6694.5999999999995</v>
      </c>
      <c r="R607">
        <v>803.35199999999986</v>
      </c>
      <c r="S607">
        <v>7497.9519999999993</v>
      </c>
      <c r="T607">
        <f>ROUND(Table2[[#This Row],[TotalAmount]],0)</f>
        <v>7498</v>
      </c>
      <c r="U607" t="s">
        <v>1360</v>
      </c>
      <c r="V607" t="s">
        <v>1361</v>
      </c>
      <c r="W607" s="4">
        <v>45747</v>
      </c>
      <c r="X607" s="4">
        <v>45751</v>
      </c>
      <c r="Y607" t="b">
        <v>0</v>
      </c>
      <c r="Z607" t="s">
        <v>1412</v>
      </c>
      <c r="AA607" t="s">
        <v>1412</v>
      </c>
      <c r="AB607" t="s">
        <v>1412</v>
      </c>
      <c r="AC607" t="s">
        <v>1388</v>
      </c>
      <c r="AD607" t="s">
        <v>1394</v>
      </c>
      <c r="AE607" t="s">
        <v>1383</v>
      </c>
    </row>
    <row r="608" spans="1:31" x14ac:dyDescent="0.3">
      <c r="A608" t="s">
        <v>784</v>
      </c>
      <c r="B608" s="4">
        <v>45524.479166666657</v>
      </c>
      <c r="C608" t="s">
        <v>173</v>
      </c>
      <c r="D608" t="s">
        <v>1153</v>
      </c>
      <c r="E608" t="s">
        <v>1176</v>
      </c>
      <c r="F608" t="str" cm="1">
        <f t="array" ref="F608">_xlfn.IFS(
E608="Ahmedabad","Gujarat",
E608="Bengaluru","Karnataka",
E608="Bhopal","Madhya Pradesh",
E608="Bhubaneswar","Odisha",
E608="Chandigarh","Chandigarh",
E608="Chennai","Tamil Nadu",
E608="Delhi","Delhi",
E608="Guwahati","Assam",
E608="Hyderabad","Telangana",
E608="Indore","Madhya Pradesh",
E608="Jaipur","Rajasthan",
E608="Kochi","Kerala",
E608="Kolkata","West Bengal",
E608="Lucknow","Uttar Pradesh",
E608="Mumbai","Maharashtra",
E608="Nagpur","Maharashtra",
E608="Patna","Bihar",
E608="Pune","Maharashtra",
E608="Raipur","Chhattisgarh",
E608="Surat","Gujarat",
TRUE,"Not Found"
)</f>
        <v>Chhattisgarh</v>
      </c>
      <c r="G608" t="s">
        <v>1228</v>
      </c>
      <c r="H608" t="s">
        <v>1144</v>
      </c>
      <c r="I608" t="s">
        <v>1159</v>
      </c>
      <c r="J608" t="s">
        <v>1272</v>
      </c>
      <c r="K608" t="s">
        <v>1273</v>
      </c>
      <c r="L608">
        <v>1</v>
      </c>
      <c r="M608">
        <v>2769</v>
      </c>
      <c r="N608">
        <v>0</v>
      </c>
      <c r="O608">
        <v>2769</v>
      </c>
      <c r="P608">
        <v>0.05</v>
      </c>
      <c r="Q608">
        <v>2769</v>
      </c>
      <c r="R608">
        <v>138.44999999999999</v>
      </c>
      <c r="S608">
        <v>2907.45</v>
      </c>
      <c r="T608">
        <f>ROUND(Table2[[#This Row],[TotalAmount]],0)</f>
        <v>2907</v>
      </c>
      <c r="U608" t="s">
        <v>1360</v>
      </c>
      <c r="V608" t="s">
        <v>1361</v>
      </c>
      <c r="W608" s="4">
        <v>45524</v>
      </c>
      <c r="X608" s="4">
        <v>45528</v>
      </c>
      <c r="Y608" t="b">
        <v>0</v>
      </c>
      <c r="Z608" t="s">
        <v>1412</v>
      </c>
      <c r="AA608" t="s">
        <v>1412</v>
      </c>
      <c r="AB608" t="s">
        <v>1412</v>
      </c>
      <c r="AC608" t="s">
        <v>1376</v>
      </c>
      <c r="AD608" t="s">
        <v>1397</v>
      </c>
      <c r="AE608" t="s">
        <v>1391</v>
      </c>
    </row>
    <row r="609" spans="1:31" x14ac:dyDescent="0.3">
      <c r="A609" t="s">
        <v>785</v>
      </c>
      <c r="B609" s="4">
        <v>45570.459722222222</v>
      </c>
      <c r="C609" t="s">
        <v>320</v>
      </c>
      <c r="D609" t="s">
        <v>1153</v>
      </c>
      <c r="E609" t="s">
        <v>1162</v>
      </c>
      <c r="F609" t="str" cm="1">
        <f t="array" ref="F609">_xlfn.IFS(
E609="Ahmedabad","Gujarat",
E609="Bengaluru","Karnataka",
E609="Bhopal","Madhya Pradesh",
E609="Bhubaneswar","Odisha",
E609="Chandigarh","Chandigarh",
E609="Chennai","Tamil Nadu",
E609="Delhi","Delhi",
E609="Guwahati","Assam",
E609="Hyderabad","Telangana",
E609="Indore","Madhya Pradesh",
E609="Jaipur","Rajasthan",
E609="Kochi","Kerala",
E609="Kolkata","West Bengal",
E609="Lucknow","Uttar Pradesh",
E609="Mumbai","Maharashtra",
E609="Nagpur","Maharashtra",
E609="Patna","Bihar",
E609="Pune","Maharashtra",
E609="Raipur","Chhattisgarh",
E609="Surat","Gujarat",
TRUE,"Not Found"
)</f>
        <v>Madhya Pradesh</v>
      </c>
      <c r="G609" t="s">
        <v>1150</v>
      </c>
      <c r="H609" t="s">
        <v>1167</v>
      </c>
      <c r="I609" t="s">
        <v>1288</v>
      </c>
      <c r="J609" t="s">
        <v>1293</v>
      </c>
      <c r="K609" t="s">
        <v>1294</v>
      </c>
      <c r="L609">
        <v>1</v>
      </c>
      <c r="M609">
        <v>20152</v>
      </c>
      <c r="N609">
        <v>0</v>
      </c>
      <c r="O609">
        <v>20152</v>
      </c>
      <c r="P609">
        <v>0.12</v>
      </c>
      <c r="Q609">
        <v>20152</v>
      </c>
      <c r="R609">
        <v>2418.2399999999998</v>
      </c>
      <c r="S609">
        <v>22570.240000000002</v>
      </c>
      <c r="T609">
        <f>ROUND(Table2[[#This Row],[TotalAmount]],0)</f>
        <v>22570</v>
      </c>
      <c r="U609" t="s">
        <v>1360</v>
      </c>
      <c r="V609" t="s">
        <v>1361</v>
      </c>
      <c r="W609" s="4">
        <v>45571</v>
      </c>
      <c r="X609" s="4">
        <v>45573</v>
      </c>
      <c r="Y609" t="b">
        <v>0</v>
      </c>
      <c r="Z609" t="s">
        <v>1412</v>
      </c>
      <c r="AA609" t="s">
        <v>1412</v>
      </c>
      <c r="AB609" t="s">
        <v>1412</v>
      </c>
      <c r="AC609" t="s">
        <v>1376</v>
      </c>
      <c r="AD609" t="s">
        <v>1385</v>
      </c>
      <c r="AE609" t="s">
        <v>1383</v>
      </c>
    </row>
    <row r="610" spans="1:31" x14ac:dyDescent="0.3">
      <c r="A610" t="s">
        <v>786</v>
      </c>
      <c r="B610" s="4">
        <v>45575.472916666673</v>
      </c>
      <c r="C610" t="s">
        <v>627</v>
      </c>
      <c r="D610" t="s">
        <v>1182</v>
      </c>
      <c r="E610" t="s">
        <v>1256</v>
      </c>
      <c r="F610" t="str" cm="1">
        <f t="array" ref="F610">_xlfn.IFS(
E610="Ahmedabad","Gujarat",
E610="Bengaluru","Karnataka",
E610="Bhopal","Madhya Pradesh",
E610="Bhubaneswar","Odisha",
E610="Chandigarh","Chandigarh",
E610="Chennai","Tamil Nadu",
E610="Delhi","Delhi",
E610="Guwahati","Assam",
E610="Hyderabad","Telangana",
E610="Indore","Madhya Pradesh",
E610="Jaipur","Rajasthan",
E610="Kochi","Kerala",
E610="Kolkata","West Bengal",
E610="Lucknow","Uttar Pradesh",
E610="Mumbai","Maharashtra",
E610="Nagpur","Maharashtra",
E610="Patna","Bihar",
E610="Pune","Maharashtra",
E610="Raipur","Chhattisgarh",
E610="Surat","Gujarat",
TRUE,"Not Found"
)</f>
        <v>Karnataka</v>
      </c>
      <c r="G610" t="s">
        <v>1143</v>
      </c>
      <c r="H610" t="s">
        <v>1144</v>
      </c>
      <c r="I610" t="s">
        <v>1145</v>
      </c>
      <c r="J610" t="s">
        <v>1146</v>
      </c>
      <c r="K610" t="s">
        <v>1147</v>
      </c>
      <c r="L610">
        <v>3</v>
      </c>
      <c r="M610">
        <v>11334</v>
      </c>
      <c r="N610">
        <v>0</v>
      </c>
      <c r="O610">
        <v>11334</v>
      </c>
      <c r="P610">
        <v>0.12</v>
      </c>
      <c r="Q610">
        <v>34002</v>
      </c>
      <c r="R610">
        <v>4080.24</v>
      </c>
      <c r="S610">
        <v>38082.239999999998</v>
      </c>
      <c r="T610">
        <f>ROUND(Table2[[#This Row],[TotalAmount]],0)</f>
        <v>38082</v>
      </c>
      <c r="U610" t="s">
        <v>1366</v>
      </c>
      <c r="V610" t="s">
        <v>1361</v>
      </c>
      <c r="W610" s="4">
        <v>45575</v>
      </c>
      <c r="X610" s="4">
        <v>45577</v>
      </c>
      <c r="Y610" t="b">
        <v>0</v>
      </c>
      <c r="Z610" t="s">
        <v>1412</v>
      </c>
      <c r="AA610" t="s">
        <v>1412</v>
      </c>
      <c r="AB610" t="s">
        <v>1412</v>
      </c>
      <c r="AC610" t="s">
        <v>1376</v>
      </c>
      <c r="AD610" t="s">
        <v>1399</v>
      </c>
      <c r="AE610" t="s">
        <v>1395</v>
      </c>
    </row>
    <row r="611" spans="1:31" x14ac:dyDescent="0.3">
      <c r="A611" t="s">
        <v>787</v>
      </c>
      <c r="B611" s="4">
        <v>45456.538888888892</v>
      </c>
      <c r="C611" t="s">
        <v>57</v>
      </c>
      <c r="D611" t="s">
        <v>1153</v>
      </c>
      <c r="E611" t="s">
        <v>1176</v>
      </c>
      <c r="F611" t="str" cm="1">
        <f t="array" ref="F611">_xlfn.IFS(
E611="Ahmedabad","Gujarat",
E611="Bengaluru","Karnataka",
E611="Bhopal","Madhya Pradesh",
E611="Bhubaneswar","Odisha",
E611="Chandigarh","Chandigarh",
E611="Chennai","Tamil Nadu",
E611="Delhi","Delhi",
E611="Guwahati","Assam",
E611="Hyderabad","Telangana",
E611="Indore","Madhya Pradesh",
E611="Jaipur","Rajasthan",
E611="Kochi","Kerala",
E611="Kolkata","West Bengal",
E611="Lucknow","Uttar Pradesh",
E611="Mumbai","Maharashtra",
E611="Nagpur","Maharashtra",
E611="Patna","Bihar",
E611="Pune","Maharashtra",
E611="Raipur","Chhattisgarh",
E611="Surat","Gujarat",
TRUE,"Not Found"
)</f>
        <v>Chhattisgarh</v>
      </c>
      <c r="G611" t="s">
        <v>1143</v>
      </c>
      <c r="H611" t="s">
        <v>1163</v>
      </c>
      <c r="I611" t="s">
        <v>1164</v>
      </c>
      <c r="J611" t="s">
        <v>1165</v>
      </c>
      <c r="K611" t="s">
        <v>1166</v>
      </c>
      <c r="L611">
        <v>3</v>
      </c>
      <c r="M611">
        <v>967</v>
      </c>
      <c r="N611">
        <v>0</v>
      </c>
      <c r="O611">
        <v>967</v>
      </c>
      <c r="P611">
        <v>0.18</v>
      </c>
      <c r="Q611">
        <v>2901</v>
      </c>
      <c r="R611">
        <v>522.17999999999995</v>
      </c>
      <c r="S611">
        <v>3423.18</v>
      </c>
      <c r="T611">
        <f>ROUND(Table2[[#This Row],[TotalAmount]],0)</f>
        <v>3423</v>
      </c>
      <c r="U611" t="s">
        <v>1362</v>
      </c>
      <c r="V611" t="s">
        <v>1368</v>
      </c>
      <c r="W611" s="4">
        <v>45457</v>
      </c>
      <c r="X611" s="4" t="s">
        <v>1412</v>
      </c>
      <c r="Y611" t="b">
        <v>0</v>
      </c>
      <c r="Z611" t="s">
        <v>1412</v>
      </c>
      <c r="AA611" t="s">
        <v>1412</v>
      </c>
      <c r="AB611" t="s">
        <v>1412</v>
      </c>
      <c r="AC611" t="s">
        <v>1396</v>
      </c>
      <c r="AD611" t="s">
        <v>1387</v>
      </c>
      <c r="AE611" t="s">
        <v>1380</v>
      </c>
    </row>
    <row r="612" spans="1:31" x14ac:dyDescent="0.3">
      <c r="A612" t="s">
        <v>788</v>
      </c>
      <c r="B612" s="4">
        <v>45376.577777777777</v>
      </c>
      <c r="C612" t="s">
        <v>67</v>
      </c>
      <c r="D612" t="s">
        <v>1148</v>
      </c>
      <c r="E612" t="s">
        <v>1149</v>
      </c>
      <c r="F612" t="str" cm="1">
        <f t="array" ref="F612">_xlfn.IFS(
E612="Ahmedabad","Gujarat",
E612="Bengaluru","Karnataka",
E612="Bhopal","Madhya Pradesh",
E612="Bhubaneswar","Odisha",
E612="Chandigarh","Chandigarh",
E612="Chennai","Tamil Nadu",
E612="Delhi","Delhi",
E612="Guwahati","Assam",
E612="Hyderabad","Telangana",
E612="Indore","Madhya Pradesh",
E612="Jaipur","Rajasthan",
E612="Kochi","Kerala",
E612="Kolkata","West Bengal",
E612="Lucknow","Uttar Pradesh",
E612="Mumbai","Maharashtra",
E612="Nagpur","Maharashtra",
E612="Patna","Bihar",
E612="Pune","Maharashtra",
E612="Raipur","Chhattisgarh",
E612="Surat","Gujarat",
TRUE,"Not Found"
)</f>
        <v>Uttar Pradesh</v>
      </c>
      <c r="G612" t="s">
        <v>1143</v>
      </c>
      <c r="H612" t="s">
        <v>1163</v>
      </c>
      <c r="I612" t="s">
        <v>1184</v>
      </c>
      <c r="J612" t="s">
        <v>1185</v>
      </c>
      <c r="K612" t="s">
        <v>1186</v>
      </c>
      <c r="L612">
        <v>1</v>
      </c>
      <c r="M612">
        <v>669</v>
      </c>
      <c r="N612">
        <v>0.2</v>
      </c>
      <c r="O612">
        <v>535.20000000000005</v>
      </c>
      <c r="P612">
        <v>0.12</v>
      </c>
      <c r="Q612">
        <v>535.20000000000005</v>
      </c>
      <c r="R612">
        <v>64.224000000000004</v>
      </c>
      <c r="S612">
        <v>599.42400000000009</v>
      </c>
      <c r="T612">
        <f>ROUND(Table2[[#This Row],[TotalAmount]],0)</f>
        <v>599</v>
      </c>
      <c r="U612" t="s">
        <v>1363</v>
      </c>
      <c r="V612" t="s">
        <v>1361</v>
      </c>
      <c r="W612" s="4">
        <v>45378</v>
      </c>
      <c r="X612" s="4">
        <v>45383</v>
      </c>
      <c r="Y612" t="b">
        <v>0</v>
      </c>
      <c r="Z612" t="s">
        <v>1412</v>
      </c>
      <c r="AA612" t="s">
        <v>1412</v>
      </c>
      <c r="AB612" t="s">
        <v>1412</v>
      </c>
      <c r="AC612" t="s">
        <v>1390</v>
      </c>
      <c r="AD612" t="s">
        <v>1394</v>
      </c>
      <c r="AE612" t="s">
        <v>1383</v>
      </c>
    </row>
    <row r="613" spans="1:31" x14ac:dyDescent="0.3">
      <c r="A613" t="s">
        <v>789</v>
      </c>
      <c r="B613" s="4">
        <v>45384.620138888888</v>
      </c>
      <c r="C613" t="s">
        <v>545</v>
      </c>
      <c r="D613" t="s">
        <v>1148</v>
      </c>
      <c r="E613" t="s">
        <v>1171</v>
      </c>
      <c r="F613" t="str" cm="1">
        <f t="array" ref="F613">_xlfn.IFS(
E613="Ahmedabad","Gujarat",
E613="Bengaluru","Karnataka",
E613="Bhopal","Madhya Pradesh",
E613="Bhubaneswar","Odisha",
E613="Chandigarh","Chandigarh",
E613="Chennai","Tamil Nadu",
E613="Delhi","Delhi",
E613="Guwahati","Assam",
E613="Hyderabad","Telangana",
E613="Indore","Madhya Pradesh",
E613="Jaipur","Rajasthan",
E613="Kochi","Kerala",
E613="Kolkata","West Bengal",
E613="Lucknow","Uttar Pradesh",
E613="Mumbai","Maharashtra",
E613="Nagpur","Maharashtra",
E613="Patna","Bihar",
E613="Pune","Maharashtra",
E613="Raipur","Chhattisgarh",
E613="Surat","Gujarat",
TRUE,"Not Found"
)</f>
        <v>Chandigarh</v>
      </c>
      <c r="G613" t="s">
        <v>1150</v>
      </c>
      <c r="H613" t="s">
        <v>1167</v>
      </c>
      <c r="I613" t="s">
        <v>1263</v>
      </c>
      <c r="J613" t="s">
        <v>1346</v>
      </c>
      <c r="K613" t="s">
        <v>1347</v>
      </c>
      <c r="L613">
        <v>3</v>
      </c>
      <c r="M613">
        <v>29704</v>
      </c>
      <c r="N613">
        <v>0</v>
      </c>
      <c r="O613">
        <v>29704</v>
      </c>
      <c r="P613">
        <v>0.12</v>
      </c>
      <c r="Q613">
        <v>89112</v>
      </c>
      <c r="R613">
        <v>10693.44</v>
      </c>
      <c r="S613">
        <v>99805.440000000002</v>
      </c>
      <c r="T613">
        <f>ROUND(Table2[[#This Row],[TotalAmount]],0)</f>
        <v>99805</v>
      </c>
      <c r="U613" t="s">
        <v>1366</v>
      </c>
      <c r="V613" t="s">
        <v>1368</v>
      </c>
      <c r="W613" s="4">
        <v>45386</v>
      </c>
      <c r="X613" s="4" t="s">
        <v>1412</v>
      </c>
      <c r="Y613" t="b">
        <v>0</v>
      </c>
      <c r="Z613" t="s">
        <v>1412</v>
      </c>
      <c r="AA613" t="s">
        <v>1412</v>
      </c>
      <c r="AB613" t="s">
        <v>1412</v>
      </c>
      <c r="AC613" t="s">
        <v>1382</v>
      </c>
      <c r="AD613" t="s">
        <v>1397</v>
      </c>
      <c r="AE613" t="s">
        <v>1380</v>
      </c>
    </row>
    <row r="614" spans="1:31" x14ac:dyDescent="0.3">
      <c r="A614" t="s">
        <v>790</v>
      </c>
      <c r="B614" s="4">
        <v>45656.503472222219</v>
      </c>
      <c r="C614" t="s">
        <v>243</v>
      </c>
      <c r="D614" t="s">
        <v>1153</v>
      </c>
      <c r="E614" t="s">
        <v>1176</v>
      </c>
      <c r="F614" t="str" cm="1">
        <f t="array" ref="F614">_xlfn.IFS(
E614="Ahmedabad","Gujarat",
E614="Bengaluru","Karnataka",
E614="Bhopal","Madhya Pradesh",
E614="Bhubaneswar","Odisha",
E614="Chandigarh","Chandigarh",
E614="Chennai","Tamil Nadu",
E614="Delhi","Delhi",
E614="Guwahati","Assam",
E614="Hyderabad","Telangana",
E614="Indore","Madhya Pradesh",
E614="Jaipur","Rajasthan",
E614="Kochi","Kerala",
E614="Kolkata","West Bengal",
E614="Lucknow","Uttar Pradesh",
E614="Mumbai","Maharashtra",
E614="Nagpur","Maharashtra",
E614="Patna","Bihar",
E614="Pune","Maharashtra",
E614="Raipur","Chhattisgarh",
E614="Surat","Gujarat",
TRUE,"Not Found"
)</f>
        <v>Chhattisgarh</v>
      </c>
      <c r="G614" t="s">
        <v>1150</v>
      </c>
      <c r="H614" t="s">
        <v>1172</v>
      </c>
      <c r="I614" t="s">
        <v>1188</v>
      </c>
      <c r="J614" t="s">
        <v>1258</v>
      </c>
      <c r="K614" t="s">
        <v>1259</v>
      </c>
      <c r="L614">
        <v>1</v>
      </c>
      <c r="M614">
        <v>1973</v>
      </c>
      <c r="N614">
        <v>0</v>
      </c>
      <c r="O614">
        <v>1973</v>
      </c>
      <c r="P614">
        <v>0.12</v>
      </c>
      <c r="Q614">
        <v>1973</v>
      </c>
      <c r="R614">
        <v>236.76</v>
      </c>
      <c r="S614">
        <v>2209.7600000000002</v>
      </c>
      <c r="T614">
        <f>ROUND(Table2[[#This Row],[TotalAmount]],0)</f>
        <v>2210</v>
      </c>
      <c r="U614" t="s">
        <v>1360</v>
      </c>
      <c r="V614" t="s">
        <v>1369</v>
      </c>
      <c r="W614" s="4" t="s">
        <v>1412</v>
      </c>
      <c r="X614" s="4" t="s">
        <v>1412</v>
      </c>
      <c r="Y614" t="b">
        <v>0</v>
      </c>
      <c r="Z614" t="s">
        <v>1412</v>
      </c>
      <c r="AA614" t="s">
        <v>1412</v>
      </c>
      <c r="AB614" t="s">
        <v>1412</v>
      </c>
      <c r="AC614" t="s">
        <v>1384</v>
      </c>
      <c r="AD614" t="s">
        <v>1387</v>
      </c>
      <c r="AE614" t="s">
        <v>1391</v>
      </c>
    </row>
    <row r="615" spans="1:31" x14ac:dyDescent="0.3">
      <c r="A615" t="s">
        <v>791</v>
      </c>
      <c r="B615" s="4">
        <v>45501.379166666673</v>
      </c>
      <c r="C615" t="s">
        <v>158</v>
      </c>
      <c r="D615" t="s">
        <v>1182</v>
      </c>
      <c r="E615" t="s">
        <v>1257</v>
      </c>
      <c r="F615" t="str" cm="1">
        <f t="array" ref="F615">_xlfn.IFS(
E615="Ahmedabad","Gujarat",
E615="Bengaluru","Karnataka",
E615="Bhopal","Madhya Pradesh",
E615="Bhubaneswar","Odisha",
E615="Chandigarh","Chandigarh",
E615="Chennai","Tamil Nadu",
E615="Delhi","Delhi",
E615="Guwahati","Assam",
E615="Hyderabad","Telangana",
E615="Indore","Madhya Pradesh",
E615="Jaipur","Rajasthan",
E615="Kochi","Kerala",
E615="Kolkata","West Bengal",
E615="Lucknow","Uttar Pradesh",
E615="Mumbai","Maharashtra",
E615="Nagpur","Maharashtra",
E615="Patna","Bihar",
E615="Pune","Maharashtra",
E615="Raipur","Chhattisgarh",
E615="Surat","Gujarat",
TRUE,"Not Found"
)</f>
        <v>Kerala</v>
      </c>
      <c r="G615" t="s">
        <v>1143</v>
      </c>
      <c r="H615" t="s">
        <v>1177</v>
      </c>
      <c r="I615" t="s">
        <v>1178</v>
      </c>
      <c r="J615" t="s">
        <v>1179</v>
      </c>
      <c r="K615" t="s">
        <v>1180</v>
      </c>
      <c r="L615">
        <v>4</v>
      </c>
      <c r="M615">
        <v>1714</v>
      </c>
      <c r="N615">
        <v>0.2</v>
      </c>
      <c r="O615">
        <v>1371.2</v>
      </c>
      <c r="P615">
        <v>0.12</v>
      </c>
      <c r="Q615">
        <v>5484.8</v>
      </c>
      <c r="R615">
        <v>658.17600000000004</v>
      </c>
      <c r="S615">
        <v>6142.9760000000006</v>
      </c>
      <c r="T615">
        <f>ROUND(Table2[[#This Row],[TotalAmount]],0)</f>
        <v>6143</v>
      </c>
      <c r="U615" t="s">
        <v>1362</v>
      </c>
      <c r="V615" t="s">
        <v>1361</v>
      </c>
      <c r="W615" s="4">
        <v>45502</v>
      </c>
      <c r="X615" s="4">
        <v>45506</v>
      </c>
      <c r="Y615" t="b">
        <v>0</v>
      </c>
      <c r="Z615" t="s">
        <v>1412</v>
      </c>
      <c r="AA615" t="s">
        <v>1412</v>
      </c>
      <c r="AB615" t="s">
        <v>1412</v>
      </c>
      <c r="AC615" t="s">
        <v>1396</v>
      </c>
      <c r="AD615" t="s">
        <v>1394</v>
      </c>
      <c r="AE615" t="s">
        <v>1380</v>
      </c>
    </row>
    <row r="616" spans="1:31" x14ac:dyDescent="0.3">
      <c r="A616" t="s">
        <v>792</v>
      </c>
      <c r="B616" s="4">
        <v>45337.620138888888</v>
      </c>
      <c r="C616" t="s">
        <v>627</v>
      </c>
      <c r="D616" t="s">
        <v>1182</v>
      </c>
      <c r="E616" t="s">
        <v>1256</v>
      </c>
      <c r="F616" t="str" cm="1">
        <f t="array" ref="F616">_xlfn.IFS(
E616="Ahmedabad","Gujarat",
E616="Bengaluru","Karnataka",
E616="Bhopal","Madhya Pradesh",
E616="Bhubaneswar","Odisha",
E616="Chandigarh","Chandigarh",
E616="Chennai","Tamil Nadu",
E616="Delhi","Delhi",
E616="Guwahati","Assam",
E616="Hyderabad","Telangana",
E616="Indore","Madhya Pradesh",
E616="Jaipur","Rajasthan",
E616="Kochi","Kerala",
E616="Kolkata","West Bengal",
E616="Lucknow","Uttar Pradesh",
E616="Mumbai","Maharashtra",
E616="Nagpur","Maharashtra",
E616="Patna","Bihar",
E616="Pune","Maharashtra",
E616="Raipur","Chhattisgarh",
E616="Surat","Gujarat",
TRUE,"Not Found"
)</f>
        <v>Karnataka</v>
      </c>
      <c r="G616" t="s">
        <v>1150</v>
      </c>
      <c r="H616" t="s">
        <v>1163</v>
      </c>
      <c r="I616" t="s">
        <v>1184</v>
      </c>
      <c r="J616" t="s">
        <v>1185</v>
      </c>
      <c r="K616" t="s">
        <v>1186</v>
      </c>
      <c r="L616">
        <v>1</v>
      </c>
      <c r="M616">
        <v>252</v>
      </c>
      <c r="N616">
        <v>0</v>
      </c>
      <c r="O616">
        <v>252</v>
      </c>
      <c r="P616">
        <v>0.18</v>
      </c>
      <c r="Q616">
        <v>252</v>
      </c>
      <c r="R616">
        <v>45.36</v>
      </c>
      <c r="S616">
        <v>297.36</v>
      </c>
      <c r="T616">
        <f>ROUND(Table2[[#This Row],[TotalAmount]],0)</f>
        <v>297</v>
      </c>
      <c r="U616" t="s">
        <v>1363</v>
      </c>
      <c r="V616" t="s">
        <v>1361</v>
      </c>
      <c r="W616" s="4">
        <v>45339</v>
      </c>
      <c r="X616" s="4">
        <v>45342</v>
      </c>
      <c r="Y616" t="b">
        <v>0</v>
      </c>
      <c r="Z616" t="s">
        <v>1412</v>
      </c>
      <c r="AA616" t="s">
        <v>1412</v>
      </c>
      <c r="AB616" t="s">
        <v>1412</v>
      </c>
      <c r="AC616" t="s">
        <v>1382</v>
      </c>
      <c r="AD616" t="s">
        <v>1377</v>
      </c>
      <c r="AE616" t="s">
        <v>1389</v>
      </c>
    </row>
    <row r="617" spans="1:31" x14ac:dyDescent="0.3">
      <c r="A617" t="s">
        <v>793</v>
      </c>
      <c r="B617" s="4">
        <v>45596.606249999997</v>
      </c>
      <c r="C617" t="s">
        <v>24</v>
      </c>
      <c r="D617" t="s">
        <v>1153</v>
      </c>
      <c r="E617" t="s">
        <v>1154</v>
      </c>
      <c r="F617" t="str" cm="1">
        <f t="array" ref="F617">_xlfn.IFS(
E617="Ahmedabad","Gujarat",
E617="Bengaluru","Karnataka",
E617="Bhopal","Madhya Pradesh",
E617="Bhubaneswar","Odisha",
E617="Chandigarh","Chandigarh",
E617="Chennai","Tamil Nadu",
E617="Delhi","Delhi",
E617="Guwahati","Assam",
E617="Hyderabad","Telangana",
E617="Indore","Madhya Pradesh",
E617="Jaipur","Rajasthan",
E617="Kochi","Kerala",
E617="Kolkata","West Bengal",
E617="Lucknow","Uttar Pradesh",
E617="Mumbai","Maharashtra",
E617="Nagpur","Maharashtra",
E617="Patna","Bihar",
E617="Pune","Maharashtra",
E617="Raipur","Chhattisgarh",
E617="Surat","Gujarat",
TRUE,"Not Found"
)</f>
        <v>Maharashtra</v>
      </c>
      <c r="G617" t="s">
        <v>1228</v>
      </c>
      <c r="H617" t="s">
        <v>1163</v>
      </c>
      <c r="I617" t="s">
        <v>1224</v>
      </c>
      <c r="J617" t="s">
        <v>1243</v>
      </c>
      <c r="K617" t="s">
        <v>1244</v>
      </c>
      <c r="L617">
        <v>2</v>
      </c>
      <c r="M617">
        <v>687</v>
      </c>
      <c r="N617">
        <v>0</v>
      </c>
      <c r="O617">
        <v>687</v>
      </c>
      <c r="P617">
        <v>0.18</v>
      </c>
      <c r="Q617">
        <v>1374</v>
      </c>
      <c r="R617">
        <v>247.32</v>
      </c>
      <c r="S617">
        <v>1621.32</v>
      </c>
      <c r="T617">
        <f>ROUND(Table2[[#This Row],[TotalAmount]],0)</f>
        <v>1621</v>
      </c>
      <c r="U617" t="s">
        <v>1365</v>
      </c>
      <c r="V617" t="s">
        <v>1367</v>
      </c>
      <c r="W617" s="4">
        <v>45598</v>
      </c>
      <c r="X617" s="4" t="s">
        <v>1412</v>
      </c>
      <c r="Y617" t="b">
        <v>0</v>
      </c>
      <c r="Z617" t="s">
        <v>1412</v>
      </c>
      <c r="AA617" t="s">
        <v>1412</v>
      </c>
      <c r="AB617" t="s">
        <v>1412</v>
      </c>
      <c r="AC617" t="s">
        <v>1396</v>
      </c>
      <c r="AD617" t="s">
        <v>1385</v>
      </c>
      <c r="AE617" t="s">
        <v>1380</v>
      </c>
    </row>
    <row r="618" spans="1:31" x14ac:dyDescent="0.3">
      <c r="A618" t="s">
        <v>794</v>
      </c>
      <c r="B618" s="4">
        <v>45694.60833333333</v>
      </c>
      <c r="C618" t="s">
        <v>88</v>
      </c>
      <c r="D618" t="s">
        <v>1148</v>
      </c>
      <c r="E618" t="s">
        <v>1262</v>
      </c>
      <c r="F618" t="str" cm="1">
        <f t="array" ref="F618">_xlfn.IFS(
E618="Ahmedabad","Gujarat",
E618="Bengaluru","Karnataka",
E618="Bhopal","Madhya Pradesh",
E618="Bhubaneswar","Odisha",
E618="Chandigarh","Chandigarh",
E618="Chennai","Tamil Nadu",
E618="Delhi","Delhi",
E618="Guwahati","Assam",
E618="Hyderabad","Telangana",
E618="Indore","Madhya Pradesh",
E618="Jaipur","Rajasthan",
E618="Kochi","Kerala",
E618="Kolkata","West Bengal",
E618="Lucknow","Uttar Pradesh",
E618="Mumbai","Maharashtra",
E618="Nagpur","Maharashtra",
E618="Patna","Bihar",
E618="Pune","Maharashtra",
E618="Raipur","Chhattisgarh",
E618="Surat","Gujarat",
TRUE,"Not Found"
)</f>
        <v>Rajasthan</v>
      </c>
      <c r="G618" t="s">
        <v>1143</v>
      </c>
      <c r="H618" t="s">
        <v>1177</v>
      </c>
      <c r="I618" t="s">
        <v>1195</v>
      </c>
      <c r="J618" t="s">
        <v>1218</v>
      </c>
      <c r="K618" t="s">
        <v>1219</v>
      </c>
      <c r="L618">
        <v>2</v>
      </c>
      <c r="M618">
        <v>2100</v>
      </c>
      <c r="N618">
        <v>0.1</v>
      </c>
      <c r="O618">
        <v>1890</v>
      </c>
      <c r="P618">
        <v>0.18</v>
      </c>
      <c r="Q618">
        <v>3780</v>
      </c>
      <c r="R618">
        <v>680.4</v>
      </c>
      <c r="S618">
        <v>4460.3999999999996</v>
      </c>
      <c r="T618">
        <f>ROUND(Table2[[#This Row],[TotalAmount]],0)</f>
        <v>4460</v>
      </c>
      <c r="U618" t="s">
        <v>1360</v>
      </c>
      <c r="V618" t="s">
        <v>1368</v>
      </c>
      <c r="W618" s="4">
        <v>45695</v>
      </c>
      <c r="X618" s="4" t="s">
        <v>1412</v>
      </c>
      <c r="Y618" t="b">
        <v>0</v>
      </c>
      <c r="Z618" t="s">
        <v>1412</v>
      </c>
      <c r="AA618" t="s">
        <v>1412</v>
      </c>
      <c r="AB618" t="s">
        <v>1412</v>
      </c>
      <c r="AC618" t="s">
        <v>1390</v>
      </c>
      <c r="AD618" t="s">
        <v>1397</v>
      </c>
      <c r="AE618" t="s">
        <v>1383</v>
      </c>
    </row>
    <row r="619" spans="1:31" x14ac:dyDescent="0.3">
      <c r="A619" t="s">
        <v>795</v>
      </c>
      <c r="B619" s="4">
        <v>45471.554166666669</v>
      </c>
      <c r="C619" t="s">
        <v>444</v>
      </c>
      <c r="D619" t="s">
        <v>1157</v>
      </c>
      <c r="E619" t="s">
        <v>1158</v>
      </c>
      <c r="F619" t="str" cm="1">
        <f t="array" ref="F619">_xlfn.IFS(
E619="Ahmedabad","Gujarat",
E619="Bengaluru","Karnataka",
E619="Bhopal","Madhya Pradesh",
E619="Bhubaneswar","Odisha",
E619="Chandigarh","Chandigarh",
E619="Chennai","Tamil Nadu",
E619="Delhi","Delhi",
E619="Guwahati","Assam",
E619="Hyderabad","Telangana",
E619="Indore","Madhya Pradesh",
E619="Jaipur","Rajasthan",
E619="Kochi","Kerala",
E619="Kolkata","West Bengal",
E619="Lucknow","Uttar Pradesh",
E619="Mumbai","Maharashtra",
E619="Nagpur","Maharashtra",
E619="Patna","Bihar",
E619="Pune","Maharashtra",
E619="Raipur","Chhattisgarh",
E619="Surat","Gujarat",
TRUE,"Not Found"
)</f>
        <v>Gujarat</v>
      </c>
      <c r="G619" t="s">
        <v>1228</v>
      </c>
      <c r="H619" t="s">
        <v>1177</v>
      </c>
      <c r="I619" t="s">
        <v>1178</v>
      </c>
      <c r="J619" t="s">
        <v>1220</v>
      </c>
      <c r="K619" t="s">
        <v>1221</v>
      </c>
      <c r="L619">
        <v>3</v>
      </c>
      <c r="M619">
        <v>2590</v>
      </c>
      <c r="N619">
        <v>0</v>
      </c>
      <c r="O619">
        <v>2590</v>
      </c>
      <c r="P619">
        <v>0.05</v>
      </c>
      <c r="Q619">
        <v>7770</v>
      </c>
      <c r="R619">
        <v>388.5</v>
      </c>
      <c r="S619">
        <v>8158.5</v>
      </c>
      <c r="T619">
        <f>ROUND(Table2[[#This Row],[TotalAmount]],0)</f>
        <v>8159</v>
      </c>
      <c r="U619" t="s">
        <v>1366</v>
      </c>
      <c r="V619" t="s">
        <v>1361</v>
      </c>
      <c r="W619" s="4">
        <v>45472</v>
      </c>
      <c r="X619" s="4">
        <v>45475</v>
      </c>
      <c r="Y619" t="b">
        <v>0</v>
      </c>
      <c r="Z619" t="s">
        <v>1412</v>
      </c>
      <c r="AA619" t="s">
        <v>1412</v>
      </c>
      <c r="AB619" t="s">
        <v>1412</v>
      </c>
      <c r="AC619" t="s">
        <v>1398</v>
      </c>
      <c r="AD619" t="s">
        <v>1385</v>
      </c>
      <c r="AE619" t="s">
        <v>1393</v>
      </c>
    </row>
    <row r="620" spans="1:31" x14ac:dyDescent="0.3">
      <c r="A620" t="s">
        <v>796</v>
      </c>
      <c r="B620" s="4">
        <v>45582.642361111109</v>
      </c>
      <c r="C620" t="s">
        <v>366</v>
      </c>
      <c r="D620" t="s">
        <v>1157</v>
      </c>
      <c r="E620" t="s">
        <v>1249</v>
      </c>
      <c r="F620" t="str" cm="1">
        <f t="array" ref="F620">_xlfn.IFS(
E620="Ahmedabad","Gujarat",
E620="Bengaluru","Karnataka",
E620="Bhopal","Madhya Pradesh",
E620="Bhubaneswar","Odisha",
E620="Chandigarh","Chandigarh",
E620="Chennai","Tamil Nadu",
E620="Delhi","Delhi",
E620="Guwahati","Assam",
E620="Hyderabad","Telangana",
E620="Indore","Madhya Pradesh",
E620="Jaipur","Rajasthan",
E620="Kochi","Kerala",
E620="Kolkata","West Bengal",
E620="Lucknow","Uttar Pradesh",
E620="Mumbai","Maharashtra",
E620="Nagpur","Maharashtra",
E620="Patna","Bihar",
E620="Pune","Maharashtra",
E620="Raipur","Chhattisgarh",
E620="Surat","Gujarat",
TRUE,"Not Found"
)</f>
        <v>Maharashtra</v>
      </c>
      <c r="G620" t="s">
        <v>1143</v>
      </c>
      <c r="H620" t="s">
        <v>1163</v>
      </c>
      <c r="I620" t="s">
        <v>1240</v>
      </c>
      <c r="J620" t="s">
        <v>1241</v>
      </c>
      <c r="K620" t="s">
        <v>1242</v>
      </c>
      <c r="L620">
        <v>2</v>
      </c>
      <c r="M620">
        <v>500</v>
      </c>
      <c r="N620">
        <v>0</v>
      </c>
      <c r="O620">
        <v>500</v>
      </c>
      <c r="P620">
        <v>0.18</v>
      </c>
      <c r="Q620">
        <v>1000</v>
      </c>
      <c r="R620">
        <v>180</v>
      </c>
      <c r="S620">
        <v>1180</v>
      </c>
      <c r="T620">
        <f>ROUND(Table2[[#This Row],[TotalAmount]],0)</f>
        <v>1180</v>
      </c>
      <c r="U620" t="s">
        <v>1363</v>
      </c>
      <c r="V620" t="s">
        <v>1361</v>
      </c>
      <c r="W620" s="4">
        <v>45583</v>
      </c>
      <c r="X620" s="4">
        <v>45587</v>
      </c>
      <c r="Y620" t="b">
        <v>0</v>
      </c>
      <c r="Z620" t="s">
        <v>1412</v>
      </c>
      <c r="AA620" t="s">
        <v>1412</v>
      </c>
      <c r="AB620" t="s">
        <v>1412</v>
      </c>
      <c r="AC620" t="s">
        <v>1396</v>
      </c>
      <c r="AD620" t="s">
        <v>1397</v>
      </c>
      <c r="AE620" t="s">
        <v>1380</v>
      </c>
    </row>
    <row r="621" spans="1:31" x14ac:dyDescent="0.3">
      <c r="A621" t="s">
        <v>797</v>
      </c>
      <c r="B621" s="4">
        <v>45363.475694444453</v>
      </c>
      <c r="C621" t="s">
        <v>469</v>
      </c>
      <c r="D621" t="s">
        <v>1153</v>
      </c>
      <c r="E621" t="s">
        <v>1176</v>
      </c>
      <c r="F621" t="str" cm="1">
        <f t="array" ref="F621">_xlfn.IFS(
E621="Ahmedabad","Gujarat",
E621="Bengaluru","Karnataka",
E621="Bhopal","Madhya Pradesh",
E621="Bhubaneswar","Odisha",
E621="Chandigarh","Chandigarh",
E621="Chennai","Tamil Nadu",
E621="Delhi","Delhi",
E621="Guwahati","Assam",
E621="Hyderabad","Telangana",
E621="Indore","Madhya Pradesh",
E621="Jaipur","Rajasthan",
E621="Kochi","Kerala",
E621="Kolkata","West Bengal",
E621="Lucknow","Uttar Pradesh",
E621="Mumbai","Maharashtra",
E621="Nagpur","Maharashtra",
E621="Patna","Bihar",
E621="Pune","Maharashtra",
E621="Raipur","Chhattisgarh",
E621="Surat","Gujarat",
TRUE,"Not Found"
)</f>
        <v>Chhattisgarh</v>
      </c>
      <c r="G621" t="s">
        <v>1150</v>
      </c>
      <c r="H621" t="s">
        <v>1172</v>
      </c>
      <c r="I621" t="s">
        <v>1188</v>
      </c>
      <c r="J621" t="s">
        <v>1232</v>
      </c>
      <c r="K621" t="s">
        <v>1233</v>
      </c>
      <c r="L621">
        <v>2</v>
      </c>
      <c r="M621">
        <v>3717</v>
      </c>
      <c r="N621">
        <v>0.2</v>
      </c>
      <c r="O621">
        <v>2973.6</v>
      </c>
      <c r="P621">
        <v>0.18</v>
      </c>
      <c r="Q621">
        <v>5947.2000000000007</v>
      </c>
      <c r="R621">
        <v>1070.4960000000001</v>
      </c>
      <c r="S621">
        <v>7017.6960000000008</v>
      </c>
      <c r="T621">
        <f>ROUND(Table2[[#This Row],[TotalAmount]],0)</f>
        <v>7018</v>
      </c>
      <c r="U621" t="s">
        <v>1363</v>
      </c>
      <c r="V621" t="s">
        <v>1361</v>
      </c>
      <c r="W621" s="4">
        <v>45363</v>
      </c>
      <c r="X621" s="4">
        <v>45365</v>
      </c>
      <c r="Y621" t="b">
        <v>0</v>
      </c>
      <c r="Z621" t="s">
        <v>1412</v>
      </c>
      <c r="AA621" t="s">
        <v>1412</v>
      </c>
      <c r="AB621" t="s">
        <v>1412</v>
      </c>
      <c r="AC621" t="s">
        <v>1388</v>
      </c>
      <c r="AD621" t="s">
        <v>1397</v>
      </c>
      <c r="AE621" t="s">
        <v>1395</v>
      </c>
    </row>
    <row r="622" spans="1:31" x14ac:dyDescent="0.3">
      <c r="A622" t="s">
        <v>798</v>
      </c>
      <c r="B622" s="4">
        <v>45293.648611111108</v>
      </c>
      <c r="C622" t="s">
        <v>130</v>
      </c>
      <c r="D622" t="s">
        <v>1153</v>
      </c>
      <c r="E622" t="s">
        <v>1176</v>
      </c>
      <c r="F622" t="str" cm="1">
        <f t="array" ref="F622">_xlfn.IFS(
E622="Ahmedabad","Gujarat",
E622="Bengaluru","Karnataka",
E622="Bhopal","Madhya Pradesh",
E622="Bhubaneswar","Odisha",
E622="Chandigarh","Chandigarh",
E622="Chennai","Tamil Nadu",
E622="Delhi","Delhi",
E622="Guwahati","Assam",
E622="Hyderabad","Telangana",
E622="Indore","Madhya Pradesh",
E622="Jaipur","Rajasthan",
E622="Kochi","Kerala",
E622="Kolkata","West Bengal",
E622="Lucknow","Uttar Pradesh",
E622="Mumbai","Maharashtra",
E622="Nagpur","Maharashtra",
E622="Patna","Bihar",
E622="Pune","Maharashtra",
E622="Raipur","Chhattisgarh",
E622="Surat","Gujarat",
TRUE,"Not Found"
)</f>
        <v>Chhattisgarh</v>
      </c>
      <c r="G622" t="s">
        <v>1150</v>
      </c>
      <c r="H622" t="s">
        <v>1167</v>
      </c>
      <c r="I622" t="s">
        <v>1263</v>
      </c>
      <c r="J622" t="s">
        <v>1264</v>
      </c>
      <c r="K622" t="s">
        <v>1265</v>
      </c>
      <c r="L622">
        <v>3</v>
      </c>
      <c r="M622">
        <v>35459</v>
      </c>
      <c r="N622">
        <v>0.1</v>
      </c>
      <c r="O622">
        <v>31913.1</v>
      </c>
      <c r="P622">
        <v>0.18</v>
      </c>
      <c r="Q622">
        <v>95739.3</v>
      </c>
      <c r="R622">
        <v>17233.074000000001</v>
      </c>
      <c r="S622">
        <v>112972.374</v>
      </c>
      <c r="T622">
        <f>ROUND(Table2[[#This Row],[TotalAmount]],0)</f>
        <v>112972</v>
      </c>
      <c r="U622" t="s">
        <v>1365</v>
      </c>
      <c r="V622" t="s">
        <v>1361</v>
      </c>
      <c r="W622" s="4">
        <v>45294</v>
      </c>
      <c r="X622" s="4">
        <v>45296</v>
      </c>
      <c r="Y622" t="b">
        <v>0</v>
      </c>
      <c r="Z622" t="s">
        <v>1412</v>
      </c>
      <c r="AA622" t="s">
        <v>1412</v>
      </c>
      <c r="AB622" t="s">
        <v>1412</v>
      </c>
      <c r="AC622" t="s">
        <v>1384</v>
      </c>
      <c r="AD622" t="s">
        <v>1400</v>
      </c>
      <c r="AE622" t="s">
        <v>1389</v>
      </c>
    </row>
    <row r="623" spans="1:31" x14ac:dyDescent="0.3">
      <c r="A623" t="s">
        <v>799</v>
      </c>
      <c r="B623" s="4">
        <v>45546.551388888889</v>
      </c>
      <c r="C623" t="s">
        <v>10</v>
      </c>
      <c r="D623" t="s">
        <v>1157</v>
      </c>
      <c r="E623" t="s">
        <v>1158</v>
      </c>
      <c r="F623" t="str" cm="1">
        <f t="array" ref="F623">_xlfn.IFS(
E623="Ahmedabad","Gujarat",
E623="Bengaluru","Karnataka",
E623="Bhopal","Madhya Pradesh",
E623="Bhubaneswar","Odisha",
E623="Chandigarh","Chandigarh",
E623="Chennai","Tamil Nadu",
E623="Delhi","Delhi",
E623="Guwahati","Assam",
E623="Hyderabad","Telangana",
E623="Indore","Madhya Pradesh",
E623="Jaipur","Rajasthan",
E623="Kochi","Kerala",
E623="Kolkata","West Bengal",
E623="Lucknow","Uttar Pradesh",
E623="Mumbai","Maharashtra",
E623="Nagpur","Maharashtra",
E623="Patna","Bihar",
E623="Pune","Maharashtra",
E623="Raipur","Chhattisgarh",
E623="Surat","Gujarat",
TRUE,"Not Found"
)</f>
        <v>Gujarat</v>
      </c>
      <c r="G623" t="s">
        <v>1150</v>
      </c>
      <c r="H623" t="s">
        <v>1163</v>
      </c>
      <c r="I623" t="s">
        <v>1184</v>
      </c>
      <c r="J623" t="s">
        <v>1185</v>
      </c>
      <c r="K623" t="s">
        <v>1186</v>
      </c>
      <c r="L623">
        <v>1</v>
      </c>
      <c r="M623">
        <v>874</v>
      </c>
      <c r="N623">
        <v>0</v>
      </c>
      <c r="O623">
        <v>874</v>
      </c>
      <c r="P623">
        <v>0.12</v>
      </c>
      <c r="Q623">
        <v>874</v>
      </c>
      <c r="R623">
        <v>104.88</v>
      </c>
      <c r="S623">
        <v>978.88</v>
      </c>
      <c r="T623">
        <f>ROUND(Table2[[#This Row],[TotalAmount]],0)</f>
        <v>979</v>
      </c>
      <c r="U623" t="s">
        <v>1360</v>
      </c>
      <c r="V623" t="s">
        <v>1368</v>
      </c>
      <c r="W623" s="4">
        <v>45546</v>
      </c>
      <c r="X623" s="4" t="s">
        <v>1412</v>
      </c>
      <c r="Y623" t="b">
        <v>0</v>
      </c>
      <c r="Z623" t="s">
        <v>1412</v>
      </c>
      <c r="AA623" t="s">
        <v>1412</v>
      </c>
      <c r="AB623" t="s">
        <v>1412</v>
      </c>
      <c r="AC623" t="s">
        <v>1376</v>
      </c>
      <c r="AD623" t="s">
        <v>1400</v>
      </c>
      <c r="AE623" t="s">
        <v>1380</v>
      </c>
    </row>
    <row r="624" spans="1:31" x14ac:dyDescent="0.3">
      <c r="A624" t="s">
        <v>800</v>
      </c>
      <c r="B624" s="4">
        <v>45712.553472222222</v>
      </c>
      <c r="C624" t="s">
        <v>105</v>
      </c>
      <c r="D624" t="s">
        <v>1182</v>
      </c>
      <c r="E624" t="s">
        <v>1207</v>
      </c>
      <c r="F624" t="str" cm="1">
        <f t="array" ref="F624">_xlfn.IFS(
E624="Ahmedabad","Gujarat",
E624="Bengaluru","Karnataka",
E624="Bhopal","Madhya Pradesh",
E624="Bhubaneswar","Odisha",
E624="Chandigarh","Chandigarh",
E624="Chennai","Tamil Nadu",
E624="Delhi","Delhi",
E624="Guwahati","Assam",
E624="Hyderabad","Telangana",
E624="Indore","Madhya Pradesh",
E624="Jaipur","Rajasthan",
E624="Kochi","Kerala",
E624="Kolkata","West Bengal",
E624="Lucknow","Uttar Pradesh",
E624="Mumbai","Maharashtra",
E624="Nagpur","Maharashtra",
E624="Patna","Bihar",
E624="Pune","Maharashtra",
E624="Raipur","Chhattisgarh",
E624="Surat","Gujarat",
TRUE,"Not Found"
)</f>
        <v>Tamil Nadu</v>
      </c>
      <c r="G624" t="s">
        <v>1150</v>
      </c>
      <c r="H624" t="s">
        <v>1144</v>
      </c>
      <c r="I624" t="s">
        <v>1159</v>
      </c>
      <c r="J624" t="s">
        <v>1160</v>
      </c>
      <c r="K624" t="s">
        <v>1161</v>
      </c>
      <c r="L624">
        <v>2</v>
      </c>
      <c r="M624">
        <v>3175</v>
      </c>
      <c r="N624">
        <v>0</v>
      </c>
      <c r="O624">
        <v>3175</v>
      </c>
      <c r="P624">
        <v>0.05</v>
      </c>
      <c r="Q624">
        <v>6350</v>
      </c>
      <c r="R624">
        <v>317.5</v>
      </c>
      <c r="S624">
        <v>6667.5</v>
      </c>
      <c r="T624">
        <f>ROUND(Table2[[#This Row],[TotalAmount]],0)</f>
        <v>6668</v>
      </c>
      <c r="U624" t="s">
        <v>1365</v>
      </c>
      <c r="V624" t="s">
        <v>1369</v>
      </c>
      <c r="W624" s="4" t="s">
        <v>1412</v>
      </c>
      <c r="X624" s="4" t="s">
        <v>1412</v>
      </c>
      <c r="Y624" t="b">
        <v>0</v>
      </c>
      <c r="Z624" t="s">
        <v>1412</v>
      </c>
      <c r="AA624" t="s">
        <v>1412</v>
      </c>
      <c r="AB624" t="s">
        <v>1412</v>
      </c>
      <c r="AC624" t="s">
        <v>1392</v>
      </c>
      <c r="AD624" t="s">
        <v>1394</v>
      </c>
      <c r="AE624" t="s">
        <v>1380</v>
      </c>
    </row>
    <row r="625" spans="1:31" x14ac:dyDescent="0.3">
      <c r="A625" t="s">
        <v>801</v>
      </c>
      <c r="B625" s="4">
        <v>45502.538888888892</v>
      </c>
      <c r="C625" t="s">
        <v>139</v>
      </c>
      <c r="D625" t="s">
        <v>1148</v>
      </c>
      <c r="E625" t="s">
        <v>1262</v>
      </c>
      <c r="F625" t="str" cm="1">
        <f t="array" ref="F625">_xlfn.IFS(
E625="Ahmedabad","Gujarat",
E625="Bengaluru","Karnataka",
E625="Bhopal","Madhya Pradesh",
E625="Bhubaneswar","Odisha",
E625="Chandigarh","Chandigarh",
E625="Chennai","Tamil Nadu",
E625="Delhi","Delhi",
E625="Guwahati","Assam",
E625="Hyderabad","Telangana",
E625="Indore","Madhya Pradesh",
E625="Jaipur","Rajasthan",
E625="Kochi","Kerala",
E625="Kolkata","West Bengal",
E625="Lucknow","Uttar Pradesh",
E625="Mumbai","Maharashtra",
E625="Nagpur","Maharashtra",
E625="Patna","Bihar",
E625="Pune","Maharashtra",
E625="Raipur","Chhattisgarh",
E625="Surat","Gujarat",
TRUE,"Not Found"
)</f>
        <v>Rajasthan</v>
      </c>
      <c r="G625" t="s">
        <v>1150</v>
      </c>
      <c r="H625" t="s">
        <v>1167</v>
      </c>
      <c r="I625" t="s">
        <v>1208</v>
      </c>
      <c r="J625" t="s">
        <v>1291</v>
      </c>
      <c r="K625" t="s">
        <v>1292</v>
      </c>
      <c r="L625">
        <v>1</v>
      </c>
      <c r="M625">
        <v>50232</v>
      </c>
      <c r="N625">
        <v>0</v>
      </c>
      <c r="O625">
        <v>50232</v>
      </c>
      <c r="P625">
        <v>0.12</v>
      </c>
      <c r="Q625">
        <v>50232</v>
      </c>
      <c r="R625">
        <v>6027.84</v>
      </c>
      <c r="S625">
        <v>56259.839999999997</v>
      </c>
      <c r="T625">
        <f>ROUND(Table2[[#This Row],[TotalAmount]],0)</f>
        <v>56260</v>
      </c>
      <c r="U625" t="s">
        <v>1365</v>
      </c>
      <c r="V625" t="s">
        <v>1361</v>
      </c>
      <c r="W625" s="4">
        <v>45502</v>
      </c>
      <c r="X625" s="4">
        <v>45507</v>
      </c>
      <c r="Y625" t="b">
        <v>0</v>
      </c>
      <c r="Z625" t="s">
        <v>1412</v>
      </c>
      <c r="AA625" t="s">
        <v>1412</v>
      </c>
      <c r="AB625" t="s">
        <v>1412</v>
      </c>
      <c r="AC625" t="s">
        <v>1379</v>
      </c>
      <c r="AD625" t="s">
        <v>1385</v>
      </c>
      <c r="AE625" t="s">
        <v>1380</v>
      </c>
    </row>
    <row r="626" spans="1:31" x14ac:dyDescent="0.3">
      <c r="A626" t="s">
        <v>802</v>
      </c>
      <c r="B626" s="4">
        <v>45411.565972222219</v>
      </c>
      <c r="C626" t="s">
        <v>115</v>
      </c>
      <c r="D626" t="s">
        <v>1157</v>
      </c>
      <c r="E626" t="s">
        <v>1249</v>
      </c>
      <c r="F626" t="str" cm="1">
        <f t="array" ref="F626">_xlfn.IFS(
E626="Ahmedabad","Gujarat",
E626="Bengaluru","Karnataka",
E626="Bhopal","Madhya Pradesh",
E626="Bhubaneswar","Odisha",
E626="Chandigarh","Chandigarh",
E626="Chennai","Tamil Nadu",
E626="Delhi","Delhi",
E626="Guwahati","Assam",
E626="Hyderabad","Telangana",
E626="Indore","Madhya Pradesh",
E626="Jaipur","Rajasthan",
E626="Kochi","Kerala",
E626="Kolkata","West Bengal",
E626="Lucknow","Uttar Pradesh",
E626="Mumbai","Maharashtra",
E626="Nagpur","Maharashtra",
E626="Patna","Bihar",
E626="Pune","Maharashtra",
E626="Raipur","Chhattisgarh",
E626="Surat","Gujarat",
TRUE,"Not Found"
)</f>
        <v>Maharashtra</v>
      </c>
      <c r="G626" t="s">
        <v>1150</v>
      </c>
      <c r="H626" t="s">
        <v>1167</v>
      </c>
      <c r="I626" t="s">
        <v>1288</v>
      </c>
      <c r="J626" t="s">
        <v>1336</v>
      </c>
      <c r="K626" t="s">
        <v>1337</v>
      </c>
      <c r="L626">
        <v>1</v>
      </c>
      <c r="M626">
        <v>10778</v>
      </c>
      <c r="N626">
        <v>0.2</v>
      </c>
      <c r="O626">
        <v>8622.4</v>
      </c>
      <c r="P626">
        <v>0.18</v>
      </c>
      <c r="Q626">
        <v>8622.4</v>
      </c>
      <c r="R626">
        <v>1552.0319999999999</v>
      </c>
      <c r="S626">
        <v>10174.432000000001</v>
      </c>
      <c r="T626">
        <f>ROUND(Table2[[#This Row],[TotalAmount]],0)</f>
        <v>10174</v>
      </c>
      <c r="U626" t="s">
        <v>1362</v>
      </c>
      <c r="V626" t="s">
        <v>1361</v>
      </c>
      <c r="W626" s="4">
        <v>45413</v>
      </c>
      <c r="X626" s="4">
        <v>45414</v>
      </c>
      <c r="Y626" t="b">
        <v>0</v>
      </c>
      <c r="Z626" t="s">
        <v>1412</v>
      </c>
      <c r="AA626" t="s">
        <v>1412</v>
      </c>
      <c r="AB626" t="s">
        <v>1412</v>
      </c>
      <c r="AC626" t="s">
        <v>1384</v>
      </c>
      <c r="AD626" t="s">
        <v>1387</v>
      </c>
      <c r="AE626" t="s">
        <v>1380</v>
      </c>
    </row>
    <row r="627" spans="1:31" x14ac:dyDescent="0.3">
      <c r="A627" t="s">
        <v>803</v>
      </c>
      <c r="B627" s="4">
        <v>45656.472916666673</v>
      </c>
      <c r="C627" t="s">
        <v>86</v>
      </c>
      <c r="D627" t="s">
        <v>1182</v>
      </c>
      <c r="E627" t="s">
        <v>1207</v>
      </c>
      <c r="F627" t="str" cm="1">
        <f t="array" ref="F627">_xlfn.IFS(
E627="Ahmedabad","Gujarat",
E627="Bengaluru","Karnataka",
E627="Bhopal","Madhya Pradesh",
E627="Bhubaneswar","Odisha",
E627="Chandigarh","Chandigarh",
E627="Chennai","Tamil Nadu",
E627="Delhi","Delhi",
E627="Guwahati","Assam",
E627="Hyderabad","Telangana",
E627="Indore","Madhya Pradesh",
E627="Jaipur","Rajasthan",
E627="Kochi","Kerala",
E627="Kolkata","West Bengal",
E627="Lucknow","Uttar Pradesh",
E627="Mumbai","Maharashtra",
E627="Nagpur","Maharashtra",
E627="Patna","Bihar",
E627="Pune","Maharashtra",
E627="Raipur","Chhattisgarh",
E627="Surat","Gujarat",
TRUE,"Not Found"
)</f>
        <v>Tamil Nadu</v>
      </c>
      <c r="G627" t="s">
        <v>1150</v>
      </c>
      <c r="H627" t="s">
        <v>1144</v>
      </c>
      <c r="I627" t="s">
        <v>1269</v>
      </c>
      <c r="J627" t="s">
        <v>1301</v>
      </c>
      <c r="K627" t="s">
        <v>1302</v>
      </c>
      <c r="L627">
        <v>3</v>
      </c>
      <c r="M627">
        <v>2728</v>
      </c>
      <c r="N627">
        <v>0.05</v>
      </c>
      <c r="O627">
        <v>2591.6</v>
      </c>
      <c r="P627">
        <v>0.05</v>
      </c>
      <c r="Q627">
        <v>7774.7999999999993</v>
      </c>
      <c r="R627">
        <v>388.74</v>
      </c>
      <c r="S627">
        <v>8163.5399999999991</v>
      </c>
      <c r="T627">
        <f>ROUND(Table2[[#This Row],[TotalAmount]],0)</f>
        <v>8164</v>
      </c>
      <c r="U627" t="s">
        <v>1360</v>
      </c>
      <c r="V627" t="s">
        <v>1361</v>
      </c>
      <c r="W627" s="4">
        <v>45657</v>
      </c>
      <c r="X627" s="4">
        <v>45662</v>
      </c>
      <c r="Y627" t="b">
        <v>0</v>
      </c>
      <c r="Z627" t="s">
        <v>1412</v>
      </c>
      <c r="AA627" t="s">
        <v>1412</v>
      </c>
      <c r="AB627" t="s">
        <v>1412</v>
      </c>
      <c r="AC627" t="s">
        <v>1376</v>
      </c>
      <c r="AD627" t="s">
        <v>1394</v>
      </c>
      <c r="AE627" t="s">
        <v>1380</v>
      </c>
    </row>
    <row r="628" spans="1:31" x14ac:dyDescent="0.3">
      <c r="A628" t="s">
        <v>804</v>
      </c>
      <c r="B628" s="4">
        <v>45303.396527777782</v>
      </c>
      <c r="C628" t="s">
        <v>551</v>
      </c>
      <c r="D628" t="s">
        <v>1157</v>
      </c>
      <c r="E628" t="s">
        <v>1201</v>
      </c>
      <c r="F628" t="str" cm="1">
        <f t="array" ref="F628">_xlfn.IFS(
E628="Ahmedabad","Gujarat",
E628="Bengaluru","Karnataka",
E628="Bhopal","Madhya Pradesh",
E628="Bhubaneswar","Odisha",
E628="Chandigarh","Chandigarh",
E628="Chennai","Tamil Nadu",
E628="Delhi","Delhi",
E628="Guwahati","Assam",
E628="Hyderabad","Telangana",
E628="Indore","Madhya Pradesh",
E628="Jaipur","Rajasthan",
E628="Kochi","Kerala",
E628="Kolkata","West Bengal",
E628="Lucknow","Uttar Pradesh",
E628="Mumbai","Maharashtra",
E628="Nagpur","Maharashtra",
E628="Patna","Bihar",
E628="Pune","Maharashtra",
E628="Raipur","Chhattisgarh",
E628="Surat","Gujarat",
TRUE,"Not Found"
)</f>
        <v>Maharashtra</v>
      </c>
      <c r="G628" t="s">
        <v>1150</v>
      </c>
      <c r="H628" t="s">
        <v>1144</v>
      </c>
      <c r="I628" t="s">
        <v>1269</v>
      </c>
      <c r="J628" t="s">
        <v>1326</v>
      </c>
      <c r="K628" t="s">
        <v>1327</v>
      </c>
      <c r="L628">
        <v>1</v>
      </c>
      <c r="M628">
        <v>13729</v>
      </c>
      <c r="N628">
        <v>0.1</v>
      </c>
      <c r="O628">
        <v>12356.1</v>
      </c>
      <c r="P628">
        <v>0.12</v>
      </c>
      <c r="Q628">
        <v>12356.1</v>
      </c>
      <c r="R628">
        <v>1482.732</v>
      </c>
      <c r="S628">
        <v>13838.832</v>
      </c>
      <c r="T628">
        <f>ROUND(Table2[[#This Row],[TotalAmount]],0)</f>
        <v>13839</v>
      </c>
      <c r="U628" t="s">
        <v>1366</v>
      </c>
      <c r="V628" t="s">
        <v>1361</v>
      </c>
      <c r="W628" s="4">
        <v>45305</v>
      </c>
      <c r="X628" s="4">
        <v>45308</v>
      </c>
      <c r="Y628" t="b">
        <v>0</v>
      </c>
      <c r="Z628" t="s">
        <v>1412</v>
      </c>
      <c r="AA628" t="s">
        <v>1412</v>
      </c>
      <c r="AB628" t="s">
        <v>1412</v>
      </c>
      <c r="AC628" t="s">
        <v>1386</v>
      </c>
      <c r="AD628" t="s">
        <v>1399</v>
      </c>
      <c r="AE628" t="s">
        <v>1378</v>
      </c>
    </row>
    <row r="629" spans="1:31" x14ac:dyDescent="0.3">
      <c r="A629" t="s">
        <v>805</v>
      </c>
      <c r="B629" s="4">
        <v>45679.541666666657</v>
      </c>
      <c r="C629" t="s">
        <v>354</v>
      </c>
      <c r="D629" t="s">
        <v>1148</v>
      </c>
      <c r="E629" t="s">
        <v>1217</v>
      </c>
      <c r="F629" t="str" cm="1">
        <f t="array" ref="F629">_xlfn.IFS(
E629="Ahmedabad","Gujarat",
E629="Bengaluru","Karnataka",
E629="Bhopal","Madhya Pradesh",
E629="Bhubaneswar","Odisha",
E629="Chandigarh","Chandigarh",
E629="Chennai","Tamil Nadu",
E629="Delhi","Delhi",
E629="Guwahati","Assam",
E629="Hyderabad","Telangana",
E629="Indore","Madhya Pradesh",
E629="Jaipur","Rajasthan",
E629="Kochi","Kerala",
E629="Kolkata","West Bengal",
E629="Lucknow","Uttar Pradesh",
E629="Mumbai","Maharashtra",
E629="Nagpur","Maharashtra",
E629="Patna","Bihar",
E629="Pune","Maharashtra",
E629="Raipur","Chhattisgarh",
E629="Surat","Gujarat",
TRUE,"Not Found"
)</f>
        <v>Delhi</v>
      </c>
      <c r="G629" t="s">
        <v>1143</v>
      </c>
      <c r="H629" t="s">
        <v>1177</v>
      </c>
      <c r="I629" t="s">
        <v>1195</v>
      </c>
      <c r="J629" t="s">
        <v>1196</v>
      </c>
      <c r="K629" t="s">
        <v>1197</v>
      </c>
      <c r="L629">
        <v>2</v>
      </c>
      <c r="M629">
        <v>1185</v>
      </c>
      <c r="N629">
        <v>0.2</v>
      </c>
      <c r="O629">
        <v>948</v>
      </c>
      <c r="P629">
        <v>0.05</v>
      </c>
      <c r="Q629">
        <v>1896</v>
      </c>
      <c r="R629">
        <v>94.800000000000011</v>
      </c>
      <c r="S629">
        <v>1990.8</v>
      </c>
      <c r="T629">
        <f>ROUND(Table2[[#This Row],[TotalAmount]],0)</f>
        <v>1991</v>
      </c>
      <c r="U629" t="s">
        <v>1360</v>
      </c>
      <c r="V629" t="s">
        <v>1361</v>
      </c>
      <c r="W629" s="4">
        <v>45681</v>
      </c>
      <c r="X629" s="4">
        <v>45682</v>
      </c>
      <c r="Y629" t="b">
        <v>0</v>
      </c>
      <c r="Z629" t="s">
        <v>1412</v>
      </c>
      <c r="AA629" t="s">
        <v>1412</v>
      </c>
      <c r="AB629" t="s">
        <v>1412</v>
      </c>
      <c r="AC629" t="s">
        <v>1386</v>
      </c>
      <c r="AD629" t="s">
        <v>1385</v>
      </c>
      <c r="AE629" t="s">
        <v>1393</v>
      </c>
    </row>
    <row r="630" spans="1:31" x14ac:dyDescent="0.3">
      <c r="A630" t="s">
        <v>806</v>
      </c>
      <c r="B630" s="4">
        <v>45720.709722222222</v>
      </c>
      <c r="C630" t="s">
        <v>610</v>
      </c>
      <c r="D630" t="s">
        <v>1157</v>
      </c>
      <c r="E630" t="s">
        <v>1181</v>
      </c>
      <c r="F630" t="str" cm="1">
        <f t="array" ref="F630">_xlfn.IFS(
E630="Ahmedabad","Gujarat",
E630="Bengaluru","Karnataka",
E630="Bhopal","Madhya Pradesh",
E630="Bhubaneswar","Odisha",
E630="Chandigarh","Chandigarh",
E630="Chennai","Tamil Nadu",
E630="Delhi","Delhi",
E630="Guwahati","Assam",
E630="Hyderabad","Telangana",
E630="Indore","Madhya Pradesh",
E630="Jaipur","Rajasthan",
E630="Kochi","Kerala",
E630="Kolkata","West Bengal",
E630="Lucknow","Uttar Pradesh",
E630="Mumbai","Maharashtra",
E630="Nagpur","Maharashtra",
E630="Patna","Bihar",
E630="Pune","Maharashtra",
E630="Raipur","Chhattisgarh",
E630="Surat","Gujarat",
TRUE,"Not Found"
)</f>
        <v>Gujarat</v>
      </c>
      <c r="G630" t="s">
        <v>1143</v>
      </c>
      <c r="H630" t="s">
        <v>1167</v>
      </c>
      <c r="I630" t="s">
        <v>1263</v>
      </c>
      <c r="J630" t="s">
        <v>1274</v>
      </c>
      <c r="K630" t="s">
        <v>1275</v>
      </c>
      <c r="L630">
        <v>1</v>
      </c>
      <c r="M630">
        <v>10632</v>
      </c>
      <c r="N630">
        <v>0</v>
      </c>
      <c r="O630">
        <v>10632</v>
      </c>
      <c r="P630">
        <v>0.12</v>
      </c>
      <c r="Q630">
        <v>10632</v>
      </c>
      <c r="R630">
        <v>1275.8399999999999</v>
      </c>
      <c r="S630">
        <v>11907.84</v>
      </c>
      <c r="T630">
        <f>ROUND(Table2[[#This Row],[TotalAmount]],0)</f>
        <v>11908</v>
      </c>
      <c r="U630" t="s">
        <v>1363</v>
      </c>
      <c r="V630" t="s">
        <v>1369</v>
      </c>
      <c r="W630" s="4" t="s">
        <v>1412</v>
      </c>
      <c r="X630" s="4" t="s">
        <v>1412</v>
      </c>
      <c r="Y630" t="b">
        <v>0</v>
      </c>
      <c r="Z630" t="s">
        <v>1412</v>
      </c>
      <c r="AA630" t="s">
        <v>1412</v>
      </c>
      <c r="AB630" t="s">
        <v>1412</v>
      </c>
      <c r="AC630" t="s">
        <v>1390</v>
      </c>
      <c r="AD630" t="s">
        <v>1400</v>
      </c>
      <c r="AE630" t="s">
        <v>1383</v>
      </c>
    </row>
    <row r="631" spans="1:31" x14ac:dyDescent="0.3">
      <c r="A631" t="s">
        <v>807</v>
      </c>
      <c r="B631" s="4">
        <v>45485.506944444453</v>
      </c>
      <c r="C631" t="s">
        <v>781</v>
      </c>
      <c r="D631" t="s">
        <v>1153</v>
      </c>
      <c r="E631" t="s">
        <v>1191</v>
      </c>
      <c r="F631" t="str" cm="1">
        <f t="array" ref="F631">_xlfn.IFS(
E631="Ahmedabad","Gujarat",
E631="Bengaluru","Karnataka",
E631="Bhopal","Madhya Pradesh",
E631="Bhubaneswar","Odisha",
E631="Chandigarh","Chandigarh",
E631="Chennai","Tamil Nadu",
E631="Delhi","Delhi",
E631="Guwahati","Assam",
E631="Hyderabad","Telangana",
E631="Indore","Madhya Pradesh",
E631="Jaipur","Rajasthan",
E631="Kochi","Kerala",
E631="Kolkata","West Bengal",
E631="Lucknow","Uttar Pradesh",
E631="Mumbai","Maharashtra",
E631="Nagpur","Maharashtra",
E631="Patna","Bihar",
E631="Pune","Maharashtra",
E631="Raipur","Chhattisgarh",
E631="Surat","Gujarat",
TRUE,"Not Found"
)</f>
        <v>Madhya Pradesh</v>
      </c>
      <c r="G631" t="s">
        <v>1150</v>
      </c>
      <c r="H631" t="s">
        <v>1167</v>
      </c>
      <c r="I631" t="s">
        <v>1288</v>
      </c>
      <c r="J631" t="s">
        <v>1336</v>
      </c>
      <c r="K631" t="s">
        <v>1337</v>
      </c>
      <c r="L631">
        <v>2</v>
      </c>
      <c r="M631">
        <v>37518</v>
      </c>
      <c r="N631">
        <v>0.05</v>
      </c>
      <c r="O631">
        <v>35642.1</v>
      </c>
      <c r="P631">
        <v>0.12</v>
      </c>
      <c r="Q631">
        <v>71284.2</v>
      </c>
      <c r="R631">
        <v>8554.1039999999994</v>
      </c>
      <c r="S631">
        <v>79838.304000000004</v>
      </c>
      <c r="T631">
        <f>ROUND(Table2[[#This Row],[TotalAmount]],0)</f>
        <v>79838</v>
      </c>
      <c r="U631" t="s">
        <v>1362</v>
      </c>
      <c r="V631" t="s">
        <v>1361</v>
      </c>
      <c r="W631" s="4">
        <v>45487</v>
      </c>
      <c r="X631" s="4">
        <v>45491</v>
      </c>
      <c r="Y631" t="b">
        <v>0</v>
      </c>
      <c r="Z631" t="s">
        <v>1412</v>
      </c>
      <c r="AA631" t="s">
        <v>1412</v>
      </c>
      <c r="AB631" t="s">
        <v>1412</v>
      </c>
      <c r="AC631" t="s">
        <v>1382</v>
      </c>
      <c r="AD631" t="s">
        <v>1397</v>
      </c>
      <c r="AE631" t="s">
        <v>1391</v>
      </c>
    </row>
    <row r="632" spans="1:31" x14ac:dyDescent="0.3">
      <c r="A632" t="s">
        <v>808</v>
      </c>
      <c r="B632" s="4">
        <v>45629.615972222222</v>
      </c>
      <c r="C632" t="s">
        <v>669</v>
      </c>
      <c r="D632" t="s">
        <v>1157</v>
      </c>
      <c r="E632" t="s">
        <v>1181</v>
      </c>
      <c r="F632" t="str" cm="1">
        <f t="array" ref="F632">_xlfn.IFS(
E632="Ahmedabad","Gujarat",
E632="Bengaluru","Karnataka",
E632="Bhopal","Madhya Pradesh",
E632="Bhubaneswar","Odisha",
E632="Chandigarh","Chandigarh",
E632="Chennai","Tamil Nadu",
E632="Delhi","Delhi",
E632="Guwahati","Assam",
E632="Hyderabad","Telangana",
E632="Indore","Madhya Pradesh",
E632="Jaipur","Rajasthan",
E632="Kochi","Kerala",
E632="Kolkata","West Bengal",
E632="Lucknow","Uttar Pradesh",
E632="Mumbai","Maharashtra",
E632="Nagpur","Maharashtra",
E632="Patna","Bihar",
E632="Pune","Maharashtra",
E632="Raipur","Chhattisgarh",
E632="Surat","Gujarat",
TRUE,"Not Found"
)</f>
        <v>Gujarat</v>
      </c>
      <c r="G632" t="s">
        <v>1143</v>
      </c>
      <c r="H632" t="s">
        <v>1177</v>
      </c>
      <c r="I632" t="s">
        <v>1195</v>
      </c>
      <c r="J632" t="s">
        <v>1196</v>
      </c>
      <c r="K632" t="s">
        <v>1197</v>
      </c>
      <c r="L632">
        <v>3</v>
      </c>
      <c r="M632">
        <v>1882</v>
      </c>
      <c r="N632">
        <v>0.05</v>
      </c>
      <c r="O632">
        <v>1787.9</v>
      </c>
      <c r="P632">
        <v>0.18</v>
      </c>
      <c r="Q632">
        <v>5363.7</v>
      </c>
      <c r="R632">
        <v>965.46599999999989</v>
      </c>
      <c r="S632">
        <v>6329.1659999999993</v>
      </c>
      <c r="T632">
        <f>ROUND(Table2[[#This Row],[TotalAmount]],0)</f>
        <v>6329</v>
      </c>
      <c r="U632" t="s">
        <v>1362</v>
      </c>
      <c r="V632" t="s">
        <v>1361</v>
      </c>
      <c r="W632" s="4">
        <v>45629</v>
      </c>
      <c r="X632" s="4">
        <v>45632</v>
      </c>
      <c r="Y632" t="b">
        <v>0</v>
      </c>
      <c r="Z632" t="s">
        <v>1412</v>
      </c>
      <c r="AA632" t="s">
        <v>1412</v>
      </c>
      <c r="AB632" t="s">
        <v>1412</v>
      </c>
      <c r="AC632" t="s">
        <v>1376</v>
      </c>
      <c r="AD632" t="s">
        <v>1397</v>
      </c>
      <c r="AE632" t="s">
        <v>1383</v>
      </c>
    </row>
    <row r="633" spans="1:31" x14ac:dyDescent="0.3">
      <c r="A633" t="s">
        <v>809</v>
      </c>
      <c r="B633" s="4">
        <v>45681.515277777777</v>
      </c>
      <c r="C633" t="s">
        <v>264</v>
      </c>
      <c r="D633" t="s">
        <v>1153</v>
      </c>
      <c r="E633" t="s">
        <v>1162</v>
      </c>
      <c r="F633" t="str" cm="1">
        <f t="array" ref="F633">_xlfn.IFS(
E633="Ahmedabad","Gujarat",
E633="Bengaluru","Karnataka",
E633="Bhopal","Madhya Pradesh",
E633="Bhubaneswar","Odisha",
E633="Chandigarh","Chandigarh",
E633="Chennai","Tamil Nadu",
E633="Delhi","Delhi",
E633="Guwahati","Assam",
E633="Hyderabad","Telangana",
E633="Indore","Madhya Pradesh",
E633="Jaipur","Rajasthan",
E633="Kochi","Kerala",
E633="Kolkata","West Bengal",
E633="Lucknow","Uttar Pradesh",
E633="Mumbai","Maharashtra",
E633="Nagpur","Maharashtra",
E633="Patna","Bihar",
E633="Pune","Maharashtra",
E633="Raipur","Chhattisgarh",
E633="Surat","Gujarat",
TRUE,"Not Found"
)</f>
        <v>Madhya Pradesh</v>
      </c>
      <c r="G633" t="s">
        <v>1143</v>
      </c>
      <c r="H633" t="s">
        <v>1177</v>
      </c>
      <c r="I633" t="s">
        <v>1178</v>
      </c>
      <c r="J633" t="s">
        <v>1179</v>
      </c>
      <c r="K633" t="s">
        <v>1180</v>
      </c>
      <c r="L633">
        <v>2</v>
      </c>
      <c r="M633">
        <v>2937</v>
      </c>
      <c r="N633">
        <v>0.2</v>
      </c>
      <c r="O633">
        <v>2349.6</v>
      </c>
      <c r="P633">
        <v>0.12</v>
      </c>
      <c r="Q633">
        <v>4699.2</v>
      </c>
      <c r="R633">
        <v>563.904</v>
      </c>
      <c r="S633">
        <v>5263.1039999999994</v>
      </c>
      <c r="T633">
        <f>ROUND(Table2[[#This Row],[TotalAmount]],0)</f>
        <v>5263</v>
      </c>
      <c r="U633" t="s">
        <v>1365</v>
      </c>
      <c r="V633" t="s">
        <v>1361</v>
      </c>
      <c r="W633" s="4">
        <v>45681</v>
      </c>
      <c r="X633" s="4">
        <v>45686</v>
      </c>
      <c r="Y633" t="b">
        <v>0</v>
      </c>
      <c r="Z633" t="s">
        <v>1412</v>
      </c>
      <c r="AA633" t="s">
        <v>1412</v>
      </c>
      <c r="AB633" t="s">
        <v>1412</v>
      </c>
      <c r="AC633" t="s">
        <v>1382</v>
      </c>
      <c r="AD633" t="s">
        <v>1387</v>
      </c>
      <c r="AE633" t="s">
        <v>1378</v>
      </c>
    </row>
    <row r="634" spans="1:31" x14ac:dyDescent="0.3">
      <c r="A634" t="s">
        <v>810</v>
      </c>
      <c r="B634" s="4">
        <v>45647.53125</v>
      </c>
      <c r="C634" t="s">
        <v>22</v>
      </c>
      <c r="D634" t="s">
        <v>1182</v>
      </c>
      <c r="E634" t="s">
        <v>1183</v>
      </c>
      <c r="F634" t="str" cm="1">
        <f t="array" ref="F634">_xlfn.IFS(
E634="Ahmedabad","Gujarat",
E634="Bengaluru","Karnataka",
E634="Bhopal","Madhya Pradesh",
E634="Bhubaneswar","Odisha",
E634="Chandigarh","Chandigarh",
E634="Chennai","Tamil Nadu",
E634="Delhi","Delhi",
E634="Guwahati","Assam",
E634="Hyderabad","Telangana",
E634="Indore","Madhya Pradesh",
E634="Jaipur","Rajasthan",
E634="Kochi","Kerala",
E634="Kolkata","West Bengal",
E634="Lucknow","Uttar Pradesh",
E634="Mumbai","Maharashtra",
E634="Nagpur","Maharashtra",
E634="Patna","Bihar",
E634="Pune","Maharashtra",
E634="Raipur","Chhattisgarh",
E634="Surat","Gujarat",
TRUE,"Not Found"
)</f>
        <v>Telangana</v>
      </c>
      <c r="G634" t="s">
        <v>1143</v>
      </c>
      <c r="H634" t="s">
        <v>1163</v>
      </c>
      <c r="I634" t="s">
        <v>1240</v>
      </c>
      <c r="J634" t="s">
        <v>1241</v>
      </c>
      <c r="K634" t="s">
        <v>1242</v>
      </c>
      <c r="L634">
        <v>2</v>
      </c>
      <c r="M634">
        <v>86</v>
      </c>
      <c r="N634">
        <v>0.05</v>
      </c>
      <c r="O634">
        <v>81.7</v>
      </c>
      <c r="P634">
        <v>0.05</v>
      </c>
      <c r="Q634">
        <v>163.4</v>
      </c>
      <c r="R634">
        <v>8.17</v>
      </c>
      <c r="S634">
        <v>171.57</v>
      </c>
      <c r="T634">
        <f>ROUND(Table2[[#This Row],[TotalAmount]],0)</f>
        <v>172</v>
      </c>
      <c r="U634" t="s">
        <v>1365</v>
      </c>
      <c r="V634" t="s">
        <v>1361</v>
      </c>
      <c r="W634" s="4">
        <v>45649</v>
      </c>
      <c r="X634" s="4">
        <v>45653</v>
      </c>
      <c r="Y634" t="b">
        <v>0</v>
      </c>
      <c r="Z634" t="s">
        <v>1412</v>
      </c>
      <c r="AA634" t="s">
        <v>1412</v>
      </c>
      <c r="AB634" t="s">
        <v>1412</v>
      </c>
      <c r="AC634" t="s">
        <v>1382</v>
      </c>
      <c r="AD634" t="s">
        <v>1385</v>
      </c>
      <c r="AE634" t="s">
        <v>1389</v>
      </c>
    </row>
    <row r="635" spans="1:31" x14ac:dyDescent="0.3">
      <c r="A635" t="s">
        <v>811</v>
      </c>
      <c r="B635" s="4">
        <v>45634.542361111111</v>
      </c>
      <c r="C635" t="s">
        <v>382</v>
      </c>
      <c r="D635" t="s">
        <v>1157</v>
      </c>
      <c r="E635" t="s">
        <v>1158</v>
      </c>
      <c r="F635" t="str" cm="1">
        <f t="array" ref="F635">_xlfn.IFS(
E635="Ahmedabad","Gujarat",
E635="Bengaluru","Karnataka",
E635="Bhopal","Madhya Pradesh",
E635="Bhubaneswar","Odisha",
E635="Chandigarh","Chandigarh",
E635="Chennai","Tamil Nadu",
E635="Delhi","Delhi",
E635="Guwahati","Assam",
E635="Hyderabad","Telangana",
E635="Indore","Madhya Pradesh",
E635="Jaipur","Rajasthan",
E635="Kochi","Kerala",
E635="Kolkata","West Bengal",
E635="Lucknow","Uttar Pradesh",
E635="Mumbai","Maharashtra",
E635="Nagpur","Maharashtra",
E635="Patna","Bihar",
E635="Pune","Maharashtra",
E635="Raipur","Chhattisgarh",
E635="Surat","Gujarat",
TRUE,"Not Found"
)</f>
        <v>Gujarat</v>
      </c>
      <c r="G635" t="s">
        <v>1150</v>
      </c>
      <c r="H635" t="s">
        <v>1144</v>
      </c>
      <c r="I635" t="s">
        <v>1269</v>
      </c>
      <c r="J635" t="s">
        <v>1326</v>
      </c>
      <c r="K635" t="s">
        <v>1327</v>
      </c>
      <c r="L635">
        <v>2</v>
      </c>
      <c r="M635">
        <v>10310</v>
      </c>
      <c r="N635">
        <v>0</v>
      </c>
      <c r="O635">
        <v>10310</v>
      </c>
      <c r="P635">
        <v>0.12</v>
      </c>
      <c r="Q635">
        <v>20620</v>
      </c>
      <c r="R635">
        <v>2474.4</v>
      </c>
      <c r="S635">
        <v>23094.400000000001</v>
      </c>
      <c r="T635">
        <f>ROUND(Table2[[#This Row],[TotalAmount]],0)</f>
        <v>23094</v>
      </c>
      <c r="U635" t="s">
        <v>1360</v>
      </c>
      <c r="V635" t="s">
        <v>1369</v>
      </c>
      <c r="W635" s="4" t="s">
        <v>1412</v>
      </c>
      <c r="X635" s="4" t="s">
        <v>1412</v>
      </c>
      <c r="Y635" t="b">
        <v>0</v>
      </c>
      <c r="Z635" t="s">
        <v>1412</v>
      </c>
      <c r="AA635" t="s">
        <v>1412</v>
      </c>
      <c r="AB635" t="s">
        <v>1412</v>
      </c>
      <c r="AC635" t="s">
        <v>1379</v>
      </c>
      <c r="AD635" t="s">
        <v>1400</v>
      </c>
      <c r="AE635" t="s">
        <v>1389</v>
      </c>
    </row>
    <row r="636" spans="1:31" x14ac:dyDescent="0.3">
      <c r="A636" t="s">
        <v>812</v>
      </c>
      <c r="B636" s="4">
        <v>45558.359722222223</v>
      </c>
      <c r="C636" t="s">
        <v>288</v>
      </c>
      <c r="D636" t="s">
        <v>1148</v>
      </c>
      <c r="E636" t="s">
        <v>1262</v>
      </c>
      <c r="F636" t="str" cm="1">
        <f t="array" ref="F636">_xlfn.IFS(
E636="Ahmedabad","Gujarat",
E636="Bengaluru","Karnataka",
E636="Bhopal","Madhya Pradesh",
E636="Bhubaneswar","Odisha",
E636="Chandigarh","Chandigarh",
E636="Chennai","Tamil Nadu",
E636="Delhi","Delhi",
E636="Guwahati","Assam",
E636="Hyderabad","Telangana",
E636="Indore","Madhya Pradesh",
E636="Jaipur","Rajasthan",
E636="Kochi","Kerala",
E636="Kolkata","West Bengal",
E636="Lucknow","Uttar Pradesh",
E636="Mumbai","Maharashtra",
E636="Nagpur","Maharashtra",
E636="Patna","Bihar",
E636="Pune","Maharashtra",
E636="Raipur","Chhattisgarh",
E636="Surat","Gujarat",
TRUE,"Not Found"
)</f>
        <v>Rajasthan</v>
      </c>
      <c r="G636" t="s">
        <v>1150</v>
      </c>
      <c r="H636" t="s">
        <v>1167</v>
      </c>
      <c r="I636" t="s">
        <v>1288</v>
      </c>
      <c r="J636" t="s">
        <v>1293</v>
      </c>
      <c r="K636" t="s">
        <v>1294</v>
      </c>
      <c r="L636">
        <v>1</v>
      </c>
      <c r="M636">
        <v>23815</v>
      </c>
      <c r="N636">
        <v>0</v>
      </c>
      <c r="O636">
        <v>23815</v>
      </c>
      <c r="P636">
        <v>0.05</v>
      </c>
      <c r="Q636">
        <v>23815</v>
      </c>
      <c r="R636">
        <v>1190.75</v>
      </c>
      <c r="S636">
        <v>25005.75</v>
      </c>
      <c r="T636">
        <f>ROUND(Table2[[#This Row],[TotalAmount]],0)</f>
        <v>25006</v>
      </c>
      <c r="U636" t="s">
        <v>1365</v>
      </c>
      <c r="V636" t="s">
        <v>1361</v>
      </c>
      <c r="W636" s="4">
        <v>45559</v>
      </c>
      <c r="X636" s="4">
        <v>45563</v>
      </c>
      <c r="Y636" t="b">
        <v>0</v>
      </c>
      <c r="Z636" t="s">
        <v>1412</v>
      </c>
      <c r="AA636" t="s">
        <v>1412</v>
      </c>
      <c r="AB636" t="s">
        <v>1412</v>
      </c>
      <c r="AC636" t="s">
        <v>1392</v>
      </c>
      <c r="AD636" t="s">
        <v>1397</v>
      </c>
      <c r="AE636" t="s">
        <v>1383</v>
      </c>
    </row>
    <row r="637" spans="1:31" x14ac:dyDescent="0.3">
      <c r="A637" t="s">
        <v>813</v>
      </c>
      <c r="B637" s="4">
        <v>45654.51458333333</v>
      </c>
      <c r="C637" t="s">
        <v>47</v>
      </c>
      <c r="D637" t="s">
        <v>1182</v>
      </c>
      <c r="E637" t="s">
        <v>1183</v>
      </c>
      <c r="F637" t="str" cm="1">
        <f t="array" ref="F637">_xlfn.IFS(
E637="Ahmedabad","Gujarat",
E637="Bengaluru","Karnataka",
E637="Bhopal","Madhya Pradesh",
E637="Bhubaneswar","Odisha",
E637="Chandigarh","Chandigarh",
E637="Chennai","Tamil Nadu",
E637="Delhi","Delhi",
E637="Guwahati","Assam",
E637="Hyderabad","Telangana",
E637="Indore","Madhya Pradesh",
E637="Jaipur","Rajasthan",
E637="Kochi","Kerala",
E637="Kolkata","West Bengal",
E637="Lucknow","Uttar Pradesh",
E637="Mumbai","Maharashtra",
E637="Nagpur","Maharashtra",
E637="Patna","Bihar",
E637="Pune","Maharashtra",
E637="Raipur","Chhattisgarh",
E637="Surat","Gujarat",
TRUE,"Not Found"
)</f>
        <v>Telangana</v>
      </c>
      <c r="G637" t="s">
        <v>1143</v>
      </c>
      <c r="H637" t="s">
        <v>1144</v>
      </c>
      <c r="I637" t="s">
        <v>1269</v>
      </c>
      <c r="J637" t="s">
        <v>1270</v>
      </c>
      <c r="K637" t="s">
        <v>1271</v>
      </c>
      <c r="L637">
        <v>1</v>
      </c>
      <c r="M637">
        <v>1459</v>
      </c>
      <c r="N637">
        <v>0.1</v>
      </c>
      <c r="O637">
        <v>1313.1</v>
      </c>
      <c r="P637">
        <v>0.12</v>
      </c>
      <c r="Q637">
        <v>1313.1</v>
      </c>
      <c r="R637">
        <v>157.572</v>
      </c>
      <c r="S637">
        <v>1470.672</v>
      </c>
      <c r="T637">
        <f>ROUND(Table2[[#This Row],[TotalAmount]],0)</f>
        <v>1471</v>
      </c>
      <c r="U637" t="s">
        <v>1363</v>
      </c>
      <c r="V637" t="s">
        <v>1368</v>
      </c>
      <c r="W637" s="4">
        <v>45655</v>
      </c>
      <c r="X637" s="4" t="s">
        <v>1412</v>
      </c>
      <c r="Y637" t="b">
        <v>0</v>
      </c>
      <c r="Z637" t="s">
        <v>1412</v>
      </c>
      <c r="AA637" t="s">
        <v>1412</v>
      </c>
      <c r="AB637" t="s">
        <v>1412</v>
      </c>
      <c r="AC637" t="s">
        <v>1392</v>
      </c>
      <c r="AD637" t="s">
        <v>1394</v>
      </c>
      <c r="AE637" t="s">
        <v>1395</v>
      </c>
    </row>
    <row r="638" spans="1:31" x14ac:dyDescent="0.3">
      <c r="A638" t="s">
        <v>814</v>
      </c>
      <c r="B638" s="4">
        <v>45753.490972222222</v>
      </c>
      <c r="C638" t="s">
        <v>396</v>
      </c>
      <c r="D638" t="s">
        <v>1157</v>
      </c>
      <c r="E638" t="s">
        <v>1158</v>
      </c>
      <c r="F638" t="str" cm="1">
        <f t="array" ref="F638">_xlfn.IFS(
E638="Ahmedabad","Gujarat",
E638="Bengaluru","Karnataka",
E638="Bhopal","Madhya Pradesh",
E638="Bhubaneswar","Odisha",
E638="Chandigarh","Chandigarh",
E638="Chennai","Tamil Nadu",
E638="Delhi","Delhi",
E638="Guwahati","Assam",
E638="Hyderabad","Telangana",
E638="Indore","Madhya Pradesh",
E638="Jaipur","Rajasthan",
E638="Kochi","Kerala",
E638="Kolkata","West Bengal",
E638="Lucknow","Uttar Pradesh",
E638="Mumbai","Maharashtra",
E638="Nagpur","Maharashtra",
E638="Patna","Bihar",
E638="Pune","Maharashtra",
E638="Raipur","Chhattisgarh",
E638="Surat","Gujarat",
TRUE,"Not Found"
)</f>
        <v>Gujarat</v>
      </c>
      <c r="G638" t="s">
        <v>1187</v>
      </c>
      <c r="H638" t="s">
        <v>1163</v>
      </c>
      <c r="I638" t="s">
        <v>1224</v>
      </c>
      <c r="J638" t="s">
        <v>1225</v>
      </c>
      <c r="K638" t="s">
        <v>1226</v>
      </c>
      <c r="L638">
        <v>4</v>
      </c>
      <c r="M638">
        <v>1184</v>
      </c>
      <c r="N638">
        <v>0</v>
      </c>
      <c r="O638">
        <v>1184</v>
      </c>
      <c r="P638">
        <v>0.18</v>
      </c>
      <c r="Q638">
        <v>4736</v>
      </c>
      <c r="R638">
        <v>852.48</v>
      </c>
      <c r="S638">
        <v>5588.48</v>
      </c>
      <c r="T638">
        <f>ROUND(Table2[[#This Row],[TotalAmount]],0)</f>
        <v>5588</v>
      </c>
      <c r="U638" t="s">
        <v>1360</v>
      </c>
      <c r="V638" t="s">
        <v>1364</v>
      </c>
      <c r="W638" s="4">
        <v>45753</v>
      </c>
      <c r="X638" s="4" t="s">
        <v>1412</v>
      </c>
      <c r="Y638" t="b">
        <v>1</v>
      </c>
      <c r="Z638" s="1">
        <v>45758</v>
      </c>
      <c r="AA638" s="1">
        <v>45758</v>
      </c>
      <c r="AB638" t="s">
        <v>1404</v>
      </c>
      <c r="AC638" t="s">
        <v>1388</v>
      </c>
      <c r="AD638" t="s">
        <v>1394</v>
      </c>
      <c r="AE638" t="s">
        <v>1383</v>
      </c>
    </row>
    <row r="639" spans="1:31" x14ac:dyDescent="0.3">
      <c r="A639" t="s">
        <v>815</v>
      </c>
      <c r="B639" s="4">
        <v>45453.652083333327</v>
      </c>
      <c r="C639" t="s">
        <v>712</v>
      </c>
      <c r="D639" t="s">
        <v>1157</v>
      </c>
      <c r="E639" t="s">
        <v>1249</v>
      </c>
      <c r="F639" t="str" cm="1">
        <f t="array" ref="F639">_xlfn.IFS(
E639="Ahmedabad","Gujarat",
E639="Bengaluru","Karnataka",
E639="Bhopal","Madhya Pradesh",
E639="Bhubaneswar","Odisha",
E639="Chandigarh","Chandigarh",
E639="Chennai","Tamil Nadu",
E639="Delhi","Delhi",
E639="Guwahati","Assam",
E639="Hyderabad","Telangana",
E639="Indore","Madhya Pradesh",
E639="Jaipur","Rajasthan",
E639="Kochi","Kerala",
E639="Kolkata","West Bengal",
E639="Lucknow","Uttar Pradesh",
E639="Mumbai","Maharashtra",
E639="Nagpur","Maharashtra",
E639="Patna","Bihar",
E639="Pune","Maharashtra",
E639="Raipur","Chhattisgarh",
E639="Surat","Gujarat",
TRUE,"Not Found"
)</f>
        <v>Maharashtra</v>
      </c>
      <c r="G639" t="s">
        <v>1143</v>
      </c>
      <c r="H639" t="s">
        <v>1163</v>
      </c>
      <c r="I639" t="s">
        <v>1224</v>
      </c>
      <c r="J639" t="s">
        <v>1316</v>
      </c>
      <c r="K639" t="s">
        <v>1317</v>
      </c>
      <c r="L639">
        <v>1</v>
      </c>
      <c r="M639">
        <v>681</v>
      </c>
      <c r="N639">
        <v>0.1</v>
      </c>
      <c r="O639">
        <v>612.9</v>
      </c>
      <c r="P639">
        <v>0.12</v>
      </c>
      <c r="Q639">
        <v>612.9</v>
      </c>
      <c r="R639">
        <v>73.547999999999988</v>
      </c>
      <c r="S639">
        <v>686.44799999999998</v>
      </c>
      <c r="T639">
        <f>ROUND(Table2[[#This Row],[TotalAmount]],0)</f>
        <v>686</v>
      </c>
      <c r="U639" t="s">
        <v>1362</v>
      </c>
      <c r="V639" t="s">
        <v>1361</v>
      </c>
      <c r="W639" s="4">
        <v>45453</v>
      </c>
      <c r="X639" s="4">
        <v>45458</v>
      </c>
      <c r="Y639" t="b">
        <v>0</v>
      </c>
      <c r="Z639" t="s">
        <v>1412</v>
      </c>
      <c r="AA639" t="s">
        <v>1412</v>
      </c>
      <c r="AB639" t="s">
        <v>1412</v>
      </c>
      <c r="AC639" t="s">
        <v>1396</v>
      </c>
      <c r="AD639" t="s">
        <v>1400</v>
      </c>
      <c r="AE639" t="s">
        <v>1383</v>
      </c>
    </row>
    <row r="640" spans="1:31" x14ac:dyDescent="0.3">
      <c r="A640" t="s">
        <v>816</v>
      </c>
      <c r="B640" s="4">
        <v>45408.679861111108</v>
      </c>
      <c r="C640" t="s">
        <v>30</v>
      </c>
      <c r="D640" t="s">
        <v>1153</v>
      </c>
      <c r="E640" t="s">
        <v>1162</v>
      </c>
      <c r="F640" t="str" cm="1">
        <f t="array" ref="F640">_xlfn.IFS(
E640="Ahmedabad","Gujarat",
E640="Bengaluru","Karnataka",
E640="Bhopal","Madhya Pradesh",
E640="Bhubaneswar","Odisha",
E640="Chandigarh","Chandigarh",
E640="Chennai","Tamil Nadu",
E640="Delhi","Delhi",
E640="Guwahati","Assam",
E640="Hyderabad","Telangana",
E640="Indore","Madhya Pradesh",
E640="Jaipur","Rajasthan",
E640="Kochi","Kerala",
E640="Kolkata","West Bengal",
E640="Lucknow","Uttar Pradesh",
E640="Mumbai","Maharashtra",
E640="Nagpur","Maharashtra",
E640="Patna","Bihar",
E640="Pune","Maharashtra",
E640="Raipur","Chhattisgarh",
E640="Surat","Gujarat",
TRUE,"Not Found"
)</f>
        <v>Madhya Pradesh</v>
      </c>
      <c r="G640" t="s">
        <v>1187</v>
      </c>
      <c r="H640" t="s">
        <v>1177</v>
      </c>
      <c r="I640" t="s">
        <v>1192</v>
      </c>
      <c r="J640" t="s">
        <v>1193</v>
      </c>
      <c r="K640" t="s">
        <v>1194</v>
      </c>
      <c r="L640">
        <v>1</v>
      </c>
      <c r="M640">
        <v>2939</v>
      </c>
      <c r="N640">
        <v>0</v>
      </c>
      <c r="O640">
        <v>2939</v>
      </c>
      <c r="P640">
        <v>0.12</v>
      </c>
      <c r="Q640">
        <v>2939</v>
      </c>
      <c r="R640">
        <v>352.68</v>
      </c>
      <c r="S640">
        <v>3291.68</v>
      </c>
      <c r="T640">
        <f>ROUND(Table2[[#This Row],[TotalAmount]],0)</f>
        <v>3292</v>
      </c>
      <c r="U640" t="s">
        <v>1360</v>
      </c>
      <c r="V640" t="s">
        <v>1361</v>
      </c>
      <c r="W640" s="4">
        <v>45409</v>
      </c>
      <c r="X640" s="4">
        <v>45413</v>
      </c>
      <c r="Y640" t="b">
        <v>0</v>
      </c>
      <c r="Z640" t="s">
        <v>1412</v>
      </c>
      <c r="AA640" t="s">
        <v>1412</v>
      </c>
      <c r="AB640" t="s">
        <v>1412</v>
      </c>
      <c r="AC640" t="s">
        <v>1392</v>
      </c>
      <c r="AD640" t="s">
        <v>1377</v>
      </c>
      <c r="AE640" t="s">
        <v>1378</v>
      </c>
    </row>
    <row r="641" spans="1:31" x14ac:dyDescent="0.3">
      <c r="A641" t="s">
        <v>817</v>
      </c>
      <c r="B641" s="4">
        <v>45716.5</v>
      </c>
      <c r="C641" t="s">
        <v>223</v>
      </c>
      <c r="D641" t="s">
        <v>1148</v>
      </c>
      <c r="E641" t="s">
        <v>1149</v>
      </c>
      <c r="F641" t="str" cm="1">
        <f t="array" ref="F641">_xlfn.IFS(
E641="Ahmedabad","Gujarat",
E641="Bengaluru","Karnataka",
E641="Bhopal","Madhya Pradesh",
E641="Bhubaneswar","Odisha",
E641="Chandigarh","Chandigarh",
E641="Chennai","Tamil Nadu",
E641="Delhi","Delhi",
E641="Guwahati","Assam",
E641="Hyderabad","Telangana",
E641="Indore","Madhya Pradesh",
E641="Jaipur","Rajasthan",
E641="Kochi","Kerala",
E641="Kolkata","West Bengal",
E641="Lucknow","Uttar Pradesh",
E641="Mumbai","Maharashtra",
E641="Nagpur","Maharashtra",
E641="Patna","Bihar",
E641="Pune","Maharashtra",
E641="Raipur","Chhattisgarh",
E641="Surat","Gujarat",
TRUE,"Not Found"
)</f>
        <v>Uttar Pradesh</v>
      </c>
      <c r="G641" t="s">
        <v>1150</v>
      </c>
      <c r="H641" t="s">
        <v>1163</v>
      </c>
      <c r="I641" t="s">
        <v>1240</v>
      </c>
      <c r="J641" t="s">
        <v>1247</v>
      </c>
      <c r="K641" t="s">
        <v>1248</v>
      </c>
      <c r="L641">
        <v>1</v>
      </c>
      <c r="M641">
        <v>1031</v>
      </c>
      <c r="N641">
        <v>0.1</v>
      </c>
      <c r="O641">
        <v>927.9</v>
      </c>
      <c r="P641">
        <v>0.12</v>
      </c>
      <c r="Q641">
        <v>927.9</v>
      </c>
      <c r="R641">
        <v>111.348</v>
      </c>
      <c r="S641">
        <v>1039.248</v>
      </c>
      <c r="T641">
        <f>ROUND(Table2[[#This Row],[TotalAmount]],0)</f>
        <v>1039</v>
      </c>
      <c r="U641" t="s">
        <v>1362</v>
      </c>
      <c r="V641" t="s">
        <v>1361</v>
      </c>
      <c r="W641" s="4">
        <v>45717</v>
      </c>
      <c r="X641" s="4">
        <v>45718</v>
      </c>
      <c r="Y641" t="b">
        <v>0</v>
      </c>
      <c r="Z641" t="s">
        <v>1412</v>
      </c>
      <c r="AA641" t="s">
        <v>1412</v>
      </c>
      <c r="AB641" t="s">
        <v>1412</v>
      </c>
      <c r="AC641" t="s">
        <v>1376</v>
      </c>
      <c r="AD641" t="s">
        <v>1385</v>
      </c>
      <c r="AE641" t="s">
        <v>1383</v>
      </c>
    </row>
    <row r="642" spans="1:31" x14ac:dyDescent="0.3">
      <c r="A642" t="s">
        <v>818</v>
      </c>
      <c r="B642" s="4">
        <v>45525.536111111112</v>
      </c>
      <c r="C642" t="s">
        <v>189</v>
      </c>
      <c r="D642" t="s">
        <v>1182</v>
      </c>
      <c r="E642" t="s">
        <v>1207</v>
      </c>
      <c r="F642" t="str" cm="1">
        <f t="array" ref="F642">_xlfn.IFS(
E642="Ahmedabad","Gujarat",
E642="Bengaluru","Karnataka",
E642="Bhopal","Madhya Pradesh",
E642="Bhubaneswar","Odisha",
E642="Chandigarh","Chandigarh",
E642="Chennai","Tamil Nadu",
E642="Delhi","Delhi",
E642="Guwahati","Assam",
E642="Hyderabad","Telangana",
E642="Indore","Madhya Pradesh",
E642="Jaipur","Rajasthan",
E642="Kochi","Kerala",
E642="Kolkata","West Bengal",
E642="Lucknow","Uttar Pradesh",
E642="Mumbai","Maharashtra",
E642="Nagpur","Maharashtra",
E642="Patna","Bihar",
E642="Pune","Maharashtra",
E642="Raipur","Chhattisgarh",
E642="Surat","Gujarat",
TRUE,"Not Found"
)</f>
        <v>Tamil Nadu</v>
      </c>
      <c r="G642" t="s">
        <v>1187</v>
      </c>
      <c r="H642" t="s">
        <v>1144</v>
      </c>
      <c r="I642" t="s">
        <v>1159</v>
      </c>
      <c r="J642" t="s">
        <v>1160</v>
      </c>
      <c r="K642" t="s">
        <v>1161</v>
      </c>
      <c r="L642">
        <v>1</v>
      </c>
      <c r="M642">
        <v>1736</v>
      </c>
      <c r="N642">
        <v>0.1</v>
      </c>
      <c r="O642">
        <v>1562.4</v>
      </c>
      <c r="P642">
        <v>0.12</v>
      </c>
      <c r="Q642">
        <v>1562.4</v>
      </c>
      <c r="R642">
        <v>187.488</v>
      </c>
      <c r="S642">
        <v>1749.8879999999999</v>
      </c>
      <c r="T642">
        <f>ROUND(Table2[[#This Row],[TotalAmount]],0)</f>
        <v>1750</v>
      </c>
      <c r="U642" t="s">
        <v>1362</v>
      </c>
      <c r="V642" t="s">
        <v>1361</v>
      </c>
      <c r="W642" s="4">
        <v>45526</v>
      </c>
      <c r="X642" s="4">
        <v>45530</v>
      </c>
      <c r="Y642" t="b">
        <v>0</v>
      </c>
      <c r="Z642" t="s">
        <v>1412</v>
      </c>
      <c r="AA642" t="s">
        <v>1412</v>
      </c>
      <c r="AB642" t="s">
        <v>1412</v>
      </c>
      <c r="AC642" t="s">
        <v>1386</v>
      </c>
      <c r="AD642" t="s">
        <v>1394</v>
      </c>
      <c r="AE642" t="s">
        <v>1395</v>
      </c>
    </row>
    <row r="643" spans="1:31" x14ac:dyDescent="0.3">
      <c r="A643" t="s">
        <v>819</v>
      </c>
      <c r="B643" s="4">
        <v>45325.695138888892</v>
      </c>
      <c r="C643" t="s">
        <v>275</v>
      </c>
      <c r="D643" t="s">
        <v>1141</v>
      </c>
      <c r="E643" t="s">
        <v>1227</v>
      </c>
      <c r="F643" t="str" cm="1">
        <f t="array" ref="F643">_xlfn.IFS(
E643="Ahmedabad","Gujarat",
E643="Bengaluru","Karnataka",
E643="Bhopal","Madhya Pradesh",
E643="Bhubaneswar","Odisha",
E643="Chandigarh","Chandigarh",
E643="Chennai","Tamil Nadu",
E643="Delhi","Delhi",
E643="Guwahati","Assam",
E643="Hyderabad","Telangana",
E643="Indore","Madhya Pradesh",
E643="Jaipur","Rajasthan",
E643="Kochi","Kerala",
E643="Kolkata","West Bengal",
E643="Lucknow","Uttar Pradesh",
E643="Mumbai","Maharashtra",
E643="Nagpur","Maharashtra",
E643="Patna","Bihar",
E643="Pune","Maharashtra",
E643="Raipur","Chhattisgarh",
E643="Surat","Gujarat",
TRUE,"Not Found"
)</f>
        <v>Bihar</v>
      </c>
      <c r="G643" t="s">
        <v>1187</v>
      </c>
      <c r="H643" t="s">
        <v>1144</v>
      </c>
      <c r="I643" t="s">
        <v>1269</v>
      </c>
      <c r="J643" t="s">
        <v>1326</v>
      </c>
      <c r="K643" t="s">
        <v>1327</v>
      </c>
      <c r="L643">
        <v>1</v>
      </c>
      <c r="M643">
        <v>8311</v>
      </c>
      <c r="N643">
        <v>0.1</v>
      </c>
      <c r="O643">
        <v>7479.9000000000005</v>
      </c>
      <c r="P643">
        <v>0.12</v>
      </c>
      <c r="Q643">
        <v>7479.9000000000005</v>
      </c>
      <c r="R643">
        <v>897.58800000000008</v>
      </c>
      <c r="S643">
        <v>8377.4880000000012</v>
      </c>
      <c r="T643">
        <f>ROUND(Table2[[#This Row],[TotalAmount]],0)</f>
        <v>8377</v>
      </c>
      <c r="U643" t="s">
        <v>1360</v>
      </c>
      <c r="V643" t="s">
        <v>1364</v>
      </c>
      <c r="W643" s="4">
        <v>45325</v>
      </c>
      <c r="X643" s="4" t="s">
        <v>1412</v>
      </c>
      <c r="Y643" t="b">
        <v>1</v>
      </c>
      <c r="Z643" s="1">
        <v>45334</v>
      </c>
      <c r="AA643" s="1">
        <v>45334</v>
      </c>
      <c r="AB643" t="s">
        <v>1403</v>
      </c>
      <c r="AC643" t="s">
        <v>1379</v>
      </c>
      <c r="AD643" t="s">
        <v>1377</v>
      </c>
      <c r="AE643" t="s">
        <v>1378</v>
      </c>
    </row>
    <row r="644" spans="1:31" x14ac:dyDescent="0.3">
      <c r="A644" t="s">
        <v>820</v>
      </c>
      <c r="B644" s="4">
        <v>45739.436805555553</v>
      </c>
      <c r="C644" t="s">
        <v>290</v>
      </c>
      <c r="D644" t="s">
        <v>1141</v>
      </c>
      <c r="E644" t="s">
        <v>1227</v>
      </c>
      <c r="F644" t="str" cm="1">
        <f t="array" ref="F644">_xlfn.IFS(
E644="Ahmedabad","Gujarat",
E644="Bengaluru","Karnataka",
E644="Bhopal","Madhya Pradesh",
E644="Bhubaneswar","Odisha",
E644="Chandigarh","Chandigarh",
E644="Chennai","Tamil Nadu",
E644="Delhi","Delhi",
E644="Guwahati","Assam",
E644="Hyderabad","Telangana",
E644="Indore","Madhya Pradesh",
E644="Jaipur","Rajasthan",
E644="Kochi","Kerala",
E644="Kolkata","West Bengal",
E644="Lucknow","Uttar Pradesh",
E644="Mumbai","Maharashtra",
E644="Nagpur","Maharashtra",
E644="Patna","Bihar",
E644="Pune","Maharashtra",
E644="Raipur","Chhattisgarh",
E644="Surat","Gujarat",
TRUE,"Not Found"
)</f>
        <v>Bihar</v>
      </c>
      <c r="G644" t="s">
        <v>1150</v>
      </c>
      <c r="H644" t="s">
        <v>1172</v>
      </c>
      <c r="I644" t="s">
        <v>1188</v>
      </c>
      <c r="J644" t="s">
        <v>1232</v>
      </c>
      <c r="K644" t="s">
        <v>1233</v>
      </c>
      <c r="L644">
        <v>1</v>
      </c>
      <c r="M644">
        <v>6285</v>
      </c>
      <c r="N644">
        <v>0</v>
      </c>
      <c r="O644">
        <v>6285</v>
      </c>
      <c r="P644">
        <v>0.12</v>
      </c>
      <c r="Q644">
        <v>6285</v>
      </c>
      <c r="R644">
        <v>754.19999999999993</v>
      </c>
      <c r="S644">
        <v>7039.2</v>
      </c>
      <c r="T644">
        <f>ROUND(Table2[[#This Row],[TotalAmount]],0)</f>
        <v>7039</v>
      </c>
      <c r="U644" t="s">
        <v>1365</v>
      </c>
      <c r="V644" t="s">
        <v>1361</v>
      </c>
      <c r="W644" s="4">
        <v>45739</v>
      </c>
      <c r="X644" s="4">
        <v>45740</v>
      </c>
      <c r="Y644" t="b">
        <v>0</v>
      </c>
      <c r="Z644" t="s">
        <v>1412</v>
      </c>
      <c r="AA644" t="s">
        <v>1412</v>
      </c>
      <c r="AB644" t="s">
        <v>1412</v>
      </c>
      <c r="AC644" t="s">
        <v>1398</v>
      </c>
      <c r="AD644" t="s">
        <v>1400</v>
      </c>
      <c r="AE644" t="s">
        <v>1378</v>
      </c>
    </row>
    <row r="645" spans="1:31" x14ac:dyDescent="0.3">
      <c r="A645" t="s">
        <v>821</v>
      </c>
      <c r="B645" s="4">
        <v>45397.436111111107</v>
      </c>
      <c r="C645" t="s">
        <v>320</v>
      </c>
      <c r="D645" t="s">
        <v>1153</v>
      </c>
      <c r="E645" t="s">
        <v>1162</v>
      </c>
      <c r="F645" t="str" cm="1">
        <f t="array" ref="F645">_xlfn.IFS(
E645="Ahmedabad","Gujarat",
E645="Bengaluru","Karnataka",
E645="Bhopal","Madhya Pradesh",
E645="Bhubaneswar","Odisha",
E645="Chandigarh","Chandigarh",
E645="Chennai","Tamil Nadu",
E645="Delhi","Delhi",
E645="Guwahati","Assam",
E645="Hyderabad","Telangana",
E645="Indore","Madhya Pradesh",
E645="Jaipur","Rajasthan",
E645="Kochi","Kerala",
E645="Kolkata","West Bengal",
E645="Lucknow","Uttar Pradesh",
E645="Mumbai","Maharashtra",
E645="Nagpur","Maharashtra",
E645="Patna","Bihar",
E645="Pune","Maharashtra",
E645="Raipur","Chhattisgarh",
E645="Surat","Gujarat",
TRUE,"Not Found"
)</f>
        <v>Madhya Pradesh</v>
      </c>
      <c r="G645" t="s">
        <v>1228</v>
      </c>
      <c r="H645" t="s">
        <v>1177</v>
      </c>
      <c r="I645" t="s">
        <v>1192</v>
      </c>
      <c r="J645" t="s">
        <v>1344</v>
      </c>
      <c r="K645" t="s">
        <v>1345</v>
      </c>
      <c r="L645">
        <v>1</v>
      </c>
      <c r="M645">
        <v>451</v>
      </c>
      <c r="N645">
        <v>0.05</v>
      </c>
      <c r="O645">
        <v>428.45</v>
      </c>
      <c r="P645">
        <v>0.12</v>
      </c>
      <c r="Q645">
        <v>428.45</v>
      </c>
      <c r="R645">
        <v>51.413999999999987</v>
      </c>
      <c r="S645">
        <v>479.86399999999998</v>
      </c>
      <c r="T645">
        <f>ROUND(Table2[[#This Row],[TotalAmount]],0)</f>
        <v>480</v>
      </c>
      <c r="U645" t="s">
        <v>1366</v>
      </c>
      <c r="V645" t="s">
        <v>1367</v>
      </c>
      <c r="W645" s="4">
        <v>45397</v>
      </c>
      <c r="X645" s="4" t="s">
        <v>1412</v>
      </c>
      <c r="Y645" t="b">
        <v>0</v>
      </c>
      <c r="Z645" t="s">
        <v>1412</v>
      </c>
      <c r="AA645" t="s">
        <v>1412</v>
      </c>
      <c r="AB645" t="s">
        <v>1412</v>
      </c>
      <c r="AC645" t="s">
        <v>1398</v>
      </c>
      <c r="AD645" t="s">
        <v>1377</v>
      </c>
      <c r="AE645" t="s">
        <v>1378</v>
      </c>
    </row>
    <row r="646" spans="1:31" x14ac:dyDescent="0.3">
      <c r="A646" t="s">
        <v>822</v>
      </c>
      <c r="B646" s="4">
        <v>45646.375</v>
      </c>
      <c r="C646" t="s">
        <v>524</v>
      </c>
      <c r="D646" t="s">
        <v>1148</v>
      </c>
      <c r="E646" t="s">
        <v>1149</v>
      </c>
      <c r="F646" t="str" cm="1">
        <f t="array" ref="F646">_xlfn.IFS(
E646="Ahmedabad","Gujarat",
E646="Bengaluru","Karnataka",
E646="Bhopal","Madhya Pradesh",
E646="Bhubaneswar","Odisha",
E646="Chandigarh","Chandigarh",
E646="Chennai","Tamil Nadu",
E646="Delhi","Delhi",
E646="Guwahati","Assam",
E646="Hyderabad","Telangana",
E646="Indore","Madhya Pradesh",
E646="Jaipur","Rajasthan",
E646="Kochi","Kerala",
E646="Kolkata","West Bengal",
E646="Lucknow","Uttar Pradesh",
E646="Mumbai","Maharashtra",
E646="Nagpur","Maharashtra",
E646="Patna","Bihar",
E646="Pune","Maharashtra",
E646="Raipur","Chhattisgarh",
E646="Surat","Gujarat",
TRUE,"Not Found"
)</f>
        <v>Uttar Pradesh</v>
      </c>
      <c r="G646" t="s">
        <v>1143</v>
      </c>
      <c r="H646" t="s">
        <v>1177</v>
      </c>
      <c r="I646" t="s">
        <v>1178</v>
      </c>
      <c r="J646" t="s">
        <v>1220</v>
      </c>
      <c r="K646" t="s">
        <v>1221</v>
      </c>
      <c r="L646">
        <v>2</v>
      </c>
      <c r="M646">
        <v>697</v>
      </c>
      <c r="N646">
        <v>0</v>
      </c>
      <c r="O646">
        <v>697</v>
      </c>
      <c r="P646">
        <v>0.12</v>
      </c>
      <c r="Q646">
        <v>1394</v>
      </c>
      <c r="R646">
        <v>167.28</v>
      </c>
      <c r="S646">
        <v>1561.28</v>
      </c>
      <c r="T646">
        <f>ROUND(Table2[[#This Row],[TotalAmount]],0)</f>
        <v>1561</v>
      </c>
      <c r="U646" t="s">
        <v>1360</v>
      </c>
      <c r="V646" t="s">
        <v>1361</v>
      </c>
      <c r="W646" s="4">
        <v>45646</v>
      </c>
      <c r="X646" s="4">
        <v>45647</v>
      </c>
      <c r="Y646" t="b">
        <v>0</v>
      </c>
      <c r="Z646" t="s">
        <v>1412</v>
      </c>
      <c r="AA646" t="s">
        <v>1412</v>
      </c>
      <c r="AB646" t="s">
        <v>1412</v>
      </c>
      <c r="AC646" t="s">
        <v>1392</v>
      </c>
      <c r="AD646" t="s">
        <v>1400</v>
      </c>
      <c r="AE646" t="s">
        <v>1380</v>
      </c>
    </row>
    <row r="647" spans="1:31" x14ac:dyDescent="0.3">
      <c r="A647" t="s">
        <v>823</v>
      </c>
      <c r="B647" s="4">
        <v>45405.581944444442</v>
      </c>
      <c r="C647" t="s">
        <v>65</v>
      </c>
      <c r="D647" t="s">
        <v>1141</v>
      </c>
      <c r="E647" t="s">
        <v>1142</v>
      </c>
      <c r="F647" t="str" cm="1">
        <f t="array" ref="F647">_xlfn.IFS(
E647="Ahmedabad","Gujarat",
E647="Bengaluru","Karnataka",
E647="Bhopal","Madhya Pradesh",
E647="Bhubaneswar","Odisha",
E647="Chandigarh","Chandigarh",
E647="Chennai","Tamil Nadu",
E647="Delhi","Delhi",
E647="Guwahati","Assam",
E647="Hyderabad","Telangana",
E647="Indore","Madhya Pradesh",
E647="Jaipur","Rajasthan",
E647="Kochi","Kerala",
E647="Kolkata","West Bengal",
E647="Lucknow","Uttar Pradesh",
E647="Mumbai","Maharashtra",
E647="Nagpur","Maharashtra",
E647="Patna","Bihar",
E647="Pune","Maharashtra",
E647="Raipur","Chhattisgarh",
E647="Surat","Gujarat",
TRUE,"Not Found"
)</f>
        <v>West Bengal</v>
      </c>
      <c r="G647" t="s">
        <v>1228</v>
      </c>
      <c r="H647" t="s">
        <v>1172</v>
      </c>
      <c r="I647" t="s">
        <v>1198</v>
      </c>
      <c r="J647" t="s">
        <v>1250</v>
      </c>
      <c r="K647" t="s">
        <v>1251</v>
      </c>
      <c r="L647">
        <v>1</v>
      </c>
      <c r="M647">
        <v>6023</v>
      </c>
      <c r="N647">
        <v>0.1</v>
      </c>
      <c r="O647">
        <v>5420.7</v>
      </c>
      <c r="P647">
        <v>0.05</v>
      </c>
      <c r="Q647">
        <v>5420.7</v>
      </c>
      <c r="R647">
        <v>271.03500000000003</v>
      </c>
      <c r="S647">
        <v>5691.7349999999997</v>
      </c>
      <c r="T647">
        <f>ROUND(Table2[[#This Row],[TotalAmount]],0)</f>
        <v>5692</v>
      </c>
      <c r="U647" t="s">
        <v>1360</v>
      </c>
      <c r="V647" t="s">
        <v>1361</v>
      </c>
      <c r="W647" s="4">
        <v>45405</v>
      </c>
      <c r="X647" s="4">
        <v>45409</v>
      </c>
      <c r="Y647" t="b">
        <v>0</v>
      </c>
      <c r="Z647" t="s">
        <v>1412</v>
      </c>
      <c r="AA647" t="s">
        <v>1412</v>
      </c>
      <c r="AB647" t="s">
        <v>1412</v>
      </c>
      <c r="AC647" t="s">
        <v>1379</v>
      </c>
      <c r="AD647" t="s">
        <v>1394</v>
      </c>
      <c r="AE647" t="s">
        <v>1391</v>
      </c>
    </row>
    <row r="648" spans="1:31" x14ac:dyDescent="0.3">
      <c r="A648" t="s">
        <v>824</v>
      </c>
      <c r="B648" s="4">
        <v>45587.677083333343</v>
      </c>
      <c r="C648" t="s">
        <v>16</v>
      </c>
      <c r="D648" t="s">
        <v>1148</v>
      </c>
      <c r="E648" t="s">
        <v>1171</v>
      </c>
      <c r="F648" t="str" cm="1">
        <f t="array" ref="F648">_xlfn.IFS(
E648="Ahmedabad","Gujarat",
E648="Bengaluru","Karnataka",
E648="Bhopal","Madhya Pradesh",
E648="Bhubaneswar","Odisha",
E648="Chandigarh","Chandigarh",
E648="Chennai","Tamil Nadu",
E648="Delhi","Delhi",
E648="Guwahati","Assam",
E648="Hyderabad","Telangana",
E648="Indore","Madhya Pradesh",
E648="Jaipur","Rajasthan",
E648="Kochi","Kerala",
E648="Kolkata","West Bengal",
E648="Lucknow","Uttar Pradesh",
E648="Mumbai","Maharashtra",
E648="Nagpur","Maharashtra",
E648="Patna","Bihar",
E648="Pune","Maharashtra",
E648="Raipur","Chhattisgarh",
E648="Surat","Gujarat",
TRUE,"Not Found"
)</f>
        <v>Chandigarh</v>
      </c>
      <c r="G648" t="s">
        <v>1150</v>
      </c>
      <c r="H648" t="s">
        <v>1163</v>
      </c>
      <c r="I648" t="s">
        <v>1224</v>
      </c>
      <c r="J648" t="s">
        <v>1225</v>
      </c>
      <c r="K648" t="s">
        <v>1226</v>
      </c>
      <c r="L648">
        <v>1</v>
      </c>
      <c r="M648">
        <v>350</v>
      </c>
      <c r="N648">
        <v>0.1</v>
      </c>
      <c r="O648">
        <v>315</v>
      </c>
      <c r="P648">
        <v>0.12</v>
      </c>
      <c r="Q648">
        <v>315</v>
      </c>
      <c r="R648">
        <v>37.799999999999997</v>
      </c>
      <c r="S648">
        <v>352.8</v>
      </c>
      <c r="T648">
        <f>ROUND(Table2[[#This Row],[TotalAmount]],0)</f>
        <v>353</v>
      </c>
      <c r="U648" t="s">
        <v>1366</v>
      </c>
      <c r="V648" t="s">
        <v>1361</v>
      </c>
      <c r="W648" s="4">
        <v>45588</v>
      </c>
      <c r="X648" s="4">
        <v>45589</v>
      </c>
      <c r="Y648" t="b">
        <v>0</v>
      </c>
      <c r="Z648" t="s">
        <v>1412</v>
      </c>
      <c r="AA648" t="s">
        <v>1412</v>
      </c>
      <c r="AB648" t="s">
        <v>1412</v>
      </c>
      <c r="AC648" t="s">
        <v>1396</v>
      </c>
      <c r="AD648" t="s">
        <v>1385</v>
      </c>
      <c r="AE648" t="s">
        <v>1391</v>
      </c>
    </row>
    <row r="649" spans="1:31" x14ac:dyDescent="0.3">
      <c r="A649" t="s">
        <v>825</v>
      </c>
      <c r="B649" s="4">
        <v>45600.634722222218</v>
      </c>
      <c r="C649" t="s">
        <v>385</v>
      </c>
      <c r="D649" t="s">
        <v>1182</v>
      </c>
      <c r="E649" t="s">
        <v>1207</v>
      </c>
      <c r="F649" t="str" cm="1">
        <f t="array" ref="F649">_xlfn.IFS(
E649="Ahmedabad","Gujarat",
E649="Bengaluru","Karnataka",
E649="Bhopal","Madhya Pradesh",
E649="Bhubaneswar","Odisha",
E649="Chandigarh","Chandigarh",
E649="Chennai","Tamil Nadu",
E649="Delhi","Delhi",
E649="Guwahati","Assam",
E649="Hyderabad","Telangana",
E649="Indore","Madhya Pradesh",
E649="Jaipur","Rajasthan",
E649="Kochi","Kerala",
E649="Kolkata","West Bengal",
E649="Lucknow","Uttar Pradesh",
E649="Mumbai","Maharashtra",
E649="Nagpur","Maharashtra",
E649="Patna","Bihar",
E649="Pune","Maharashtra",
E649="Raipur","Chhattisgarh",
E649="Surat","Gujarat",
TRUE,"Not Found"
)</f>
        <v>Tamil Nadu</v>
      </c>
      <c r="G649" t="s">
        <v>1150</v>
      </c>
      <c r="H649" t="s">
        <v>1144</v>
      </c>
      <c r="I649" t="s">
        <v>1145</v>
      </c>
      <c r="J649" t="s">
        <v>1155</v>
      </c>
      <c r="K649" t="s">
        <v>1156</v>
      </c>
      <c r="L649">
        <v>2</v>
      </c>
      <c r="M649">
        <v>4377</v>
      </c>
      <c r="N649">
        <v>0</v>
      </c>
      <c r="O649">
        <v>4377</v>
      </c>
      <c r="P649">
        <v>0.12</v>
      </c>
      <c r="Q649">
        <v>8754</v>
      </c>
      <c r="R649">
        <v>1050.48</v>
      </c>
      <c r="S649">
        <v>9804.48</v>
      </c>
      <c r="T649">
        <f>ROUND(Table2[[#This Row],[TotalAmount]],0)</f>
        <v>9804</v>
      </c>
      <c r="U649" t="s">
        <v>1360</v>
      </c>
      <c r="V649" t="s">
        <v>1369</v>
      </c>
      <c r="W649" s="4" t="s">
        <v>1412</v>
      </c>
      <c r="X649" s="4" t="s">
        <v>1412</v>
      </c>
      <c r="Y649" t="b">
        <v>0</v>
      </c>
      <c r="Z649" t="s">
        <v>1412</v>
      </c>
      <c r="AA649" t="s">
        <v>1412</v>
      </c>
      <c r="AB649" t="s">
        <v>1412</v>
      </c>
      <c r="AC649" t="s">
        <v>1396</v>
      </c>
      <c r="AD649" t="s">
        <v>1400</v>
      </c>
      <c r="AE649" t="s">
        <v>1395</v>
      </c>
    </row>
    <row r="650" spans="1:31" x14ac:dyDescent="0.3">
      <c r="A650" t="s">
        <v>826</v>
      </c>
      <c r="B650" s="4">
        <v>45483.603472222218</v>
      </c>
      <c r="C650" t="s">
        <v>768</v>
      </c>
      <c r="D650" t="s">
        <v>1182</v>
      </c>
      <c r="E650" t="s">
        <v>1256</v>
      </c>
      <c r="F650" t="str" cm="1">
        <f t="array" ref="F650">_xlfn.IFS(
E650="Ahmedabad","Gujarat",
E650="Bengaluru","Karnataka",
E650="Bhopal","Madhya Pradesh",
E650="Bhubaneswar","Odisha",
E650="Chandigarh","Chandigarh",
E650="Chennai","Tamil Nadu",
E650="Delhi","Delhi",
E650="Guwahati","Assam",
E650="Hyderabad","Telangana",
E650="Indore","Madhya Pradesh",
E650="Jaipur","Rajasthan",
E650="Kochi","Kerala",
E650="Kolkata","West Bengal",
E650="Lucknow","Uttar Pradesh",
E650="Mumbai","Maharashtra",
E650="Nagpur","Maharashtra",
E650="Patna","Bihar",
E650="Pune","Maharashtra",
E650="Raipur","Chhattisgarh",
E650="Surat","Gujarat",
TRUE,"Not Found"
)</f>
        <v>Karnataka</v>
      </c>
      <c r="G650" t="s">
        <v>1143</v>
      </c>
      <c r="H650" t="s">
        <v>1144</v>
      </c>
      <c r="I650" t="s">
        <v>1214</v>
      </c>
      <c r="J650" t="s">
        <v>1320</v>
      </c>
      <c r="K650" t="s">
        <v>1321</v>
      </c>
      <c r="L650">
        <v>1</v>
      </c>
      <c r="M650">
        <v>3677</v>
      </c>
      <c r="N650">
        <v>0.05</v>
      </c>
      <c r="O650">
        <v>3493.15</v>
      </c>
      <c r="P650">
        <v>0.12</v>
      </c>
      <c r="Q650">
        <v>3493.15</v>
      </c>
      <c r="R650">
        <v>419.17799999999988</v>
      </c>
      <c r="S650">
        <v>3912.328</v>
      </c>
      <c r="T650">
        <f>ROUND(Table2[[#This Row],[TotalAmount]],0)</f>
        <v>3912</v>
      </c>
      <c r="U650" t="s">
        <v>1366</v>
      </c>
      <c r="V650" t="s">
        <v>1361</v>
      </c>
      <c r="W650" s="4">
        <v>45483</v>
      </c>
      <c r="X650" s="4">
        <v>45487</v>
      </c>
      <c r="Y650" t="b">
        <v>0</v>
      </c>
      <c r="Z650" t="s">
        <v>1412</v>
      </c>
      <c r="AA650" t="s">
        <v>1412</v>
      </c>
      <c r="AB650" t="s">
        <v>1412</v>
      </c>
      <c r="AC650" t="s">
        <v>1398</v>
      </c>
      <c r="AD650" t="s">
        <v>1385</v>
      </c>
      <c r="AE650" t="s">
        <v>1393</v>
      </c>
    </row>
    <row r="651" spans="1:31" x14ac:dyDescent="0.3">
      <c r="A651" t="s">
        <v>827</v>
      </c>
      <c r="B651" s="4">
        <v>45604.618750000001</v>
      </c>
      <c r="C651" t="s">
        <v>117</v>
      </c>
      <c r="D651" t="s">
        <v>1141</v>
      </c>
      <c r="E651" t="s">
        <v>1285</v>
      </c>
      <c r="F651" t="str" cm="1">
        <f t="array" ref="F651">_xlfn.IFS(
E651="Ahmedabad","Gujarat",
E651="Bengaluru","Karnataka",
E651="Bhopal","Madhya Pradesh",
E651="Bhubaneswar","Odisha",
E651="Chandigarh","Chandigarh",
E651="Chennai","Tamil Nadu",
E651="Delhi","Delhi",
E651="Guwahati","Assam",
E651="Hyderabad","Telangana",
E651="Indore","Madhya Pradesh",
E651="Jaipur","Rajasthan",
E651="Kochi","Kerala",
E651="Kolkata","West Bengal",
E651="Lucknow","Uttar Pradesh",
E651="Mumbai","Maharashtra",
E651="Nagpur","Maharashtra",
E651="Patna","Bihar",
E651="Pune","Maharashtra",
E651="Raipur","Chhattisgarh",
E651="Surat","Gujarat",
TRUE,"Not Found"
)</f>
        <v>Assam</v>
      </c>
      <c r="G651" t="s">
        <v>1143</v>
      </c>
      <c r="H651" t="s">
        <v>1167</v>
      </c>
      <c r="I651" t="s">
        <v>1211</v>
      </c>
      <c r="J651" t="s">
        <v>1299</v>
      </c>
      <c r="K651" t="s">
        <v>1300</v>
      </c>
      <c r="L651">
        <v>2</v>
      </c>
      <c r="M651">
        <v>20094</v>
      </c>
      <c r="N651">
        <v>0.1</v>
      </c>
      <c r="O651">
        <v>18084.599999999999</v>
      </c>
      <c r="P651">
        <v>0.05</v>
      </c>
      <c r="Q651">
        <v>36169.199999999997</v>
      </c>
      <c r="R651">
        <v>1808.46</v>
      </c>
      <c r="S651">
        <v>37977.660000000003</v>
      </c>
      <c r="T651">
        <f>ROUND(Table2[[#This Row],[TotalAmount]],0)</f>
        <v>37978</v>
      </c>
      <c r="U651" t="s">
        <v>1366</v>
      </c>
      <c r="V651" t="s">
        <v>1361</v>
      </c>
      <c r="W651" s="4">
        <v>45605</v>
      </c>
      <c r="X651" s="4">
        <v>45610</v>
      </c>
      <c r="Y651" t="b">
        <v>0</v>
      </c>
      <c r="Z651" t="s">
        <v>1412</v>
      </c>
      <c r="AA651" t="s">
        <v>1412</v>
      </c>
      <c r="AB651" t="s">
        <v>1412</v>
      </c>
      <c r="AC651" t="s">
        <v>1396</v>
      </c>
      <c r="AD651" t="s">
        <v>1400</v>
      </c>
      <c r="AE651" t="s">
        <v>1393</v>
      </c>
    </row>
    <row r="652" spans="1:31" x14ac:dyDescent="0.3">
      <c r="A652" t="s">
        <v>828</v>
      </c>
      <c r="B652" s="4">
        <v>45537.497916666667</v>
      </c>
      <c r="C652" t="s">
        <v>200</v>
      </c>
      <c r="D652" t="s">
        <v>1182</v>
      </c>
      <c r="E652" t="s">
        <v>1183</v>
      </c>
      <c r="F652" t="str" cm="1">
        <f t="array" ref="F652">_xlfn.IFS(
E652="Ahmedabad","Gujarat",
E652="Bengaluru","Karnataka",
E652="Bhopal","Madhya Pradesh",
E652="Bhubaneswar","Odisha",
E652="Chandigarh","Chandigarh",
E652="Chennai","Tamil Nadu",
E652="Delhi","Delhi",
E652="Guwahati","Assam",
E652="Hyderabad","Telangana",
E652="Indore","Madhya Pradesh",
E652="Jaipur","Rajasthan",
E652="Kochi","Kerala",
E652="Kolkata","West Bengal",
E652="Lucknow","Uttar Pradesh",
E652="Mumbai","Maharashtra",
E652="Nagpur","Maharashtra",
E652="Patna","Bihar",
E652="Pune","Maharashtra",
E652="Raipur","Chhattisgarh",
E652="Surat","Gujarat",
TRUE,"Not Found"
)</f>
        <v>Telangana</v>
      </c>
      <c r="G652" t="s">
        <v>1143</v>
      </c>
      <c r="H652" t="s">
        <v>1167</v>
      </c>
      <c r="I652" t="s">
        <v>1263</v>
      </c>
      <c r="J652" t="s">
        <v>1264</v>
      </c>
      <c r="K652" t="s">
        <v>1265</v>
      </c>
      <c r="L652">
        <v>1</v>
      </c>
      <c r="M652">
        <v>34608</v>
      </c>
      <c r="N652">
        <v>0.1</v>
      </c>
      <c r="O652">
        <v>31147.200000000001</v>
      </c>
      <c r="P652">
        <v>0.12</v>
      </c>
      <c r="Q652">
        <v>31147.200000000001</v>
      </c>
      <c r="R652">
        <v>3737.6640000000002</v>
      </c>
      <c r="S652">
        <v>34884.864000000001</v>
      </c>
      <c r="T652">
        <f>ROUND(Table2[[#This Row],[TotalAmount]],0)</f>
        <v>34885</v>
      </c>
      <c r="U652" t="s">
        <v>1365</v>
      </c>
      <c r="V652" t="s">
        <v>1368</v>
      </c>
      <c r="W652" s="4">
        <v>45539</v>
      </c>
      <c r="X652" s="4" t="s">
        <v>1412</v>
      </c>
      <c r="Y652" t="b">
        <v>0</v>
      </c>
      <c r="Z652" t="s">
        <v>1412</v>
      </c>
      <c r="AA652" t="s">
        <v>1412</v>
      </c>
      <c r="AB652" t="s">
        <v>1412</v>
      </c>
      <c r="AC652" t="s">
        <v>1384</v>
      </c>
      <c r="AD652" t="s">
        <v>1387</v>
      </c>
      <c r="AE652" t="s">
        <v>1378</v>
      </c>
    </row>
    <row r="653" spans="1:31" x14ac:dyDescent="0.3">
      <c r="A653" t="s">
        <v>829</v>
      </c>
      <c r="B653" s="4">
        <v>45644.495138888888</v>
      </c>
      <c r="C653" t="s">
        <v>669</v>
      </c>
      <c r="D653" t="s">
        <v>1157</v>
      </c>
      <c r="E653" t="s">
        <v>1181</v>
      </c>
      <c r="F653" t="str" cm="1">
        <f t="array" ref="F653">_xlfn.IFS(
E653="Ahmedabad","Gujarat",
E653="Bengaluru","Karnataka",
E653="Bhopal","Madhya Pradesh",
E653="Bhubaneswar","Odisha",
E653="Chandigarh","Chandigarh",
E653="Chennai","Tamil Nadu",
E653="Delhi","Delhi",
E653="Guwahati","Assam",
E653="Hyderabad","Telangana",
E653="Indore","Madhya Pradesh",
E653="Jaipur","Rajasthan",
E653="Kochi","Kerala",
E653="Kolkata","West Bengal",
E653="Lucknow","Uttar Pradesh",
E653="Mumbai","Maharashtra",
E653="Nagpur","Maharashtra",
E653="Patna","Bihar",
E653="Pune","Maharashtra",
E653="Raipur","Chhattisgarh",
E653="Surat","Gujarat",
TRUE,"Not Found"
)</f>
        <v>Gujarat</v>
      </c>
      <c r="G653" t="s">
        <v>1143</v>
      </c>
      <c r="H653" t="s">
        <v>1167</v>
      </c>
      <c r="I653" t="s">
        <v>1168</v>
      </c>
      <c r="J653" t="s">
        <v>1312</v>
      </c>
      <c r="K653" t="s">
        <v>1313</v>
      </c>
      <c r="L653">
        <v>1</v>
      </c>
      <c r="M653">
        <v>46086</v>
      </c>
      <c r="N653">
        <v>0</v>
      </c>
      <c r="O653">
        <v>46086</v>
      </c>
      <c r="P653">
        <v>0.12</v>
      </c>
      <c r="Q653">
        <v>46086</v>
      </c>
      <c r="R653">
        <v>5530.32</v>
      </c>
      <c r="S653">
        <v>51616.32</v>
      </c>
      <c r="T653">
        <f>ROUND(Table2[[#This Row],[TotalAmount]],0)</f>
        <v>51616</v>
      </c>
      <c r="U653" t="s">
        <v>1360</v>
      </c>
      <c r="V653" t="s">
        <v>1361</v>
      </c>
      <c r="W653" s="4">
        <v>45644</v>
      </c>
      <c r="X653" s="4">
        <v>45647</v>
      </c>
      <c r="Y653" t="b">
        <v>0</v>
      </c>
      <c r="Z653" t="s">
        <v>1412</v>
      </c>
      <c r="AA653" t="s">
        <v>1412</v>
      </c>
      <c r="AB653" t="s">
        <v>1412</v>
      </c>
      <c r="AC653" t="s">
        <v>1384</v>
      </c>
      <c r="AD653" t="s">
        <v>1377</v>
      </c>
      <c r="AE653" t="s">
        <v>1383</v>
      </c>
    </row>
    <row r="654" spans="1:31" x14ac:dyDescent="0.3">
      <c r="A654" t="s">
        <v>830</v>
      </c>
      <c r="B654" s="4">
        <v>45575.643055555563</v>
      </c>
      <c r="C654" t="s">
        <v>36</v>
      </c>
      <c r="D654" t="s">
        <v>1182</v>
      </c>
      <c r="E654" t="s">
        <v>1207</v>
      </c>
      <c r="F654" t="str" cm="1">
        <f t="array" ref="F654">_xlfn.IFS(
E654="Ahmedabad","Gujarat",
E654="Bengaluru","Karnataka",
E654="Bhopal","Madhya Pradesh",
E654="Bhubaneswar","Odisha",
E654="Chandigarh","Chandigarh",
E654="Chennai","Tamil Nadu",
E654="Delhi","Delhi",
E654="Guwahati","Assam",
E654="Hyderabad","Telangana",
E654="Indore","Madhya Pradesh",
E654="Jaipur","Rajasthan",
E654="Kochi","Kerala",
E654="Kolkata","West Bengal",
E654="Lucknow","Uttar Pradesh",
E654="Mumbai","Maharashtra",
E654="Nagpur","Maharashtra",
E654="Patna","Bihar",
E654="Pune","Maharashtra",
E654="Raipur","Chhattisgarh",
E654="Surat","Gujarat",
TRUE,"Not Found"
)</f>
        <v>Tamil Nadu</v>
      </c>
      <c r="G654" t="s">
        <v>1143</v>
      </c>
      <c r="H654" t="s">
        <v>1144</v>
      </c>
      <c r="I654" t="s">
        <v>1269</v>
      </c>
      <c r="J654" t="s">
        <v>1270</v>
      </c>
      <c r="K654" t="s">
        <v>1271</v>
      </c>
      <c r="L654">
        <v>1</v>
      </c>
      <c r="M654">
        <v>1778</v>
      </c>
      <c r="N654">
        <v>0.05</v>
      </c>
      <c r="O654">
        <v>1689.1</v>
      </c>
      <c r="P654">
        <v>0.18</v>
      </c>
      <c r="Q654">
        <v>1689.1</v>
      </c>
      <c r="R654">
        <v>304.03800000000001</v>
      </c>
      <c r="S654">
        <v>1993.1379999999999</v>
      </c>
      <c r="T654">
        <f>ROUND(Table2[[#This Row],[TotalAmount]],0)</f>
        <v>1993</v>
      </c>
      <c r="U654" t="s">
        <v>1363</v>
      </c>
      <c r="V654" t="s">
        <v>1361</v>
      </c>
      <c r="W654" s="4">
        <v>45576</v>
      </c>
      <c r="X654" s="4">
        <v>45578</v>
      </c>
      <c r="Y654" t="b">
        <v>0</v>
      </c>
      <c r="Z654" t="s">
        <v>1412</v>
      </c>
      <c r="AA654" t="s">
        <v>1412</v>
      </c>
      <c r="AB654" t="s">
        <v>1412</v>
      </c>
      <c r="AC654" t="s">
        <v>1396</v>
      </c>
      <c r="AD654" t="s">
        <v>1394</v>
      </c>
      <c r="AE654" t="s">
        <v>1393</v>
      </c>
    </row>
    <row r="655" spans="1:31" x14ac:dyDescent="0.3">
      <c r="A655" t="s">
        <v>831</v>
      </c>
      <c r="B655" s="4">
        <v>45559.534722222219</v>
      </c>
      <c r="C655" t="s">
        <v>296</v>
      </c>
      <c r="D655" t="s">
        <v>1157</v>
      </c>
      <c r="E655" t="s">
        <v>1181</v>
      </c>
      <c r="F655" t="str" cm="1">
        <f t="array" ref="F655">_xlfn.IFS(
E655="Ahmedabad","Gujarat",
E655="Bengaluru","Karnataka",
E655="Bhopal","Madhya Pradesh",
E655="Bhubaneswar","Odisha",
E655="Chandigarh","Chandigarh",
E655="Chennai","Tamil Nadu",
E655="Delhi","Delhi",
E655="Guwahati","Assam",
E655="Hyderabad","Telangana",
E655="Indore","Madhya Pradesh",
E655="Jaipur","Rajasthan",
E655="Kochi","Kerala",
E655="Kolkata","West Bengal",
E655="Lucknow","Uttar Pradesh",
E655="Mumbai","Maharashtra",
E655="Nagpur","Maharashtra",
E655="Patna","Bihar",
E655="Pune","Maharashtra",
E655="Raipur","Chhattisgarh",
E655="Surat","Gujarat",
TRUE,"Not Found"
)</f>
        <v>Gujarat</v>
      </c>
      <c r="G655" t="s">
        <v>1143</v>
      </c>
      <c r="H655" t="s">
        <v>1172</v>
      </c>
      <c r="I655" t="s">
        <v>1173</v>
      </c>
      <c r="J655" t="s">
        <v>1222</v>
      </c>
      <c r="K655" t="s">
        <v>1223</v>
      </c>
      <c r="L655">
        <v>2</v>
      </c>
      <c r="M655">
        <v>6976</v>
      </c>
      <c r="N655">
        <v>0</v>
      </c>
      <c r="O655">
        <v>6976</v>
      </c>
      <c r="P655">
        <v>0.12</v>
      </c>
      <c r="Q655">
        <v>13952</v>
      </c>
      <c r="R655">
        <v>1674.24</v>
      </c>
      <c r="S655">
        <v>15626.24</v>
      </c>
      <c r="T655">
        <f>ROUND(Table2[[#This Row],[TotalAmount]],0)</f>
        <v>15626</v>
      </c>
      <c r="U655" t="s">
        <v>1362</v>
      </c>
      <c r="V655" t="s">
        <v>1361</v>
      </c>
      <c r="W655" s="4">
        <v>45559</v>
      </c>
      <c r="X655" s="4">
        <v>45560</v>
      </c>
      <c r="Y655" t="b">
        <v>0</v>
      </c>
      <c r="Z655" t="s">
        <v>1412</v>
      </c>
      <c r="AA655" t="s">
        <v>1412</v>
      </c>
      <c r="AB655" t="s">
        <v>1412</v>
      </c>
      <c r="AC655" t="s">
        <v>1396</v>
      </c>
      <c r="AD655" t="s">
        <v>1394</v>
      </c>
      <c r="AE655" t="s">
        <v>1389</v>
      </c>
    </row>
    <row r="656" spans="1:31" x14ac:dyDescent="0.3">
      <c r="A656" t="s">
        <v>832</v>
      </c>
      <c r="B656" s="4">
        <v>45417.761111111111</v>
      </c>
      <c r="C656" t="s">
        <v>320</v>
      </c>
      <c r="D656" t="s">
        <v>1153</v>
      </c>
      <c r="E656" t="s">
        <v>1162</v>
      </c>
      <c r="F656" t="str" cm="1">
        <f t="array" ref="F656">_xlfn.IFS(
E656="Ahmedabad","Gujarat",
E656="Bengaluru","Karnataka",
E656="Bhopal","Madhya Pradesh",
E656="Bhubaneswar","Odisha",
E656="Chandigarh","Chandigarh",
E656="Chennai","Tamil Nadu",
E656="Delhi","Delhi",
E656="Guwahati","Assam",
E656="Hyderabad","Telangana",
E656="Indore","Madhya Pradesh",
E656="Jaipur","Rajasthan",
E656="Kochi","Kerala",
E656="Kolkata","West Bengal",
E656="Lucknow","Uttar Pradesh",
E656="Mumbai","Maharashtra",
E656="Nagpur","Maharashtra",
E656="Patna","Bihar",
E656="Pune","Maharashtra",
E656="Raipur","Chhattisgarh",
E656="Surat","Gujarat",
TRUE,"Not Found"
)</f>
        <v>Madhya Pradesh</v>
      </c>
      <c r="G656" t="s">
        <v>1143</v>
      </c>
      <c r="H656" t="s">
        <v>1144</v>
      </c>
      <c r="I656" t="s">
        <v>1145</v>
      </c>
      <c r="J656" t="s">
        <v>1146</v>
      </c>
      <c r="K656" t="s">
        <v>1147</v>
      </c>
      <c r="L656">
        <v>3</v>
      </c>
      <c r="M656">
        <v>3588</v>
      </c>
      <c r="N656">
        <v>0.05</v>
      </c>
      <c r="O656">
        <v>3408.6</v>
      </c>
      <c r="P656">
        <v>0.18</v>
      </c>
      <c r="Q656">
        <v>10225.799999999999</v>
      </c>
      <c r="R656">
        <v>1840.644</v>
      </c>
      <c r="S656">
        <v>12066.444</v>
      </c>
      <c r="T656">
        <f>ROUND(Table2[[#This Row],[TotalAmount]],0)</f>
        <v>12066</v>
      </c>
      <c r="U656" t="s">
        <v>1363</v>
      </c>
      <c r="V656" t="s">
        <v>1361</v>
      </c>
      <c r="W656" s="4">
        <v>45419</v>
      </c>
      <c r="X656" s="4">
        <v>45424</v>
      </c>
      <c r="Y656" t="b">
        <v>0</v>
      </c>
      <c r="Z656" t="s">
        <v>1412</v>
      </c>
      <c r="AA656" t="s">
        <v>1412</v>
      </c>
      <c r="AB656" t="s">
        <v>1412</v>
      </c>
      <c r="AC656" t="s">
        <v>1386</v>
      </c>
      <c r="AD656" t="s">
        <v>1399</v>
      </c>
      <c r="AE656" t="s">
        <v>1380</v>
      </c>
    </row>
    <row r="657" spans="1:31" x14ac:dyDescent="0.3">
      <c r="A657" t="s">
        <v>833</v>
      </c>
      <c r="B657" s="4">
        <v>45751.550694444442</v>
      </c>
      <c r="C657" t="s">
        <v>462</v>
      </c>
      <c r="D657" t="s">
        <v>1148</v>
      </c>
      <c r="E657" t="s">
        <v>1149</v>
      </c>
      <c r="F657" t="str" cm="1">
        <f t="array" ref="F657">_xlfn.IFS(
E657="Ahmedabad","Gujarat",
E657="Bengaluru","Karnataka",
E657="Bhopal","Madhya Pradesh",
E657="Bhubaneswar","Odisha",
E657="Chandigarh","Chandigarh",
E657="Chennai","Tamil Nadu",
E657="Delhi","Delhi",
E657="Guwahati","Assam",
E657="Hyderabad","Telangana",
E657="Indore","Madhya Pradesh",
E657="Jaipur","Rajasthan",
E657="Kochi","Kerala",
E657="Kolkata","West Bengal",
E657="Lucknow","Uttar Pradesh",
E657="Mumbai","Maharashtra",
E657="Nagpur","Maharashtra",
E657="Patna","Bihar",
E657="Pune","Maharashtra",
E657="Raipur","Chhattisgarh",
E657="Surat","Gujarat",
TRUE,"Not Found"
)</f>
        <v>Uttar Pradesh</v>
      </c>
      <c r="G657" t="s">
        <v>1143</v>
      </c>
      <c r="H657" t="s">
        <v>1144</v>
      </c>
      <c r="I657" t="s">
        <v>1214</v>
      </c>
      <c r="J657" t="s">
        <v>1215</v>
      </c>
      <c r="K657" t="s">
        <v>1216</v>
      </c>
      <c r="L657">
        <v>1</v>
      </c>
      <c r="M657">
        <v>8683</v>
      </c>
      <c r="N657">
        <v>0.05</v>
      </c>
      <c r="O657">
        <v>8248.85</v>
      </c>
      <c r="P657">
        <v>0.18</v>
      </c>
      <c r="Q657">
        <v>8248.85</v>
      </c>
      <c r="R657">
        <v>1484.7929999999999</v>
      </c>
      <c r="S657">
        <v>9733.643</v>
      </c>
      <c r="T657">
        <f>ROUND(Table2[[#This Row],[TotalAmount]],0)</f>
        <v>9734</v>
      </c>
      <c r="U657" t="s">
        <v>1366</v>
      </c>
      <c r="V657" t="s">
        <v>1367</v>
      </c>
      <c r="W657" s="4">
        <v>45753</v>
      </c>
      <c r="X657" s="4" t="s">
        <v>1412</v>
      </c>
      <c r="Y657" t="b">
        <v>0</v>
      </c>
      <c r="Z657" t="s">
        <v>1412</v>
      </c>
      <c r="AA657" t="s">
        <v>1412</v>
      </c>
      <c r="AB657" t="s">
        <v>1412</v>
      </c>
      <c r="AC657" t="s">
        <v>1388</v>
      </c>
      <c r="AD657" t="s">
        <v>1387</v>
      </c>
      <c r="AE657" t="s">
        <v>1393</v>
      </c>
    </row>
    <row r="658" spans="1:31" x14ac:dyDescent="0.3">
      <c r="A658" t="s">
        <v>834</v>
      </c>
      <c r="B658" s="4">
        <v>45455.418055555558</v>
      </c>
      <c r="C658" t="s">
        <v>69</v>
      </c>
      <c r="D658" t="s">
        <v>1153</v>
      </c>
      <c r="E658" t="s">
        <v>1191</v>
      </c>
      <c r="F658" t="str" cm="1">
        <f t="array" ref="F658">_xlfn.IFS(
E658="Ahmedabad","Gujarat",
E658="Bengaluru","Karnataka",
E658="Bhopal","Madhya Pradesh",
E658="Bhubaneswar","Odisha",
E658="Chandigarh","Chandigarh",
E658="Chennai","Tamil Nadu",
E658="Delhi","Delhi",
E658="Guwahati","Assam",
E658="Hyderabad","Telangana",
E658="Indore","Madhya Pradesh",
E658="Jaipur","Rajasthan",
E658="Kochi","Kerala",
E658="Kolkata","West Bengal",
E658="Lucknow","Uttar Pradesh",
E658="Mumbai","Maharashtra",
E658="Nagpur","Maharashtra",
E658="Patna","Bihar",
E658="Pune","Maharashtra",
E658="Raipur","Chhattisgarh",
E658="Surat","Gujarat",
TRUE,"Not Found"
)</f>
        <v>Madhya Pradesh</v>
      </c>
      <c r="G658" t="s">
        <v>1150</v>
      </c>
      <c r="H658" t="s">
        <v>1177</v>
      </c>
      <c r="I658" t="s">
        <v>1309</v>
      </c>
      <c r="J658" t="s">
        <v>1310</v>
      </c>
      <c r="K658" t="s">
        <v>1311</v>
      </c>
      <c r="L658">
        <v>1</v>
      </c>
      <c r="M658">
        <v>2531</v>
      </c>
      <c r="N658">
        <v>0</v>
      </c>
      <c r="O658">
        <v>2531</v>
      </c>
      <c r="P658">
        <v>0.12</v>
      </c>
      <c r="Q658">
        <v>2531</v>
      </c>
      <c r="R658">
        <v>303.72000000000003</v>
      </c>
      <c r="S658">
        <v>2834.72</v>
      </c>
      <c r="T658">
        <f>ROUND(Table2[[#This Row],[TotalAmount]],0)</f>
        <v>2835</v>
      </c>
      <c r="U658" t="s">
        <v>1360</v>
      </c>
      <c r="V658" t="s">
        <v>1367</v>
      </c>
      <c r="W658" s="4">
        <v>45456</v>
      </c>
      <c r="X658" s="4" t="s">
        <v>1412</v>
      </c>
      <c r="Y658" t="b">
        <v>0</v>
      </c>
      <c r="Z658" t="s">
        <v>1412</v>
      </c>
      <c r="AA658" t="s">
        <v>1412</v>
      </c>
      <c r="AB658" t="s">
        <v>1412</v>
      </c>
      <c r="AC658" t="s">
        <v>1379</v>
      </c>
      <c r="AD658" t="s">
        <v>1377</v>
      </c>
      <c r="AE658" t="s">
        <v>1389</v>
      </c>
    </row>
    <row r="659" spans="1:31" x14ac:dyDescent="0.3">
      <c r="A659" t="s">
        <v>835</v>
      </c>
      <c r="B659" s="4">
        <v>45693.662499999999</v>
      </c>
      <c r="C659" t="s">
        <v>469</v>
      </c>
      <c r="D659" t="s">
        <v>1153</v>
      </c>
      <c r="E659" t="s">
        <v>1176</v>
      </c>
      <c r="F659" t="str" cm="1">
        <f t="array" ref="F659">_xlfn.IFS(
E659="Ahmedabad","Gujarat",
E659="Bengaluru","Karnataka",
E659="Bhopal","Madhya Pradesh",
E659="Bhubaneswar","Odisha",
E659="Chandigarh","Chandigarh",
E659="Chennai","Tamil Nadu",
E659="Delhi","Delhi",
E659="Guwahati","Assam",
E659="Hyderabad","Telangana",
E659="Indore","Madhya Pradesh",
E659="Jaipur","Rajasthan",
E659="Kochi","Kerala",
E659="Kolkata","West Bengal",
E659="Lucknow","Uttar Pradesh",
E659="Mumbai","Maharashtra",
E659="Nagpur","Maharashtra",
E659="Patna","Bihar",
E659="Pune","Maharashtra",
E659="Raipur","Chhattisgarh",
E659="Surat","Gujarat",
TRUE,"Not Found"
)</f>
        <v>Chhattisgarh</v>
      </c>
      <c r="G659" t="s">
        <v>1187</v>
      </c>
      <c r="H659" t="s">
        <v>1163</v>
      </c>
      <c r="I659" t="s">
        <v>1164</v>
      </c>
      <c r="J659" t="s">
        <v>1324</v>
      </c>
      <c r="K659" t="s">
        <v>1325</v>
      </c>
      <c r="L659">
        <v>1</v>
      </c>
      <c r="M659">
        <v>1071</v>
      </c>
      <c r="N659">
        <v>0</v>
      </c>
      <c r="O659">
        <v>1071</v>
      </c>
      <c r="P659">
        <v>0.18</v>
      </c>
      <c r="Q659">
        <v>1071</v>
      </c>
      <c r="R659">
        <v>192.78</v>
      </c>
      <c r="S659">
        <v>1263.78</v>
      </c>
      <c r="T659">
        <f>ROUND(Table2[[#This Row],[TotalAmount]],0)</f>
        <v>1264</v>
      </c>
      <c r="U659" t="s">
        <v>1360</v>
      </c>
      <c r="V659" t="s">
        <v>1361</v>
      </c>
      <c r="W659" s="4">
        <v>45694</v>
      </c>
      <c r="X659" s="4">
        <v>45696</v>
      </c>
      <c r="Y659" t="b">
        <v>0</v>
      </c>
      <c r="Z659" t="s">
        <v>1412</v>
      </c>
      <c r="AA659" t="s">
        <v>1412</v>
      </c>
      <c r="AB659" t="s">
        <v>1412</v>
      </c>
      <c r="AC659" t="s">
        <v>1392</v>
      </c>
      <c r="AD659" t="s">
        <v>1397</v>
      </c>
      <c r="AE659" t="s">
        <v>1395</v>
      </c>
    </row>
    <row r="660" spans="1:31" x14ac:dyDescent="0.3">
      <c r="A660" t="s">
        <v>836</v>
      </c>
      <c r="B660" s="4">
        <v>45614.703472222223</v>
      </c>
      <c r="C660" t="s">
        <v>444</v>
      </c>
      <c r="D660" t="s">
        <v>1157</v>
      </c>
      <c r="E660" t="s">
        <v>1158</v>
      </c>
      <c r="F660" t="str" cm="1">
        <f t="array" ref="F660">_xlfn.IFS(
E660="Ahmedabad","Gujarat",
E660="Bengaluru","Karnataka",
E660="Bhopal","Madhya Pradesh",
E660="Bhubaneswar","Odisha",
E660="Chandigarh","Chandigarh",
E660="Chennai","Tamil Nadu",
E660="Delhi","Delhi",
E660="Guwahati","Assam",
E660="Hyderabad","Telangana",
E660="Indore","Madhya Pradesh",
E660="Jaipur","Rajasthan",
E660="Kochi","Kerala",
E660="Kolkata","West Bengal",
E660="Lucknow","Uttar Pradesh",
E660="Mumbai","Maharashtra",
E660="Nagpur","Maharashtra",
E660="Patna","Bihar",
E660="Pune","Maharashtra",
E660="Raipur","Chhattisgarh",
E660="Surat","Gujarat",
TRUE,"Not Found"
)</f>
        <v>Gujarat</v>
      </c>
      <c r="G660" t="s">
        <v>1228</v>
      </c>
      <c r="H660" t="s">
        <v>1177</v>
      </c>
      <c r="I660" t="s">
        <v>1178</v>
      </c>
      <c r="J660" t="s">
        <v>1305</v>
      </c>
      <c r="K660" t="s">
        <v>1306</v>
      </c>
      <c r="L660">
        <v>1</v>
      </c>
      <c r="M660">
        <v>2148</v>
      </c>
      <c r="N660">
        <v>0.15</v>
      </c>
      <c r="O660">
        <v>1825.8</v>
      </c>
      <c r="P660">
        <v>0.05</v>
      </c>
      <c r="Q660">
        <v>1825.8</v>
      </c>
      <c r="R660">
        <v>91.29</v>
      </c>
      <c r="S660">
        <v>1917.09</v>
      </c>
      <c r="T660">
        <f>ROUND(Table2[[#This Row],[TotalAmount]],0)</f>
        <v>1917</v>
      </c>
      <c r="U660" t="s">
        <v>1363</v>
      </c>
      <c r="V660" t="s">
        <v>1361</v>
      </c>
      <c r="W660" s="4">
        <v>45616</v>
      </c>
      <c r="X660" s="4">
        <v>45618</v>
      </c>
      <c r="Y660" t="b">
        <v>0</v>
      </c>
      <c r="Z660" t="s">
        <v>1412</v>
      </c>
      <c r="AA660" t="s">
        <v>1412</v>
      </c>
      <c r="AB660" t="s">
        <v>1412</v>
      </c>
      <c r="AC660" t="s">
        <v>1379</v>
      </c>
      <c r="AD660" t="s">
        <v>1377</v>
      </c>
      <c r="AE660" t="s">
        <v>1393</v>
      </c>
    </row>
    <row r="661" spans="1:31" x14ac:dyDescent="0.3">
      <c r="A661" t="s">
        <v>837</v>
      </c>
      <c r="B661" s="4">
        <v>45435.568749999999</v>
      </c>
      <c r="C661" t="s">
        <v>396</v>
      </c>
      <c r="D661" t="s">
        <v>1157</v>
      </c>
      <c r="E661" t="s">
        <v>1158</v>
      </c>
      <c r="F661" t="str" cm="1">
        <f t="array" ref="F661">_xlfn.IFS(
E661="Ahmedabad","Gujarat",
E661="Bengaluru","Karnataka",
E661="Bhopal","Madhya Pradesh",
E661="Bhubaneswar","Odisha",
E661="Chandigarh","Chandigarh",
E661="Chennai","Tamil Nadu",
E661="Delhi","Delhi",
E661="Guwahati","Assam",
E661="Hyderabad","Telangana",
E661="Indore","Madhya Pradesh",
E661="Jaipur","Rajasthan",
E661="Kochi","Kerala",
E661="Kolkata","West Bengal",
E661="Lucknow","Uttar Pradesh",
E661="Mumbai","Maharashtra",
E661="Nagpur","Maharashtra",
E661="Patna","Bihar",
E661="Pune","Maharashtra",
E661="Raipur","Chhattisgarh",
E661="Surat","Gujarat",
TRUE,"Not Found"
)</f>
        <v>Gujarat</v>
      </c>
      <c r="G661" t="s">
        <v>1150</v>
      </c>
      <c r="H661" t="s">
        <v>1163</v>
      </c>
      <c r="I661" t="s">
        <v>1240</v>
      </c>
      <c r="J661" t="s">
        <v>1241</v>
      </c>
      <c r="K661" t="s">
        <v>1242</v>
      </c>
      <c r="L661">
        <v>4</v>
      </c>
      <c r="M661">
        <v>626</v>
      </c>
      <c r="N661">
        <v>0.15</v>
      </c>
      <c r="O661">
        <v>532.1</v>
      </c>
      <c r="P661">
        <v>0.18</v>
      </c>
      <c r="Q661">
        <v>2128.4</v>
      </c>
      <c r="R661">
        <v>383.11200000000002</v>
      </c>
      <c r="S661">
        <v>2511.5120000000002</v>
      </c>
      <c r="T661">
        <f>ROUND(Table2[[#This Row],[TotalAmount]],0)</f>
        <v>2512</v>
      </c>
      <c r="U661" t="s">
        <v>1362</v>
      </c>
      <c r="V661" t="s">
        <v>1368</v>
      </c>
      <c r="W661" s="4">
        <v>45437</v>
      </c>
      <c r="X661" s="4" t="s">
        <v>1412</v>
      </c>
      <c r="Y661" t="b">
        <v>0</v>
      </c>
      <c r="Z661" t="s">
        <v>1412</v>
      </c>
      <c r="AA661" t="s">
        <v>1412</v>
      </c>
      <c r="AB661" t="s">
        <v>1412</v>
      </c>
      <c r="AC661" t="s">
        <v>1379</v>
      </c>
      <c r="AD661" t="s">
        <v>1399</v>
      </c>
      <c r="AE661" t="s">
        <v>1383</v>
      </c>
    </row>
    <row r="662" spans="1:31" x14ac:dyDescent="0.3">
      <c r="A662" t="s">
        <v>838</v>
      </c>
      <c r="B662" s="4">
        <v>45448.527083333327</v>
      </c>
      <c r="C662" t="s">
        <v>768</v>
      </c>
      <c r="D662" t="s">
        <v>1182</v>
      </c>
      <c r="E662" t="s">
        <v>1256</v>
      </c>
      <c r="F662" t="str" cm="1">
        <f t="array" ref="F662">_xlfn.IFS(
E662="Ahmedabad","Gujarat",
E662="Bengaluru","Karnataka",
E662="Bhopal","Madhya Pradesh",
E662="Bhubaneswar","Odisha",
E662="Chandigarh","Chandigarh",
E662="Chennai","Tamil Nadu",
E662="Delhi","Delhi",
E662="Guwahati","Assam",
E662="Hyderabad","Telangana",
E662="Indore","Madhya Pradesh",
E662="Jaipur","Rajasthan",
E662="Kochi","Kerala",
E662="Kolkata","West Bengal",
E662="Lucknow","Uttar Pradesh",
E662="Mumbai","Maharashtra",
E662="Nagpur","Maharashtra",
E662="Patna","Bihar",
E662="Pune","Maharashtra",
E662="Raipur","Chhattisgarh",
E662="Surat","Gujarat",
TRUE,"Not Found"
)</f>
        <v>Karnataka</v>
      </c>
      <c r="G662" t="s">
        <v>1228</v>
      </c>
      <c r="H662" t="s">
        <v>1177</v>
      </c>
      <c r="I662" t="s">
        <v>1192</v>
      </c>
      <c r="J662" t="s">
        <v>1283</v>
      </c>
      <c r="K662" t="s">
        <v>1284</v>
      </c>
      <c r="L662">
        <v>1</v>
      </c>
      <c r="M662">
        <v>496</v>
      </c>
      <c r="N662">
        <v>0.1</v>
      </c>
      <c r="O662">
        <v>446.4</v>
      </c>
      <c r="P662">
        <v>0.12</v>
      </c>
      <c r="Q662">
        <v>446.4</v>
      </c>
      <c r="R662">
        <v>53.567999999999998</v>
      </c>
      <c r="S662">
        <v>499.96800000000002</v>
      </c>
      <c r="T662">
        <f>ROUND(Table2[[#This Row],[TotalAmount]],0)</f>
        <v>500</v>
      </c>
      <c r="U662" t="s">
        <v>1360</v>
      </c>
      <c r="V662" t="s">
        <v>1368</v>
      </c>
      <c r="W662" s="4">
        <v>45449</v>
      </c>
      <c r="X662" s="4" t="s">
        <v>1412</v>
      </c>
      <c r="Y662" t="b">
        <v>0</v>
      </c>
      <c r="Z662" t="s">
        <v>1412</v>
      </c>
      <c r="AA662" t="s">
        <v>1412</v>
      </c>
      <c r="AB662" t="s">
        <v>1412</v>
      </c>
      <c r="AC662" t="s">
        <v>1396</v>
      </c>
      <c r="AD662" t="s">
        <v>1397</v>
      </c>
      <c r="AE662" t="s">
        <v>1380</v>
      </c>
    </row>
    <row r="663" spans="1:31" x14ac:dyDescent="0.3">
      <c r="A663" t="s">
        <v>839</v>
      </c>
      <c r="B663" s="4">
        <v>45534.613888888889</v>
      </c>
      <c r="C663" t="s">
        <v>278</v>
      </c>
      <c r="D663" t="s">
        <v>1148</v>
      </c>
      <c r="E663" t="s">
        <v>1262</v>
      </c>
      <c r="F663" t="str" cm="1">
        <f t="array" ref="F663">_xlfn.IFS(
E663="Ahmedabad","Gujarat",
E663="Bengaluru","Karnataka",
E663="Bhopal","Madhya Pradesh",
E663="Bhubaneswar","Odisha",
E663="Chandigarh","Chandigarh",
E663="Chennai","Tamil Nadu",
E663="Delhi","Delhi",
E663="Guwahati","Assam",
E663="Hyderabad","Telangana",
E663="Indore","Madhya Pradesh",
E663="Jaipur","Rajasthan",
E663="Kochi","Kerala",
E663="Kolkata","West Bengal",
E663="Lucknow","Uttar Pradesh",
E663="Mumbai","Maharashtra",
E663="Nagpur","Maharashtra",
E663="Patna","Bihar",
E663="Pune","Maharashtra",
E663="Raipur","Chhattisgarh",
E663="Surat","Gujarat",
TRUE,"Not Found"
)</f>
        <v>Rajasthan</v>
      </c>
      <c r="G663" t="s">
        <v>1150</v>
      </c>
      <c r="H663" t="s">
        <v>1144</v>
      </c>
      <c r="I663" t="s">
        <v>1159</v>
      </c>
      <c r="J663" t="s">
        <v>1160</v>
      </c>
      <c r="K663" t="s">
        <v>1161</v>
      </c>
      <c r="L663">
        <v>1</v>
      </c>
      <c r="M663">
        <v>2099</v>
      </c>
      <c r="N663">
        <v>0.05</v>
      </c>
      <c r="O663">
        <v>1994.05</v>
      </c>
      <c r="P663">
        <v>0.05</v>
      </c>
      <c r="Q663">
        <v>1994.05</v>
      </c>
      <c r="R663">
        <v>99.702500000000001</v>
      </c>
      <c r="S663">
        <v>2093.7525000000001</v>
      </c>
      <c r="T663">
        <f>ROUND(Table2[[#This Row],[TotalAmount]],0)</f>
        <v>2094</v>
      </c>
      <c r="U663" t="s">
        <v>1363</v>
      </c>
      <c r="V663" t="s">
        <v>1368</v>
      </c>
      <c r="W663" s="4">
        <v>45534</v>
      </c>
      <c r="X663" s="4" t="s">
        <v>1412</v>
      </c>
      <c r="Y663" t="b">
        <v>0</v>
      </c>
      <c r="Z663" t="s">
        <v>1412</v>
      </c>
      <c r="AA663" t="s">
        <v>1412</v>
      </c>
      <c r="AB663" t="s">
        <v>1412</v>
      </c>
      <c r="AC663" t="s">
        <v>1392</v>
      </c>
      <c r="AD663" t="s">
        <v>1387</v>
      </c>
      <c r="AE663" t="s">
        <v>1391</v>
      </c>
    </row>
    <row r="664" spans="1:31" x14ac:dyDescent="0.3">
      <c r="A664" t="s">
        <v>840</v>
      </c>
      <c r="B664" s="4">
        <v>45623.51458333333</v>
      </c>
      <c r="C664" t="s">
        <v>510</v>
      </c>
      <c r="D664" t="s">
        <v>1153</v>
      </c>
      <c r="E664" t="s">
        <v>1191</v>
      </c>
      <c r="F664" t="str" cm="1">
        <f t="array" ref="F664">_xlfn.IFS(
E664="Ahmedabad","Gujarat",
E664="Bengaluru","Karnataka",
E664="Bhopal","Madhya Pradesh",
E664="Bhubaneswar","Odisha",
E664="Chandigarh","Chandigarh",
E664="Chennai","Tamil Nadu",
E664="Delhi","Delhi",
E664="Guwahati","Assam",
E664="Hyderabad","Telangana",
E664="Indore","Madhya Pradesh",
E664="Jaipur","Rajasthan",
E664="Kochi","Kerala",
E664="Kolkata","West Bengal",
E664="Lucknow","Uttar Pradesh",
E664="Mumbai","Maharashtra",
E664="Nagpur","Maharashtra",
E664="Patna","Bihar",
E664="Pune","Maharashtra",
E664="Raipur","Chhattisgarh",
E664="Surat","Gujarat",
TRUE,"Not Found"
)</f>
        <v>Madhya Pradesh</v>
      </c>
      <c r="G664" t="s">
        <v>1143</v>
      </c>
      <c r="H664" t="s">
        <v>1167</v>
      </c>
      <c r="I664" t="s">
        <v>1168</v>
      </c>
      <c r="J664" t="s">
        <v>1314</v>
      </c>
      <c r="K664" t="s">
        <v>1315</v>
      </c>
      <c r="L664">
        <v>2</v>
      </c>
      <c r="M664">
        <v>57810</v>
      </c>
      <c r="N664">
        <v>0.05</v>
      </c>
      <c r="O664">
        <v>54919.5</v>
      </c>
      <c r="P664">
        <v>0.12</v>
      </c>
      <c r="Q664">
        <v>109839</v>
      </c>
      <c r="R664">
        <v>13180.68</v>
      </c>
      <c r="S664">
        <v>123019.68</v>
      </c>
      <c r="T664">
        <f>ROUND(Table2[[#This Row],[TotalAmount]],0)</f>
        <v>123020</v>
      </c>
      <c r="U664" t="s">
        <v>1366</v>
      </c>
      <c r="V664" t="s">
        <v>1368</v>
      </c>
      <c r="W664" s="4">
        <v>45623</v>
      </c>
      <c r="X664" s="4" t="s">
        <v>1412</v>
      </c>
      <c r="Y664" t="b">
        <v>0</v>
      </c>
      <c r="Z664" t="s">
        <v>1412</v>
      </c>
      <c r="AA664" t="s">
        <v>1412</v>
      </c>
      <c r="AB664" t="s">
        <v>1412</v>
      </c>
      <c r="AC664" t="s">
        <v>1390</v>
      </c>
      <c r="AD664" t="s">
        <v>1394</v>
      </c>
      <c r="AE664" t="s">
        <v>1389</v>
      </c>
    </row>
    <row r="665" spans="1:31" x14ac:dyDescent="0.3">
      <c r="A665" t="s">
        <v>841</v>
      </c>
      <c r="B665" s="4">
        <v>45548.522916666669</v>
      </c>
      <c r="C665" t="s">
        <v>283</v>
      </c>
      <c r="D665" t="s">
        <v>1148</v>
      </c>
      <c r="E665" t="s">
        <v>1262</v>
      </c>
      <c r="F665" t="str" cm="1">
        <f t="array" ref="F665">_xlfn.IFS(
E665="Ahmedabad","Gujarat",
E665="Bengaluru","Karnataka",
E665="Bhopal","Madhya Pradesh",
E665="Bhubaneswar","Odisha",
E665="Chandigarh","Chandigarh",
E665="Chennai","Tamil Nadu",
E665="Delhi","Delhi",
E665="Guwahati","Assam",
E665="Hyderabad","Telangana",
E665="Indore","Madhya Pradesh",
E665="Jaipur","Rajasthan",
E665="Kochi","Kerala",
E665="Kolkata","West Bengal",
E665="Lucknow","Uttar Pradesh",
E665="Mumbai","Maharashtra",
E665="Nagpur","Maharashtra",
E665="Patna","Bihar",
E665="Pune","Maharashtra",
E665="Raipur","Chhattisgarh",
E665="Surat","Gujarat",
TRUE,"Not Found"
)</f>
        <v>Rajasthan</v>
      </c>
      <c r="G665" t="s">
        <v>1150</v>
      </c>
      <c r="H665" t="s">
        <v>1163</v>
      </c>
      <c r="I665" t="s">
        <v>1240</v>
      </c>
      <c r="J665" t="s">
        <v>1281</v>
      </c>
      <c r="K665" t="s">
        <v>1282</v>
      </c>
      <c r="L665">
        <v>2</v>
      </c>
      <c r="M665">
        <v>289</v>
      </c>
      <c r="N665">
        <v>0</v>
      </c>
      <c r="O665">
        <v>289</v>
      </c>
      <c r="P665">
        <v>0.12</v>
      </c>
      <c r="Q665">
        <v>578</v>
      </c>
      <c r="R665">
        <v>69.36</v>
      </c>
      <c r="S665">
        <v>647.36</v>
      </c>
      <c r="T665">
        <f>ROUND(Table2[[#This Row],[TotalAmount]],0)</f>
        <v>647</v>
      </c>
      <c r="U665" t="s">
        <v>1362</v>
      </c>
      <c r="V665" t="s">
        <v>1361</v>
      </c>
      <c r="W665" s="4">
        <v>45549</v>
      </c>
      <c r="X665" s="4">
        <v>45552</v>
      </c>
      <c r="Y665" t="b">
        <v>0</v>
      </c>
      <c r="Z665" t="s">
        <v>1412</v>
      </c>
      <c r="AA665" t="s">
        <v>1412</v>
      </c>
      <c r="AB665" t="s">
        <v>1412</v>
      </c>
      <c r="AC665" t="s">
        <v>1384</v>
      </c>
      <c r="AD665" t="s">
        <v>1387</v>
      </c>
      <c r="AE665" t="s">
        <v>1391</v>
      </c>
    </row>
    <row r="666" spans="1:31" x14ac:dyDescent="0.3">
      <c r="A666" t="s">
        <v>842</v>
      </c>
      <c r="B666" s="4">
        <v>45624.45208333333</v>
      </c>
      <c r="C666" t="s">
        <v>191</v>
      </c>
      <c r="D666" t="s">
        <v>1153</v>
      </c>
      <c r="E666" t="s">
        <v>1154</v>
      </c>
      <c r="F666" t="str" cm="1">
        <f t="array" ref="F666">_xlfn.IFS(
E666="Ahmedabad","Gujarat",
E666="Bengaluru","Karnataka",
E666="Bhopal","Madhya Pradesh",
E666="Bhubaneswar","Odisha",
E666="Chandigarh","Chandigarh",
E666="Chennai","Tamil Nadu",
E666="Delhi","Delhi",
E666="Guwahati","Assam",
E666="Hyderabad","Telangana",
E666="Indore","Madhya Pradesh",
E666="Jaipur","Rajasthan",
E666="Kochi","Kerala",
E666="Kolkata","West Bengal",
E666="Lucknow","Uttar Pradesh",
E666="Mumbai","Maharashtra",
E666="Nagpur","Maharashtra",
E666="Patna","Bihar",
E666="Pune","Maharashtra",
E666="Raipur","Chhattisgarh",
E666="Surat","Gujarat",
TRUE,"Not Found"
)</f>
        <v>Maharashtra</v>
      </c>
      <c r="G666" t="s">
        <v>1150</v>
      </c>
      <c r="H666" t="s">
        <v>1144</v>
      </c>
      <c r="I666" t="s">
        <v>1145</v>
      </c>
      <c r="J666" t="s">
        <v>1146</v>
      </c>
      <c r="K666" t="s">
        <v>1147</v>
      </c>
      <c r="L666">
        <v>1</v>
      </c>
      <c r="M666">
        <v>12119</v>
      </c>
      <c r="N666">
        <v>0</v>
      </c>
      <c r="O666">
        <v>12119</v>
      </c>
      <c r="P666">
        <v>0.12</v>
      </c>
      <c r="Q666">
        <v>12119</v>
      </c>
      <c r="R666">
        <v>1454.28</v>
      </c>
      <c r="S666">
        <v>13573.28</v>
      </c>
      <c r="T666">
        <f>ROUND(Table2[[#This Row],[TotalAmount]],0)</f>
        <v>13573</v>
      </c>
      <c r="U666" t="s">
        <v>1360</v>
      </c>
      <c r="V666" t="s">
        <v>1361</v>
      </c>
      <c r="W666" s="4">
        <v>45626</v>
      </c>
      <c r="X666" s="4">
        <v>45629</v>
      </c>
      <c r="Y666" t="b">
        <v>0</v>
      </c>
      <c r="Z666" t="s">
        <v>1412</v>
      </c>
      <c r="AA666" t="s">
        <v>1412</v>
      </c>
      <c r="AB666" t="s">
        <v>1412</v>
      </c>
      <c r="AC666" t="s">
        <v>1384</v>
      </c>
      <c r="AD666" t="s">
        <v>1385</v>
      </c>
      <c r="AE666" t="s">
        <v>1380</v>
      </c>
    </row>
    <row r="667" spans="1:31" x14ac:dyDescent="0.3">
      <c r="A667" t="s">
        <v>843</v>
      </c>
      <c r="B667" s="4">
        <v>45529.522916666669</v>
      </c>
      <c r="C667" t="s">
        <v>124</v>
      </c>
      <c r="D667" t="s">
        <v>1153</v>
      </c>
      <c r="E667" t="s">
        <v>1191</v>
      </c>
      <c r="F667" t="str" cm="1">
        <f t="array" ref="F667">_xlfn.IFS(
E667="Ahmedabad","Gujarat",
E667="Bengaluru","Karnataka",
E667="Bhopal","Madhya Pradesh",
E667="Bhubaneswar","Odisha",
E667="Chandigarh","Chandigarh",
E667="Chennai","Tamil Nadu",
E667="Delhi","Delhi",
E667="Guwahati","Assam",
E667="Hyderabad","Telangana",
E667="Indore","Madhya Pradesh",
E667="Jaipur","Rajasthan",
E667="Kochi","Kerala",
E667="Kolkata","West Bengal",
E667="Lucknow","Uttar Pradesh",
E667="Mumbai","Maharashtra",
E667="Nagpur","Maharashtra",
E667="Patna","Bihar",
E667="Pune","Maharashtra",
E667="Raipur","Chhattisgarh",
E667="Surat","Gujarat",
TRUE,"Not Found"
)</f>
        <v>Madhya Pradesh</v>
      </c>
      <c r="G667" t="s">
        <v>1228</v>
      </c>
      <c r="H667" t="s">
        <v>1167</v>
      </c>
      <c r="I667" t="s">
        <v>1208</v>
      </c>
      <c r="J667" t="s">
        <v>1291</v>
      </c>
      <c r="K667" t="s">
        <v>1292</v>
      </c>
      <c r="L667">
        <v>4</v>
      </c>
      <c r="M667">
        <v>5852</v>
      </c>
      <c r="N667">
        <v>0</v>
      </c>
      <c r="O667">
        <v>5852</v>
      </c>
      <c r="P667">
        <v>0.18</v>
      </c>
      <c r="Q667">
        <v>23408</v>
      </c>
      <c r="R667">
        <v>4213.4399999999996</v>
      </c>
      <c r="S667">
        <v>27621.439999999999</v>
      </c>
      <c r="T667">
        <f>ROUND(Table2[[#This Row],[TotalAmount]],0)</f>
        <v>27621</v>
      </c>
      <c r="U667" t="s">
        <v>1360</v>
      </c>
      <c r="V667" t="s">
        <v>1361</v>
      </c>
      <c r="W667" s="4">
        <v>45530</v>
      </c>
      <c r="X667" s="4">
        <v>45533</v>
      </c>
      <c r="Y667" t="b">
        <v>0</v>
      </c>
      <c r="Z667" t="s">
        <v>1412</v>
      </c>
      <c r="AA667" t="s">
        <v>1412</v>
      </c>
      <c r="AB667" t="s">
        <v>1412</v>
      </c>
      <c r="AC667" t="s">
        <v>1388</v>
      </c>
      <c r="AD667" t="s">
        <v>1399</v>
      </c>
      <c r="AE667" t="s">
        <v>1393</v>
      </c>
    </row>
    <row r="668" spans="1:31" x14ac:dyDescent="0.3">
      <c r="A668" t="s">
        <v>844</v>
      </c>
      <c r="B668" s="4">
        <v>45770.430555555547</v>
      </c>
      <c r="C668" t="s">
        <v>183</v>
      </c>
      <c r="D668" t="s">
        <v>1182</v>
      </c>
      <c r="E668" t="s">
        <v>1256</v>
      </c>
      <c r="F668" t="str" cm="1">
        <f t="array" ref="F668">_xlfn.IFS(
E668="Ahmedabad","Gujarat",
E668="Bengaluru","Karnataka",
E668="Bhopal","Madhya Pradesh",
E668="Bhubaneswar","Odisha",
E668="Chandigarh","Chandigarh",
E668="Chennai","Tamil Nadu",
E668="Delhi","Delhi",
E668="Guwahati","Assam",
E668="Hyderabad","Telangana",
E668="Indore","Madhya Pradesh",
E668="Jaipur","Rajasthan",
E668="Kochi","Kerala",
E668="Kolkata","West Bengal",
E668="Lucknow","Uttar Pradesh",
E668="Mumbai","Maharashtra",
E668="Nagpur","Maharashtra",
E668="Patna","Bihar",
E668="Pune","Maharashtra",
E668="Raipur","Chhattisgarh",
E668="Surat","Gujarat",
TRUE,"Not Found"
)</f>
        <v>Karnataka</v>
      </c>
      <c r="G668" t="s">
        <v>1143</v>
      </c>
      <c r="H668" t="s">
        <v>1172</v>
      </c>
      <c r="I668" t="s">
        <v>1173</v>
      </c>
      <c r="J668" t="s">
        <v>1342</v>
      </c>
      <c r="K668" t="s">
        <v>1343</v>
      </c>
      <c r="L668">
        <v>1</v>
      </c>
      <c r="M668">
        <v>9975</v>
      </c>
      <c r="N668">
        <v>0.2</v>
      </c>
      <c r="O668">
        <v>7980</v>
      </c>
      <c r="P668">
        <v>0.18</v>
      </c>
      <c r="Q668">
        <v>7980</v>
      </c>
      <c r="R668">
        <v>1436.4</v>
      </c>
      <c r="S668">
        <v>9416.4</v>
      </c>
      <c r="T668">
        <f>ROUND(Table2[[#This Row],[TotalAmount]],0)</f>
        <v>9416</v>
      </c>
      <c r="U668" t="s">
        <v>1363</v>
      </c>
      <c r="V668" t="s">
        <v>1367</v>
      </c>
      <c r="W668" s="4">
        <v>45770</v>
      </c>
      <c r="X668" s="4" t="s">
        <v>1412</v>
      </c>
      <c r="Y668" t="b">
        <v>0</v>
      </c>
      <c r="Z668" t="s">
        <v>1412</v>
      </c>
      <c r="AA668" t="s">
        <v>1412</v>
      </c>
      <c r="AB668" t="s">
        <v>1412</v>
      </c>
      <c r="AC668" t="s">
        <v>1386</v>
      </c>
      <c r="AD668" t="s">
        <v>1387</v>
      </c>
      <c r="AE668" t="s">
        <v>1389</v>
      </c>
    </row>
    <row r="669" spans="1:31" x14ac:dyDescent="0.3">
      <c r="A669" t="s">
        <v>845</v>
      </c>
      <c r="B669" s="4">
        <v>45525.529166666667</v>
      </c>
      <c r="C669" t="s">
        <v>781</v>
      </c>
      <c r="D669" t="s">
        <v>1153</v>
      </c>
      <c r="E669" t="s">
        <v>1191</v>
      </c>
      <c r="F669" t="str" cm="1">
        <f t="array" ref="F669">_xlfn.IFS(
E669="Ahmedabad","Gujarat",
E669="Bengaluru","Karnataka",
E669="Bhopal","Madhya Pradesh",
E669="Bhubaneswar","Odisha",
E669="Chandigarh","Chandigarh",
E669="Chennai","Tamil Nadu",
E669="Delhi","Delhi",
E669="Guwahati","Assam",
E669="Hyderabad","Telangana",
E669="Indore","Madhya Pradesh",
E669="Jaipur","Rajasthan",
E669="Kochi","Kerala",
E669="Kolkata","West Bengal",
E669="Lucknow","Uttar Pradesh",
E669="Mumbai","Maharashtra",
E669="Nagpur","Maharashtra",
E669="Patna","Bihar",
E669="Pune","Maharashtra",
E669="Raipur","Chhattisgarh",
E669="Surat","Gujarat",
TRUE,"Not Found"
)</f>
        <v>Madhya Pradesh</v>
      </c>
      <c r="G669" t="s">
        <v>1143</v>
      </c>
      <c r="H669" t="s">
        <v>1163</v>
      </c>
      <c r="I669" t="s">
        <v>1240</v>
      </c>
      <c r="J669" t="s">
        <v>1247</v>
      </c>
      <c r="K669" t="s">
        <v>1248</v>
      </c>
      <c r="L669">
        <v>3</v>
      </c>
      <c r="M669">
        <v>1027</v>
      </c>
      <c r="N669">
        <v>0</v>
      </c>
      <c r="O669">
        <v>1027</v>
      </c>
      <c r="P669">
        <v>0.12</v>
      </c>
      <c r="Q669">
        <v>3081</v>
      </c>
      <c r="R669">
        <v>369.72</v>
      </c>
      <c r="S669">
        <v>3450.72</v>
      </c>
      <c r="T669">
        <f>ROUND(Table2[[#This Row],[TotalAmount]],0)</f>
        <v>3451</v>
      </c>
      <c r="U669" t="s">
        <v>1363</v>
      </c>
      <c r="V669" t="s">
        <v>1361</v>
      </c>
      <c r="W669" s="4">
        <v>45526</v>
      </c>
      <c r="X669" s="4">
        <v>45527</v>
      </c>
      <c r="Y669" t="b">
        <v>0</v>
      </c>
      <c r="Z669" t="s">
        <v>1412</v>
      </c>
      <c r="AA669" t="s">
        <v>1412</v>
      </c>
      <c r="AB669" t="s">
        <v>1412</v>
      </c>
      <c r="AC669" t="s">
        <v>1398</v>
      </c>
      <c r="AD669" t="s">
        <v>1400</v>
      </c>
      <c r="AE669" t="s">
        <v>1378</v>
      </c>
    </row>
    <row r="670" spans="1:31" x14ac:dyDescent="0.3">
      <c r="A670" t="s">
        <v>846</v>
      </c>
      <c r="B670" s="4">
        <v>45293.506249999999</v>
      </c>
      <c r="C670" t="s">
        <v>223</v>
      </c>
      <c r="D670" t="s">
        <v>1148</v>
      </c>
      <c r="E670" t="s">
        <v>1149</v>
      </c>
      <c r="F670" t="str" cm="1">
        <f t="array" ref="F670">_xlfn.IFS(
E670="Ahmedabad","Gujarat",
E670="Bengaluru","Karnataka",
E670="Bhopal","Madhya Pradesh",
E670="Bhubaneswar","Odisha",
E670="Chandigarh","Chandigarh",
E670="Chennai","Tamil Nadu",
E670="Delhi","Delhi",
E670="Guwahati","Assam",
E670="Hyderabad","Telangana",
E670="Indore","Madhya Pradesh",
E670="Jaipur","Rajasthan",
E670="Kochi","Kerala",
E670="Kolkata","West Bengal",
E670="Lucknow","Uttar Pradesh",
E670="Mumbai","Maharashtra",
E670="Nagpur","Maharashtra",
E670="Patna","Bihar",
E670="Pune","Maharashtra",
E670="Raipur","Chhattisgarh",
E670="Surat","Gujarat",
TRUE,"Not Found"
)</f>
        <v>Uttar Pradesh</v>
      </c>
      <c r="G670" t="s">
        <v>1143</v>
      </c>
      <c r="H670" t="s">
        <v>1144</v>
      </c>
      <c r="I670" t="s">
        <v>1214</v>
      </c>
      <c r="J670" t="s">
        <v>1215</v>
      </c>
      <c r="K670" t="s">
        <v>1216</v>
      </c>
      <c r="L670">
        <v>1</v>
      </c>
      <c r="M670">
        <v>12221</v>
      </c>
      <c r="N670">
        <v>0.05</v>
      </c>
      <c r="O670">
        <v>11609.95</v>
      </c>
      <c r="P670">
        <v>0.12</v>
      </c>
      <c r="Q670">
        <v>11609.95</v>
      </c>
      <c r="R670">
        <v>1393.194</v>
      </c>
      <c r="S670">
        <v>13003.144</v>
      </c>
      <c r="T670">
        <f>ROUND(Table2[[#This Row],[TotalAmount]],0)</f>
        <v>13003</v>
      </c>
      <c r="U670" t="s">
        <v>1365</v>
      </c>
      <c r="V670" t="s">
        <v>1364</v>
      </c>
      <c r="W670" s="4">
        <v>45295</v>
      </c>
      <c r="X670" s="4" t="s">
        <v>1412</v>
      </c>
      <c r="Y670" t="b">
        <v>1</v>
      </c>
      <c r="Z670" s="1">
        <v>45306</v>
      </c>
      <c r="AA670" s="1">
        <v>45306</v>
      </c>
      <c r="AB670" t="s">
        <v>1401</v>
      </c>
      <c r="AC670" t="s">
        <v>1392</v>
      </c>
      <c r="AD670" t="s">
        <v>1387</v>
      </c>
      <c r="AE670" t="s">
        <v>1391</v>
      </c>
    </row>
    <row r="671" spans="1:31" x14ac:dyDescent="0.3">
      <c r="A671" t="s">
        <v>847</v>
      </c>
      <c r="B671" s="4">
        <v>45506.668055555558</v>
      </c>
      <c r="C671" t="s">
        <v>130</v>
      </c>
      <c r="D671" t="s">
        <v>1153</v>
      </c>
      <c r="E671" t="s">
        <v>1176</v>
      </c>
      <c r="F671" t="str" cm="1">
        <f t="array" ref="F671">_xlfn.IFS(
E671="Ahmedabad","Gujarat",
E671="Bengaluru","Karnataka",
E671="Bhopal","Madhya Pradesh",
E671="Bhubaneswar","Odisha",
E671="Chandigarh","Chandigarh",
E671="Chennai","Tamil Nadu",
E671="Delhi","Delhi",
E671="Guwahati","Assam",
E671="Hyderabad","Telangana",
E671="Indore","Madhya Pradesh",
E671="Jaipur","Rajasthan",
E671="Kochi","Kerala",
E671="Kolkata","West Bengal",
E671="Lucknow","Uttar Pradesh",
E671="Mumbai","Maharashtra",
E671="Nagpur","Maharashtra",
E671="Patna","Bihar",
E671="Pune","Maharashtra",
E671="Raipur","Chhattisgarh",
E671="Surat","Gujarat",
TRUE,"Not Found"
)</f>
        <v>Chhattisgarh</v>
      </c>
      <c r="G671" t="s">
        <v>1187</v>
      </c>
      <c r="H671" t="s">
        <v>1167</v>
      </c>
      <c r="I671" t="s">
        <v>1208</v>
      </c>
      <c r="J671" t="s">
        <v>1291</v>
      </c>
      <c r="K671" t="s">
        <v>1292</v>
      </c>
      <c r="L671">
        <v>2</v>
      </c>
      <c r="M671">
        <v>43505</v>
      </c>
      <c r="N671">
        <v>0</v>
      </c>
      <c r="O671">
        <v>43505</v>
      </c>
      <c r="P671">
        <v>0.12</v>
      </c>
      <c r="Q671">
        <v>87010</v>
      </c>
      <c r="R671">
        <v>10441.200000000001</v>
      </c>
      <c r="S671">
        <v>97451.199999999997</v>
      </c>
      <c r="T671">
        <f>ROUND(Table2[[#This Row],[TotalAmount]],0)</f>
        <v>97451</v>
      </c>
      <c r="U671" t="s">
        <v>1360</v>
      </c>
      <c r="V671" t="s">
        <v>1361</v>
      </c>
      <c r="W671" s="4">
        <v>45507</v>
      </c>
      <c r="X671" s="4">
        <v>45510</v>
      </c>
      <c r="Y671" t="b">
        <v>0</v>
      </c>
      <c r="Z671" t="s">
        <v>1412</v>
      </c>
      <c r="AA671" t="s">
        <v>1412</v>
      </c>
      <c r="AB671" t="s">
        <v>1412</v>
      </c>
      <c r="AC671" t="s">
        <v>1398</v>
      </c>
      <c r="AD671" t="s">
        <v>1399</v>
      </c>
      <c r="AE671" t="s">
        <v>1393</v>
      </c>
    </row>
    <row r="672" spans="1:31" x14ac:dyDescent="0.3">
      <c r="A672" t="s">
        <v>848</v>
      </c>
      <c r="B672" s="4">
        <v>45581.503472222219</v>
      </c>
      <c r="C672" t="s">
        <v>211</v>
      </c>
      <c r="D672" t="s">
        <v>1157</v>
      </c>
      <c r="E672" t="s">
        <v>1181</v>
      </c>
      <c r="F672" t="str" cm="1">
        <f t="array" ref="F672">_xlfn.IFS(
E672="Ahmedabad","Gujarat",
E672="Bengaluru","Karnataka",
E672="Bhopal","Madhya Pradesh",
E672="Bhubaneswar","Odisha",
E672="Chandigarh","Chandigarh",
E672="Chennai","Tamil Nadu",
E672="Delhi","Delhi",
E672="Guwahati","Assam",
E672="Hyderabad","Telangana",
E672="Indore","Madhya Pradesh",
E672="Jaipur","Rajasthan",
E672="Kochi","Kerala",
E672="Kolkata","West Bengal",
E672="Lucknow","Uttar Pradesh",
E672="Mumbai","Maharashtra",
E672="Nagpur","Maharashtra",
E672="Patna","Bihar",
E672="Pune","Maharashtra",
E672="Raipur","Chhattisgarh",
E672="Surat","Gujarat",
TRUE,"Not Found"
)</f>
        <v>Gujarat</v>
      </c>
      <c r="G672" t="s">
        <v>1150</v>
      </c>
      <c r="H672" t="s">
        <v>1172</v>
      </c>
      <c r="I672" t="s">
        <v>1188</v>
      </c>
      <c r="J672" t="s">
        <v>1189</v>
      </c>
      <c r="K672" t="s">
        <v>1190</v>
      </c>
      <c r="L672">
        <v>3</v>
      </c>
      <c r="M672">
        <v>6931</v>
      </c>
      <c r="N672">
        <v>0.05</v>
      </c>
      <c r="O672">
        <v>6584.45</v>
      </c>
      <c r="P672">
        <v>0.05</v>
      </c>
      <c r="Q672">
        <v>19753.349999999999</v>
      </c>
      <c r="R672">
        <v>987.66750000000002</v>
      </c>
      <c r="S672">
        <v>20741.017500000002</v>
      </c>
      <c r="T672">
        <f>ROUND(Table2[[#This Row],[TotalAmount]],0)</f>
        <v>20741</v>
      </c>
      <c r="U672" t="s">
        <v>1365</v>
      </c>
      <c r="V672" t="s">
        <v>1361</v>
      </c>
      <c r="W672" s="4">
        <v>45583</v>
      </c>
      <c r="X672" s="4">
        <v>45587</v>
      </c>
      <c r="Y672" t="b">
        <v>0</v>
      </c>
      <c r="Z672" t="s">
        <v>1412</v>
      </c>
      <c r="AA672" t="s">
        <v>1412</v>
      </c>
      <c r="AB672" t="s">
        <v>1412</v>
      </c>
      <c r="AC672" t="s">
        <v>1384</v>
      </c>
      <c r="AD672" t="s">
        <v>1385</v>
      </c>
      <c r="AE672" t="s">
        <v>1395</v>
      </c>
    </row>
    <row r="673" spans="1:31" x14ac:dyDescent="0.3">
      <c r="A673" t="s">
        <v>849</v>
      </c>
      <c r="B673" s="4">
        <v>45563.411111111112</v>
      </c>
      <c r="C673" t="s">
        <v>22</v>
      </c>
      <c r="D673" t="s">
        <v>1182</v>
      </c>
      <c r="E673" t="s">
        <v>1183</v>
      </c>
      <c r="F673" t="str" cm="1">
        <f t="array" ref="F673">_xlfn.IFS(
E673="Ahmedabad","Gujarat",
E673="Bengaluru","Karnataka",
E673="Bhopal","Madhya Pradesh",
E673="Bhubaneswar","Odisha",
E673="Chandigarh","Chandigarh",
E673="Chennai","Tamil Nadu",
E673="Delhi","Delhi",
E673="Guwahati","Assam",
E673="Hyderabad","Telangana",
E673="Indore","Madhya Pradesh",
E673="Jaipur","Rajasthan",
E673="Kochi","Kerala",
E673="Kolkata","West Bengal",
E673="Lucknow","Uttar Pradesh",
E673="Mumbai","Maharashtra",
E673="Nagpur","Maharashtra",
E673="Patna","Bihar",
E673="Pune","Maharashtra",
E673="Raipur","Chhattisgarh",
E673="Surat","Gujarat",
TRUE,"Not Found"
)</f>
        <v>Telangana</v>
      </c>
      <c r="G673" t="s">
        <v>1150</v>
      </c>
      <c r="H673" t="s">
        <v>1177</v>
      </c>
      <c r="I673" t="s">
        <v>1192</v>
      </c>
      <c r="J673" t="s">
        <v>1283</v>
      </c>
      <c r="K673" t="s">
        <v>1284</v>
      </c>
      <c r="L673">
        <v>1</v>
      </c>
      <c r="M673">
        <v>1303</v>
      </c>
      <c r="N673">
        <v>0.05</v>
      </c>
      <c r="O673">
        <v>1237.8499999999999</v>
      </c>
      <c r="P673">
        <v>0.12</v>
      </c>
      <c r="Q673">
        <v>1237.8499999999999</v>
      </c>
      <c r="R673">
        <v>148.542</v>
      </c>
      <c r="S673">
        <v>1386.3920000000001</v>
      </c>
      <c r="T673">
        <f>ROUND(Table2[[#This Row],[TotalAmount]],0)</f>
        <v>1386</v>
      </c>
      <c r="U673" t="s">
        <v>1366</v>
      </c>
      <c r="V673" t="s">
        <v>1361</v>
      </c>
      <c r="W673" s="4">
        <v>45563</v>
      </c>
      <c r="X673" s="4">
        <v>45565</v>
      </c>
      <c r="Y673" t="b">
        <v>0</v>
      </c>
      <c r="Z673" t="s">
        <v>1412</v>
      </c>
      <c r="AA673" t="s">
        <v>1412</v>
      </c>
      <c r="AB673" t="s">
        <v>1412</v>
      </c>
      <c r="AC673" t="s">
        <v>1386</v>
      </c>
      <c r="AD673" t="s">
        <v>1394</v>
      </c>
      <c r="AE673" t="s">
        <v>1389</v>
      </c>
    </row>
    <row r="674" spans="1:31" x14ac:dyDescent="0.3">
      <c r="A674" t="s">
        <v>850</v>
      </c>
      <c r="B674" s="4">
        <v>45589.439583333333</v>
      </c>
      <c r="C674" t="s">
        <v>283</v>
      </c>
      <c r="D674" t="s">
        <v>1148</v>
      </c>
      <c r="E674" t="s">
        <v>1262</v>
      </c>
      <c r="F674" t="str" cm="1">
        <f t="array" ref="F674">_xlfn.IFS(
E674="Ahmedabad","Gujarat",
E674="Bengaluru","Karnataka",
E674="Bhopal","Madhya Pradesh",
E674="Bhubaneswar","Odisha",
E674="Chandigarh","Chandigarh",
E674="Chennai","Tamil Nadu",
E674="Delhi","Delhi",
E674="Guwahati","Assam",
E674="Hyderabad","Telangana",
E674="Indore","Madhya Pradesh",
E674="Jaipur","Rajasthan",
E674="Kochi","Kerala",
E674="Kolkata","West Bengal",
E674="Lucknow","Uttar Pradesh",
E674="Mumbai","Maharashtra",
E674="Nagpur","Maharashtra",
E674="Patna","Bihar",
E674="Pune","Maharashtra",
E674="Raipur","Chhattisgarh",
E674="Surat","Gujarat",
TRUE,"Not Found"
)</f>
        <v>Rajasthan</v>
      </c>
      <c r="G674" t="s">
        <v>1143</v>
      </c>
      <c r="H674" t="s">
        <v>1172</v>
      </c>
      <c r="I674" t="s">
        <v>1229</v>
      </c>
      <c r="J674" t="s">
        <v>1230</v>
      </c>
      <c r="K674" t="s">
        <v>1231</v>
      </c>
      <c r="L674">
        <v>5</v>
      </c>
      <c r="M674">
        <v>4516</v>
      </c>
      <c r="N674">
        <v>0</v>
      </c>
      <c r="O674">
        <v>4516</v>
      </c>
      <c r="P674">
        <v>0.12</v>
      </c>
      <c r="Q674">
        <v>22580</v>
      </c>
      <c r="R674">
        <v>2709.6</v>
      </c>
      <c r="S674">
        <v>25289.599999999999</v>
      </c>
      <c r="T674">
        <f>ROUND(Table2[[#This Row],[TotalAmount]],0)</f>
        <v>25290</v>
      </c>
      <c r="U674" t="s">
        <v>1365</v>
      </c>
      <c r="V674" t="s">
        <v>1361</v>
      </c>
      <c r="W674" s="4">
        <v>45591</v>
      </c>
      <c r="X674" s="4">
        <v>45592</v>
      </c>
      <c r="Y674" t="b">
        <v>0</v>
      </c>
      <c r="Z674" t="s">
        <v>1412</v>
      </c>
      <c r="AA674" t="s">
        <v>1412</v>
      </c>
      <c r="AB674" t="s">
        <v>1412</v>
      </c>
      <c r="AC674" t="s">
        <v>1396</v>
      </c>
      <c r="AD674" t="s">
        <v>1385</v>
      </c>
      <c r="AE674" t="s">
        <v>1380</v>
      </c>
    </row>
    <row r="675" spans="1:31" x14ac:dyDescent="0.3">
      <c r="A675" t="s">
        <v>851</v>
      </c>
      <c r="B675" s="4">
        <v>45485.461111111108</v>
      </c>
      <c r="C675" t="s">
        <v>444</v>
      </c>
      <c r="D675" t="s">
        <v>1157</v>
      </c>
      <c r="E675" t="s">
        <v>1158</v>
      </c>
      <c r="F675" t="str" cm="1">
        <f t="array" ref="F675">_xlfn.IFS(
E675="Ahmedabad","Gujarat",
E675="Bengaluru","Karnataka",
E675="Bhopal","Madhya Pradesh",
E675="Bhubaneswar","Odisha",
E675="Chandigarh","Chandigarh",
E675="Chennai","Tamil Nadu",
E675="Delhi","Delhi",
E675="Guwahati","Assam",
E675="Hyderabad","Telangana",
E675="Indore","Madhya Pradesh",
E675="Jaipur","Rajasthan",
E675="Kochi","Kerala",
E675="Kolkata","West Bengal",
E675="Lucknow","Uttar Pradesh",
E675="Mumbai","Maharashtra",
E675="Nagpur","Maharashtra",
E675="Patna","Bihar",
E675="Pune","Maharashtra",
E675="Raipur","Chhattisgarh",
E675="Surat","Gujarat",
TRUE,"Not Found"
)</f>
        <v>Gujarat</v>
      </c>
      <c r="G675" t="s">
        <v>1143</v>
      </c>
      <c r="H675" t="s">
        <v>1163</v>
      </c>
      <c r="I675" t="s">
        <v>1184</v>
      </c>
      <c r="J675" t="s">
        <v>1185</v>
      </c>
      <c r="K675" t="s">
        <v>1186</v>
      </c>
      <c r="L675">
        <v>2</v>
      </c>
      <c r="M675">
        <v>665</v>
      </c>
      <c r="N675">
        <v>0.15</v>
      </c>
      <c r="O675">
        <v>565.25</v>
      </c>
      <c r="P675">
        <v>0.12</v>
      </c>
      <c r="Q675">
        <v>1130.5</v>
      </c>
      <c r="R675">
        <v>135.66</v>
      </c>
      <c r="S675">
        <v>1266.1600000000001</v>
      </c>
      <c r="T675">
        <f>ROUND(Table2[[#This Row],[TotalAmount]],0)</f>
        <v>1266</v>
      </c>
      <c r="U675" t="s">
        <v>1365</v>
      </c>
      <c r="V675" t="s">
        <v>1361</v>
      </c>
      <c r="W675" s="4">
        <v>45485</v>
      </c>
      <c r="X675" s="4">
        <v>45489</v>
      </c>
      <c r="Y675" t="b">
        <v>0</v>
      </c>
      <c r="Z675" t="s">
        <v>1412</v>
      </c>
      <c r="AA675" t="s">
        <v>1412</v>
      </c>
      <c r="AB675" t="s">
        <v>1412</v>
      </c>
      <c r="AC675" t="s">
        <v>1396</v>
      </c>
      <c r="AD675" t="s">
        <v>1400</v>
      </c>
      <c r="AE675" t="s">
        <v>1380</v>
      </c>
    </row>
    <row r="676" spans="1:31" x14ac:dyDescent="0.3">
      <c r="A676" t="s">
        <v>852</v>
      </c>
      <c r="B676" s="4">
        <v>45529.547222222223</v>
      </c>
      <c r="C676" t="s">
        <v>378</v>
      </c>
      <c r="D676" t="s">
        <v>1157</v>
      </c>
      <c r="E676" t="s">
        <v>1158</v>
      </c>
      <c r="F676" t="str" cm="1">
        <f t="array" ref="F676">_xlfn.IFS(
E676="Ahmedabad","Gujarat",
E676="Bengaluru","Karnataka",
E676="Bhopal","Madhya Pradesh",
E676="Bhubaneswar","Odisha",
E676="Chandigarh","Chandigarh",
E676="Chennai","Tamil Nadu",
E676="Delhi","Delhi",
E676="Guwahati","Assam",
E676="Hyderabad","Telangana",
E676="Indore","Madhya Pradesh",
E676="Jaipur","Rajasthan",
E676="Kochi","Kerala",
E676="Kolkata","West Bengal",
E676="Lucknow","Uttar Pradesh",
E676="Mumbai","Maharashtra",
E676="Nagpur","Maharashtra",
E676="Patna","Bihar",
E676="Pune","Maharashtra",
E676="Raipur","Chhattisgarh",
E676="Surat","Gujarat",
TRUE,"Not Found"
)</f>
        <v>Gujarat</v>
      </c>
      <c r="G676" t="s">
        <v>1143</v>
      </c>
      <c r="H676" t="s">
        <v>1177</v>
      </c>
      <c r="I676" t="s">
        <v>1178</v>
      </c>
      <c r="J676" t="s">
        <v>1179</v>
      </c>
      <c r="K676" t="s">
        <v>1180</v>
      </c>
      <c r="L676">
        <v>1</v>
      </c>
      <c r="M676">
        <v>629</v>
      </c>
      <c r="N676">
        <v>0.2</v>
      </c>
      <c r="O676">
        <v>503.2</v>
      </c>
      <c r="P676">
        <v>0.05</v>
      </c>
      <c r="Q676">
        <v>503.2</v>
      </c>
      <c r="R676">
        <v>25.16</v>
      </c>
      <c r="S676">
        <v>528.36</v>
      </c>
      <c r="T676">
        <f>ROUND(Table2[[#This Row],[TotalAmount]],0)</f>
        <v>528</v>
      </c>
      <c r="U676" t="s">
        <v>1363</v>
      </c>
      <c r="V676" t="s">
        <v>1361</v>
      </c>
      <c r="W676" s="4">
        <v>45529</v>
      </c>
      <c r="X676" s="4">
        <v>45530</v>
      </c>
      <c r="Y676" t="b">
        <v>0</v>
      </c>
      <c r="Z676" t="s">
        <v>1412</v>
      </c>
      <c r="AA676" t="s">
        <v>1412</v>
      </c>
      <c r="AB676" t="s">
        <v>1412</v>
      </c>
      <c r="AC676" t="s">
        <v>1376</v>
      </c>
      <c r="AD676" t="s">
        <v>1397</v>
      </c>
      <c r="AE676" t="s">
        <v>1389</v>
      </c>
    </row>
    <row r="677" spans="1:31" x14ac:dyDescent="0.3">
      <c r="A677" t="s">
        <v>853</v>
      </c>
      <c r="B677" s="4">
        <v>45771.513194444437</v>
      </c>
      <c r="C677" t="s">
        <v>38</v>
      </c>
      <c r="D677" t="s">
        <v>1148</v>
      </c>
      <c r="E677" t="s">
        <v>1149</v>
      </c>
      <c r="F677" t="str" cm="1">
        <f t="array" ref="F677">_xlfn.IFS(
E677="Ahmedabad","Gujarat",
E677="Bengaluru","Karnataka",
E677="Bhopal","Madhya Pradesh",
E677="Bhubaneswar","Odisha",
E677="Chandigarh","Chandigarh",
E677="Chennai","Tamil Nadu",
E677="Delhi","Delhi",
E677="Guwahati","Assam",
E677="Hyderabad","Telangana",
E677="Indore","Madhya Pradesh",
E677="Jaipur","Rajasthan",
E677="Kochi","Kerala",
E677="Kolkata","West Bengal",
E677="Lucknow","Uttar Pradesh",
E677="Mumbai","Maharashtra",
E677="Nagpur","Maharashtra",
E677="Patna","Bihar",
E677="Pune","Maharashtra",
E677="Raipur","Chhattisgarh",
E677="Surat","Gujarat",
TRUE,"Not Found"
)</f>
        <v>Uttar Pradesh</v>
      </c>
      <c r="G677" t="s">
        <v>1150</v>
      </c>
      <c r="H677" t="s">
        <v>1177</v>
      </c>
      <c r="I677" t="s">
        <v>1309</v>
      </c>
      <c r="J677" t="s">
        <v>1328</v>
      </c>
      <c r="K677" t="s">
        <v>1329</v>
      </c>
      <c r="L677">
        <v>3</v>
      </c>
      <c r="M677">
        <v>1083</v>
      </c>
      <c r="N677">
        <v>0</v>
      </c>
      <c r="O677">
        <v>1083</v>
      </c>
      <c r="P677">
        <v>0.12</v>
      </c>
      <c r="Q677">
        <v>3249</v>
      </c>
      <c r="R677">
        <v>389.88</v>
      </c>
      <c r="S677">
        <v>3638.88</v>
      </c>
      <c r="T677">
        <f>ROUND(Table2[[#This Row],[TotalAmount]],0)</f>
        <v>3639</v>
      </c>
      <c r="U677" t="s">
        <v>1360</v>
      </c>
      <c r="V677" t="s">
        <v>1361</v>
      </c>
      <c r="W677" s="4">
        <v>45772</v>
      </c>
      <c r="X677" s="4">
        <v>45777</v>
      </c>
      <c r="Y677" t="b">
        <v>0</v>
      </c>
      <c r="Z677" t="s">
        <v>1412</v>
      </c>
      <c r="AA677" t="s">
        <v>1412</v>
      </c>
      <c r="AB677" t="s">
        <v>1412</v>
      </c>
      <c r="AC677" t="s">
        <v>1398</v>
      </c>
      <c r="AD677" t="s">
        <v>1397</v>
      </c>
      <c r="AE677" t="s">
        <v>1380</v>
      </c>
    </row>
    <row r="678" spans="1:31" x14ac:dyDescent="0.3">
      <c r="A678" t="s">
        <v>854</v>
      </c>
      <c r="B678" s="4">
        <v>45767.553472222222</v>
      </c>
      <c r="C678" t="s">
        <v>237</v>
      </c>
      <c r="D678" t="s">
        <v>1182</v>
      </c>
      <c r="E678" t="s">
        <v>1183</v>
      </c>
      <c r="F678" t="str" cm="1">
        <f t="array" ref="F678">_xlfn.IFS(
E678="Ahmedabad","Gujarat",
E678="Bengaluru","Karnataka",
E678="Bhopal","Madhya Pradesh",
E678="Bhubaneswar","Odisha",
E678="Chandigarh","Chandigarh",
E678="Chennai","Tamil Nadu",
E678="Delhi","Delhi",
E678="Guwahati","Assam",
E678="Hyderabad","Telangana",
E678="Indore","Madhya Pradesh",
E678="Jaipur","Rajasthan",
E678="Kochi","Kerala",
E678="Kolkata","West Bengal",
E678="Lucknow","Uttar Pradesh",
E678="Mumbai","Maharashtra",
E678="Nagpur","Maharashtra",
E678="Patna","Bihar",
E678="Pune","Maharashtra",
E678="Raipur","Chhattisgarh",
E678="Surat","Gujarat",
TRUE,"Not Found"
)</f>
        <v>Telangana</v>
      </c>
      <c r="G678" t="s">
        <v>1150</v>
      </c>
      <c r="H678" t="s">
        <v>1163</v>
      </c>
      <c r="I678" t="s">
        <v>1240</v>
      </c>
      <c r="J678" t="s">
        <v>1241</v>
      </c>
      <c r="K678" t="s">
        <v>1242</v>
      </c>
      <c r="L678">
        <v>2</v>
      </c>
      <c r="M678">
        <v>799</v>
      </c>
      <c r="N678">
        <v>0.05</v>
      </c>
      <c r="O678">
        <v>759.05</v>
      </c>
      <c r="P678">
        <v>0.12</v>
      </c>
      <c r="Q678">
        <v>1518.1</v>
      </c>
      <c r="R678">
        <v>182.172</v>
      </c>
      <c r="S678">
        <v>1700.2719999999999</v>
      </c>
      <c r="T678">
        <f>ROUND(Table2[[#This Row],[TotalAmount]],0)</f>
        <v>1700</v>
      </c>
      <c r="U678" t="s">
        <v>1363</v>
      </c>
      <c r="V678" t="s">
        <v>1361</v>
      </c>
      <c r="W678" s="4">
        <v>45768</v>
      </c>
      <c r="X678" s="4">
        <v>45770</v>
      </c>
      <c r="Y678" t="b">
        <v>0</v>
      </c>
      <c r="Z678" t="s">
        <v>1412</v>
      </c>
      <c r="AA678" t="s">
        <v>1412</v>
      </c>
      <c r="AB678" t="s">
        <v>1412</v>
      </c>
      <c r="AC678" t="s">
        <v>1382</v>
      </c>
      <c r="AD678" t="s">
        <v>1387</v>
      </c>
      <c r="AE678" t="s">
        <v>1383</v>
      </c>
    </row>
    <row r="679" spans="1:31" x14ac:dyDescent="0.3">
      <c r="A679" t="s">
        <v>855</v>
      </c>
      <c r="B679" s="4">
        <v>45451.661111111112</v>
      </c>
      <c r="C679" t="s">
        <v>169</v>
      </c>
      <c r="D679" t="s">
        <v>1148</v>
      </c>
      <c r="E679" t="s">
        <v>1149</v>
      </c>
      <c r="F679" t="str" cm="1">
        <f t="array" ref="F679">_xlfn.IFS(
E679="Ahmedabad","Gujarat",
E679="Bengaluru","Karnataka",
E679="Bhopal","Madhya Pradesh",
E679="Bhubaneswar","Odisha",
E679="Chandigarh","Chandigarh",
E679="Chennai","Tamil Nadu",
E679="Delhi","Delhi",
E679="Guwahati","Assam",
E679="Hyderabad","Telangana",
E679="Indore","Madhya Pradesh",
E679="Jaipur","Rajasthan",
E679="Kochi","Kerala",
E679="Kolkata","West Bengal",
E679="Lucknow","Uttar Pradesh",
E679="Mumbai","Maharashtra",
E679="Nagpur","Maharashtra",
E679="Patna","Bihar",
E679="Pune","Maharashtra",
E679="Raipur","Chhattisgarh",
E679="Surat","Gujarat",
TRUE,"Not Found"
)</f>
        <v>Uttar Pradesh</v>
      </c>
      <c r="G679" t="s">
        <v>1143</v>
      </c>
      <c r="H679" t="s">
        <v>1167</v>
      </c>
      <c r="I679" t="s">
        <v>1208</v>
      </c>
      <c r="J679" t="s">
        <v>1209</v>
      </c>
      <c r="K679" t="s">
        <v>1210</v>
      </c>
      <c r="L679">
        <v>1</v>
      </c>
      <c r="M679">
        <v>33849</v>
      </c>
      <c r="N679">
        <v>0.05</v>
      </c>
      <c r="O679">
        <v>32156.55</v>
      </c>
      <c r="P679">
        <v>0.05</v>
      </c>
      <c r="Q679">
        <v>32156.55</v>
      </c>
      <c r="R679">
        <v>1607.8275000000001</v>
      </c>
      <c r="S679">
        <v>33764.377500000002</v>
      </c>
      <c r="T679">
        <f>ROUND(Table2[[#This Row],[TotalAmount]],0)</f>
        <v>33764</v>
      </c>
      <c r="U679" t="s">
        <v>1363</v>
      </c>
      <c r="V679" t="s">
        <v>1361</v>
      </c>
      <c r="W679" s="4">
        <v>45452</v>
      </c>
      <c r="X679" s="4">
        <v>45456</v>
      </c>
      <c r="Y679" t="b">
        <v>0</v>
      </c>
      <c r="Z679" t="s">
        <v>1412</v>
      </c>
      <c r="AA679" t="s">
        <v>1412</v>
      </c>
      <c r="AB679" t="s">
        <v>1412</v>
      </c>
      <c r="AC679" t="s">
        <v>1376</v>
      </c>
      <c r="AD679" t="s">
        <v>1385</v>
      </c>
      <c r="AE679" t="s">
        <v>1393</v>
      </c>
    </row>
    <row r="680" spans="1:31" x14ac:dyDescent="0.3">
      <c r="A680" t="s">
        <v>856</v>
      </c>
      <c r="B680" s="4">
        <v>45602.539583333331</v>
      </c>
      <c r="C680" t="s">
        <v>81</v>
      </c>
      <c r="D680" t="s">
        <v>1148</v>
      </c>
      <c r="E680" t="s">
        <v>1149</v>
      </c>
      <c r="F680" t="str" cm="1">
        <f t="array" ref="F680">_xlfn.IFS(
E680="Ahmedabad","Gujarat",
E680="Bengaluru","Karnataka",
E680="Bhopal","Madhya Pradesh",
E680="Bhubaneswar","Odisha",
E680="Chandigarh","Chandigarh",
E680="Chennai","Tamil Nadu",
E680="Delhi","Delhi",
E680="Guwahati","Assam",
E680="Hyderabad","Telangana",
E680="Indore","Madhya Pradesh",
E680="Jaipur","Rajasthan",
E680="Kochi","Kerala",
E680="Kolkata","West Bengal",
E680="Lucknow","Uttar Pradesh",
E680="Mumbai","Maharashtra",
E680="Nagpur","Maharashtra",
E680="Patna","Bihar",
E680="Pune","Maharashtra",
E680="Raipur","Chhattisgarh",
E680="Surat","Gujarat",
TRUE,"Not Found"
)</f>
        <v>Uttar Pradesh</v>
      </c>
      <c r="G680" t="s">
        <v>1143</v>
      </c>
      <c r="H680" t="s">
        <v>1144</v>
      </c>
      <c r="I680" t="s">
        <v>1145</v>
      </c>
      <c r="J680" t="s">
        <v>1155</v>
      </c>
      <c r="K680" t="s">
        <v>1156</v>
      </c>
      <c r="L680">
        <v>2</v>
      </c>
      <c r="M680">
        <v>13718</v>
      </c>
      <c r="N680">
        <v>0</v>
      </c>
      <c r="O680">
        <v>13718</v>
      </c>
      <c r="P680">
        <v>0.12</v>
      </c>
      <c r="Q680">
        <v>27436</v>
      </c>
      <c r="R680">
        <v>3292.32</v>
      </c>
      <c r="S680">
        <v>30728.32</v>
      </c>
      <c r="T680">
        <f>ROUND(Table2[[#This Row],[TotalAmount]],0)</f>
        <v>30728</v>
      </c>
      <c r="U680" t="s">
        <v>1363</v>
      </c>
      <c r="V680" t="s">
        <v>1361</v>
      </c>
      <c r="W680" s="4">
        <v>45604</v>
      </c>
      <c r="X680" s="4">
        <v>45608</v>
      </c>
      <c r="Y680" t="b">
        <v>0</v>
      </c>
      <c r="Z680" t="s">
        <v>1412</v>
      </c>
      <c r="AA680" t="s">
        <v>1412</v>
      </c>
      <c r="AB680" t="s">
        <v>1412</v>
      </c>
      <c r="AC680" t="s">
        <v>1388</v>
      </c>
      <c r="AD680" t="s">
        <v>1399</v>
      </c>
      <c r="AE680" t="s">
        <v>1378</v>
      </c>
    </row>
    <row r="681" spans="1:31" x14ac:dyDescent="0.3">
      <c r="A681" t="s">
        <v>857</v>
      </c>
      <c r="B681" s="4">
        <v>45586.674305555563</v>
      </c>
      <c r="C681" t="s">
        <v>858</v>
      </c>
      <c r="D681" t="s">
        <v>1141</v>
      </c>
      <c r="E681" t="s">
        <v>1239</v>
      </c>
      <c r="F681" t="str" cm="1">
        <f t="array" ref="F681">_xlfn.IFS(
E681="Ahmedabad","Gujarat",
E681="Bengaluru","Karnataka",
E681="Bhopal","Madhya Pradesh",
E681="Bhubaneswar","Odisha",
E681="Chandigarh","Chandigarh",
E681="Chennai","Tamil Nadu",
E681="Delhi","Delhi",
E681="Guwahati","Assam",
E681="Hyderabad","Telangana",
E681="Indore","Madhya Pradesh",
E681="Jaipur","Rajasthan",
E681="Kochi","Kerala",
E681="Kolkata","West Bengal",
E681="Lucknow","Uttar Pradesh",
E681="Mumbai","Maharashtra",
E681="Nagpur","Maharashtra",
E681="Patna","Bihar",
E681="Pune","Maharashtra",
E681="Raipur","Chhattisgarh",
E681="Surat","Gujarat",
TRUE,"Not Found"
)</f>
        <v>Odisha</v>
      </c>
      <c r="G681" t="s">
        <v>1150</v>
      </c>
      <c r="H681" t="s">
        <v>1172</v>
      </c>
      <c r="I681" t="s">
        <v>1229</v>
      </c>
      <c r="J681" t="s">
        <v>1295</v>
      </c>
      <c r="K681" t="s">
        <v>1296</v>
      </c>
      <c r="L681">
        <v>2</v>
      </c>
      <c r="M681">
        <v>2251</v>
      </c>
      <c r="N681">
        <v>0</v>
      </c>
      <c r="O681">
        <v>2251</v>
      </c>
      <c r="P681">
        <v>0.12</v>
      </c>
      <c r="Q681">
        <v>4502</v>
      </c>
      <c r="R681">
        <v>540.24</v>
      </c>
      <c r="S681">
        <v>5042.24</v>
      </c>
      <c r="T681">
        <f>ROUND(Table2[[#This Row],[TotalAmount]],0)</f>
        <v>5042</v>
      </c>
      <c r="U681" t="s">
        <v>1365</v>
      </c>
      <c r="V681" t="s">
        <v>1361</v>
      </c>
      <c r="W681" s="4">
        <v>45586</v>
      </c>
      <c r="X681" s="4">
        <v>45590</v>
      </c>
      <c r="Y681" t="b">
        <v>0</v>
      </c>
      <c r="Z681" t="s">
        <v>1412</v>
      </c>
      <c r="AA681" t="s">
        <v>1412</v>
      </c>
      <c r="AB681" t="s">
        <v>1412</v>
      </c>
      <c r="AC681" t="s">
        <v>1388</v>
      </c>
      <c r="AD681" t="s">
        <v>1397</v>
      </c>
      <c r="AE681" t="s">
        <v>1395</v>
      </c>
    </row>
    <row r="682" spans="1:31" x14ac:dyDescent="0.3">
      <c r="A682" t="s">
        <v>859</v>
      </c>
      <c r="B682" s="4">
        <v>45410.567361111112</v>
      </c>
      <c r="C682" t="s">
        <v>135</v>
      </c>
      <c r="D682" t="s">
        <v>1182</v>
      </c>
      <c r="E682" t="s">
        <v>1207</v>
      </c>
      <c r="F682" t="str" cm="1">
        <f t="array" ref="F682">_xlfn.IFS(
E682="Ahmedabad","Gujarat",
E682="Bengaluru","Karnataka",
E682="Bhopal","Madhya Pradesh",
E682="Bhubaneswar","Odisha",
E682="Chandigarh","Chandigarh",
E682="Chennai","Tamil Nadu",
E682="Delhi","Delhi",
E682="Guwahati","Assam",
E682="Hyderabad","Telangana",
E682="Indore","Madhya Pradesh",
E682="Jaipur","Rajasthan",
E682="Kochi","Kerala",
E682="Kolkata","West Bengal",
E682="Lucknow","Uttar Pradesh",
E682="Mumbai","Maharashtra",
E682="Nagpur","Maharashtra",
E682="Patna","Bihar",
E682="Pune","Maharashtra",
E682="Raipur","Chhattisgarh",
E682="Surat","Gujarat",
TRUE,"Not Found"
)</f>
        <v>Tamil Nadu</v>
      </c>
      <c r="G682" t="s">
        <v>1150</v>
      </c>
      <c r="H682" t="s">
        <v>1163</v>
      </c>
      <c r="I682" t="s">
        <v>1224</v>
      </c>
      <c r="J682" t="s">
        <v>1243</v>
      </c>
      <c r="K682" t="s">
        <v>1244</v>
      </c>
      <c r="L682">
        <v>3</v>
      </c>
      <c r="M682">
        <v>181</v>
      </c>
      <c r="N682">
        <v>0</v>
      </c>
      <c r="O682">
        <v>181</v>
      </c>
      <c r="P682">
        <v>0.12</v>
      </c>
      <c r="Q682">
        <v>543</v>
      </c>
      <c r="R682">
        <v>65.16</v>
      </c>
      <c r="S682">
        <v>608.16</v>
      </c>
      <c r="T682">
        <f>ROUND(Table2[[#This Row],[TotalAmount]],0)</f>
        <v>608</v>
      </c>
      <c r="U682" t="s">
        <v>1360</v>
      </c>
      <c r="V682" t="s">
        <v>1361</v>
      </c>
      <c r="W682" s="4">
        <v>45412</v>
      </c>
      <c r="X682" s="4">
        <v>45417</v>
      </c>
      <c r="Y682" t="b">
        <v>0</v>
      </c>
      <c r="Z682" t="s">
        <v>1412</v>
      </c>
      <c r="AA682" t="s">
        <v>1412</v>
      </c>
      <c r="AB682" t="s">
        <v>1412</v>
      </c>
      <c r="AC682" t="s">
        <v>1398</v>
      </c>
      <c r="AD682" t="s">
        <v>1377</v>
      </c>
      <c r="AE682" t="s">
        <v>1378</v>
      </c>
    </row>
    <row r="683" spans="1:31" x14ac:dyDescent="0.3">
      <c r="A683" t="s">
        <v>860</v>
      </c>
      <c r="B683" s="4">
        <v>45761.570833333331</v>
      </c>
      <c r="C683" t="s">
        <v>290</v>
      </c>
      <c r="D683" t="s">
        <v>1141</v>
      </c>
      <c r="E683" t="s">
        <v>1227</v>
      </c>
      <c r="F683" t="str" cm="1">
        <f t="array" ref="F683">_xlfn.IFS(
E683="Ahmedabad","Gujarat",
E683="Bengaluru","Karnataka",
E683="Bhopal","Madhya Pradesh",
E683="Bhubaneswar","Odisha",
E683="Chandigarh","Chandigarh",
E683="Chennai","Tamil Nadu",
E683="Delhi","Delhi",
E683="Guwahati","Assam",
E683="Hyderabad","Telangana",
E683="Indore","Madhya Pradesh",
E683="Jaipur","Rajasthan",
E683="Kochi","Kerala",
E683="Kolkata","West Bengal",
E683="Lucknow","Uttar Pradesh",
E683="Mumbai","Maharashtra",
E683="Nagpur","Maharashtra",
E683="Patna","Bihar",
E683="Pune","Maharashtra",
E683="Raipur","Chhattisgarh",
E683="Surat","Gujarat",
TRUE,"Not Found"
)</f>
        <v>Bihar</v>
      </c>
      <c r="G683" t="s">
        <v>1143</v>
      </c>
      <c r="H683" t="s">
        <v>1167</v>
      </c>
      <c r="I683" t="s">
        <v>1288</v>
      </c>
      <c r="J683" t="s">
        <v>1336</v>
      </c>
      <c r="K683" t="s">
        <v>1337</v>
      </c>
      <c r="L683">
        <v>3</v>
      </c>
      <c r="M683">
        <v>17655</v>
      </c>
      <c r="N683">
        <v>0</v>
      </c>
      <c r="O683">
        <v>17655</v>
      </c>
      <c r="P683">
        <v>0.05</v>
      </c>
      <c r="Q683">
        <v>52965</v>
      </c>
      <c r="R683">
        <v>2648.25</v>
      </c>
      <c r="S683">
        <v>55613.25</v>
      </c>
      <c r="T683">
        <f>ROUND(Table2[[#This Row],[TotalAmount]],0)</f>
        <v>55613</v>
      </c>
      <c r="U683" t="s">
        <v>1360</v>
      </c>
      <c r="V683" t="s">
        <v>1361</v>
      </c>
      <c r="W683" s="4">
        <v>45761</v>
      </c>
      <c r="X683" s="4">
        <v>45762</v>
      </c>
      <c r="Y683" t="b">
        <v>0</v>
      </c>
      <c r="Z683" t="s">
        <v>1412</v>
      </c>
      <c r="AA683" t="s">
        <v>1412</v>
      </c>
      <c r="AB683" t="s">
        <v>1412</v>
      </c>
      <c r="AC683" t="s">
        <v>1379</v>
      </c>
      <c r="AD683" t="s">
        <v>1400</v>
      </c>
      <c r="AE683" t="s">
        <v>1391</v>
      </c>
    </row>
    <row r="684" spans="1:31" x14ac:dyDescent="0.3">
      <c r="A684" t="s">
        <v>861</v>
      </c>
      <c r="B684" s="4">
        <v>45486.566666666673</v>
      </c>
      <c r="C684" t="s">
        <v>155</v>
      </c>
      <c r="D684" t="s">
        <v>1157</v>
      </c>
      <c r="E684" t="s">
        <v>1158</v>
      </c>
      <c r="F684" t="str" cm="1">
        <f t="array" ref="F684">_xlfn.IFS(
E684="Ahmedabad","Gujarat",
E684="Bengaluru","Karnataka",
E684="Bhopal","Madhya Pradesh",
E684="Bhubaneswar","Odisha",
E684="Chandigarh","Chandigarh",
E684="Chennai","Tamil Nadu",
E684="Delhi","Delhi",
E684="Guwahati","Assam",
E684="Hyderabad","Telangana",
E684="Indore","Madhya Pradesh",
E684="Jaipur","Rajasthan",
E684="Kochi","Kerala",
E684="Kolkata","West Bengal",
E684="Lucknow","Uttar Pradesh",
E684="Mumbai","Maharashtra",
E684="Nagpur","Maharashtra",
E684="Patna","Bihar",
E684="Pune","Maharashtra",
E684="Raipur","Chhattisgarh",
E684="Surat","Gujarat",
TRUE,"Not Found"
)</f>
        <v>Gujarat</v>
      </c>
      <c r="G684" t="s">
        <v>1143</v>
      </c>
      <c r="H684" t="s">
        <v>1144</v>
      </c>
      <c r="I684" t="s">
        <v>1159</v>
      </c>
      <c r="J684" t="s">
        <v>1160</v>
      </c>
      <c r="K684" t="s">
        <v>1161</v>
      </c>
      <c r="L684">
        <v>1</v>
      </c>
      <c r="M684">
        <v>1496</v>
      </c>
      <c r="N684">
        <v>0.15</v>
      </c>
      <c r="O684">
        <v>1271.5999999999999</v>
      </c>
      <c r="P684">
        <v>0.12</v>
      </c>
      <c r="Q684">
        <v>1271.5999999999999</v>
      </c>
      <c r="R684">
        <v>152.59200000000001</v>
      </c>
      <c r="S684">
        <v>1424.192</v>
      </c>
      <c r="T684">
        <f>ROUND(Table2[[#This Row],[TotalAmount]],0)</f>
        <v>1424</v>
      </c>
      <c r="U684" t="s">
        <v>1363</v>
      </c>
      <c r="V684" t="s">
        <v>1367</v>
      </c>
      <c r="W684" s="4">
        <v>45486</v>
      </c>
      <c r="X684" s="4" t="s">
        <v>1412</v>
      </c>
      <c r="Y684" t="b">
        <v>0</v>
      </c>
      <c r="Z684" t="s">
        <v>1412</v>
      </c>
      <c r="AA684" t="s">
        <v>1412</v>
      </c>
      <c r="AB684" t="s">
        <v>1412</v>
      </c>
      <c r="AC684" t="s">
        <v>1379</v>
      </c>
      <c r="AD684" t="s">
        <v>1397</v>
      </c>
      <c r="AE684" t="s">
        <v>1389</v>
      </c>
    </row>
    <row r="685" spans="1:31" x14ac:dyDescent="0.3">
      <c r="A685" t="s">
        <v>862</v>
      </c>
      <c r="B685" s="4">
        <v>45625.452777777777</v>
      </c>
      <c r="C685" t="s">
        <v>57</v>
      </c>
      <c r="D685" t="s">
        <v>1153</v>
      </c>
      <c r="E685" t="s">
        <v>1176</v>
      </c>
      <c r="F685" t="str" cm="1">
        <f t="array" ref="F685">_xlfn.IFS(
E685="Ahmedabad","Gujarat",
E685="Bengaluru","Karnataka",
E685="Bhopal","Madhya Pradesh",
E685="Bhubaneswar","Odisha",
E685="Chandigarh","Chandigarh",
E685="Chennai","Tamil Nadu",
E685="Delhi","Delhi",
E685="Guwahati","Assam",
E685="Hyderabad","Telangana",
E685="Indore","Madhya Pradesh",
E685="Jaipur","Rajasthan",
E685="Kochi","Kerala",
E685="Kolkata","West Bengal",
E685="Lucknow","Uttar Pradesh",
E685="Mumbai","Maharashtra",
E685="Nagpur","Maharashtra",
E685="Patna","Bihar",
E685="Pune","Maharashtra",
E685="Raipur","Chhattisgarh",
E685="Surat","Gujarat",
TRUE,"Not Found"
)</f>
        <v>Chhattisgarh</v>
      </c>
      <c r="G685" t="s">
        <v>1143</v>
      </c>
      <c r="H685" t="s">
        <v>1172</v>
      </c>
      <c r="I685" t="s">
        <v>1229</v>
      </c>
      <c r="J685" t="s">
        <v>1230</v>
      </c>
      <c r="K685" t="s">
        <v>1231</v>
      </c>
      <c r="L685">
        <v>2</v>
      </c>
      <c r="M685">
        <v>3353</v>
      </c>
      <c r="N685">
        <v>0</v>
      </c>
      <c r="O685">
        <v>3353</v>
      </c>
      <c r="P685">
        <v>0.12</v>
      </c>
      <c r="Q685">
        <v>6706</v>
      </c>
      <c r="R685">
        <v>804.71999999999991</v>
      </c>
      <c r="S685">
        <v>7510.72</v>
      </c>
      <c r="T685">
        <f>ROUND(Table2[[#This Row],[TotalAmount]],0)</f>
        <v>7511</v>
      </c>
      <c r="U685" t="s">
        <v>1360</v>
      </c>
      <c r="V685" t="s">
        <v>1361</v>
      </c>
      <c r="W685" s="4">
        <v>45626</v>
      </c>
      <c r="X685" s="4">
        <v>45630</v>
      </c>
      <c r="Y685" t="b">
        <v>0</v>
      </c>
      <c r="Z685" t="s">
        <v>1412</v>
      </c>
      <c r="AA685" t="s">
        <v>1412</v>
      </c>
      <c r="AB685" t="s">
        <v>1412</v>
      </c>
      <c r="AC685" t="s">
        <v>1396</v>
      </c>
      <c r="AD685" t="s">
        <v>1385</v>
      </c>
      <c r="AE685" t="s">
        <v>1383</v>
      </c>
    </row>
    <row r="686" spans="1:31" x14ac:dyDescent="0.3">
      <c r="A686" t="s">
        <v>863</v>
      </c>
      <c r="B686" s="4">
        <v>45331.477083333331</v>
      </c>
      <c r="C686" t="s">
        <v>524</v>
      </c>
      <c r="D686" t="s">
        <v>1148</v>
      </c>
      <c r="E686" t="s">
        <v>1149</v>
      </c>
      <c r="F686" t="str" cm="1">
        <f t="array" ref="F686">_xlfn.IFS(
E686="Ahmedabad","Gujarat",
E686="Bengaluru","Karnataka",
E686="Bhopal","Madhya Pradesh",
E686="Bhubaneswar","Odisha",
E686="Chandigarh","Chandigarh",
E686="Chennai","Tamil Nadu",
E686="Delhi","Delhi",
E686="Guwahati","Assam",
E686="Hyderabad","Telangana",
E686="Indore","Madhya Pradesh",
E686="Jaipur","Rajasthan",
E686="Kochi","Kerala",
E686="Kolkata","West Bengal",
E686="Lucknow","Uttar Pradesh",
E686="Mumbai","Maharashtra",
E686="Nagpur","Maharashtra",
E686="Patna","Bihar",
E686="Pune","Maharashtra",
E686="Raipur","Chhattisgarh",
E686="Surat","Gujarat",
TRUE,"Not Found"
)</f>
        <v>Uttar Pradesh</v>
      </c>
      <c r="G686" t="s">
        <v>1228</v>
      </c>
      <c r="H686" t="s">
        <v>1163</v>
      </c>
      <c r="I686" t="s">
        <v>1164</v>
      </c>
      <c r="J686" t="s">
        <v>1165</v>
      </c>
      <c r="K686" t="s">
        <v>1166</v>
      </c>
      <c r="L686">
        <v>2</v>
      </c>
      <c r="M686">
        <v>635</v>
      </c>
      <c r="N686">
        <v>0</v>
      </c>
      <c r="O686">
        <v>635</v>
      </c>
      <c r="P686">
        <v>0.05</v>
      </c>
      <c r="Q686">
        <v>1270</v>
      </c>
      <c r="R686">
        <v>63.5</v>
      </c>
      <c r="S686">
        <v>1333.5</v>
      </c>
      <c r="T686">
        <f>ROUND(Table2[[#This Row],[TotalAmount]],0)</f>
        <v>1334</v>
      </c>
      <c r="U686" t="s">
        <v>1360</v>
      </c>
      <c r="V686" t="s">
        <v>1367</v>
      </c>
      <c r="W686" s="4">
        <v>45333</v>
      </c>
      <c r="X686" s="4" t="s">
        <v>1412</v>
      </c>
      <c r="Y686" t="b">
        <v>0</v>
      </c>
      <c r="Z686" t="s">
        <v>1412</v>
      </c>
      <c r="AA686" t="s">
        <v>1412</v>
      </c>
      <c r="AB686" t="s">
        <v>1412</v>
      </c>
      <c r="AC686" t="s">
        <v>1379</v>
      </c>
      <c r="AD686" t="s">
        <v>1385</v>
      </c>
      <c r="AE686" t="s">
        <v>1391</v>
      </c>
    </row>
    <row r="687" spans="1:31" x14ac:dyDescent="0.3">
      <c r="A687" t="s">
        <v>864</v>
      </c>
      <c r="B687" s="4">
        <v>45293.602777777778</v>
      </c>
      <c r="C687" t="s">
        <v>382</v>
      </c>
      <c r="D687" t="s">
        <v>1157</v>
      </c>
      <c r="E687" t="s">
        <v>1158</v>
      </c>
      <c r="F687" t="str" cm="1">
        <f t="array" ref="F687">_xlfn.IFS(
E687="Ahmedabad","Gujarat",
E687="Bengaluru","Karnataka",
E687="Bhopal","Madhya Pradesh",
E687="Bhubaneswar","Odisha",
E687="Chandigarh","Chandigarh",
E687="Chennai","Tamil Nadu",
E687="Delhi","Delhi",
E687="Guwahati","Assam",
E687="Hyderabad","Telangana",
E687="Indore","Madhya Pradesh",
E687="Jaipur","Rajasthan",
E687="Kochi","Kerala",
E687="Kolkata","West Bengal",
E687="Lucknow","Uttar Pradesh",
E687="Mumbai","Maharashtra",
E687="Nagpur","Maharashtra",
E687="Patna","Bihar",
E687="Pune","Maharashtra",
E687="Raipur","Chhattisgarh",
E687="Surat","Gujarat",
TRUE,"Not Found"
)</f>
        <v>Gujarat</v>
      </c>
      <c r="G687" t="s">
        <v>1143</v>
      </c>
      <c r="H687" t="s">
        <v>1144</v>
      </c>
      <c r="I687" t="s">
        <v>1276</v>
      </c>
      <c r="J687" t="s">
        <v>1307</v>
      </c>
      <c r="K687" t="s">
        <v>1308</v>
      </c>
      <c r="L687">
        <v>4</v>
      </c>
      <c r="M687">
        <v>4956</v>
      </c>
      <c r="N687">
        <v>0.1</v>
      </c>
      <c r="O687">
        <v>4460.4000000000005</v>
      </c>
      <c r="P687">
        <v>0.12</v>
      </c>
      <c r="Q687">
        <v>17841.599999999999</v>
      </c>
      <c r="R687">
        <v>2140.9920000000002</v>
      </c>
      <c r="S687">
        <v>19982.592000000001</v>
      </c>
      <c r="T687">
        <f>ROUND(Table2[[#This Row],[TotalAmount]],0)</f>
        <v>19983</v>
      </c>
      <c r="U687" t="s">
        <v>1362</v>
      </c>
      <c r="V687" t="s">
        <v>1361</v>
      </c>
      <c r="W687" s="4">
        <v>45295</v>
      </c>
      <c r="X687" s="4">
        <v>45296</v>
      </c>
      <c r="Y687" t="b">
        <v>0</v>
      </c>
      <c r="Z687" t="s">
        <v>1412</v>
      </c>
      <c r="AA687" t="s">
        <v>1412</v>
      </c>
      <c r="AB687" t="s">
        <v>1412</v>
      </c>
      <c r="AC687" t="s">
        <v>1396</v>
      </c>
      <c r="AD687" t="s">
        <v>1399</v>
      </c>
      <c r="AE687" t="s">
        <v>1378</v>
      </c>
    </row>
    <row r="688" spans="1:31" x14ac:dyDescent="0.3">
      <c r="A688" t="s">
        <v>865</v>
      </c>
      <c r="B688" s="4">
        <v>45344.636805555558</v>
      </c>
      <c r="C688" t="s">
        <v>6</v>
      </c>
      <c r="D688" t="s">
        <v>1148</v>
      </c>
      <c r="E688" t="s">
        <v>1149</v>
      </c>
      <c r="F688" t="str" cm="1">
        <f t="array" ref="F688">_xlfn.IFS(
E688="Ahmedabad","Gujarat",
E688="Bengaluru","Karnataka",
E688="Bhopal","Madhya Pradesh",
E688="Bhubaneswar","Odisha",
E688="Chandigarh","Chandigarh",
E688="Chennai","Tamil Nadu",
E688="Delhi","Delhi",
E688="Guwahati","Assam",
E688="Hyderabad","Telangana",
E688="Indore","Madhya Pradesh",
E688="Jaipur","Rajasthan",
E688="Kochi","Kerala",
E688="Kolkata","West Bengal",
E688="Lucknow","Uttar Pradesh",
E688="Mumbai","Maharashtra",
E688="Nagpur","Maharashtra",
E688="Patna","Bihar",
E688="Pune","Maharashtra",
E688="Raipur","Chhattisgarh",
E688="Surat","Gujarat",
TRUE,"Not Found"
)</f>
        <v>Uttar Pradesh</v>
      </c>
      <c r="G688" t="s">
        <v>1143</v>
      </c>
      <c r="H688" t="s">
        <v>1163</v>
      </c>
      <c r="I688" t="s">
        <v>1224</v>
      </c>
      <c r="J688" t="s">
        <v>1243</v>
      </c>
      <c r="K688" t="s">
        <v>1244</v>
      </c>
      <c r="L688">
        <v>3</v>
      </c>
      <c r="M688">
        <v>997</v>
      </c>
      <c r="N688">
        <v>0.15</v>
      </c>
      <c r="O688">
        <v>847.44999999999993</v>
      </c>
      <c r="P688">
        <v>0.12</v>
      </c>
      <c r="Q688">
        <v>2542.35</v>
      </c>
      <c r="R688">
        <v>305.08199999999999</v>
      </c>
      <c r="S688">
        <v>2847.4319999999998</v>
      </c>
      <c r="T688">
        <f>ROUND(Table2[[#This Row],[TotalAmount]],0)</f>
        <v>2847</v>
      </c>
      <c r="U688" t="s">
        <v>1365</v>
      </c>
      <c r="V688" t="s">
        <v>1361</v>
      </c>
      <c r="W688" s="4">
        <v>45345</v>
      </c>
      <c r="X688" s="4">
        <v>45346</v>
      </c>
      <c r="Y688" t="b">
        <v>0</v>
      </c>
      <c r="Z688" t="s">
        <v>1412</v>
      </c>
      <c r="AA688" t="s">
        <v>1412</v>
      </c>
      <c r="AB688" t="s">
        <v>1412</v>
      </c>
      <c r="AC688" t="s">
        <v>1386</v>
      </c>
      <c r="AD688" t="s">
        <v>1394</v>
      </c>
      <c r="AE688" t="s">
        <v>1391</v>
      </c>
    </row>
    <row r="689" spans="1:31" x14ac:dyDescent="0.3">
      <c r="A689" t="s">
        <v>866</v>
      </c>
      <c r="B689" s="4">
        <v>45548.592361111107</v>
      </c>
      <c r="C689" t="s">
        <v>176</v>
      </c>
      <c r="D689" t="s">
        <v>1148</v>
      </c>
      <c r="E689" t="s">
        <v>1262</v>
      </c>
      <c r="F689" t="str" cm="1">
        <f t="array" ref="F689">_xlfn.IFS(
E689="Ahmedabad","Gujarat",
E689="Bengaluru","Karnataka",
E689="Bhopal","Madhya Pradesh",
E689="Bhubaneswar","Odisha",
E689="Chandigarh","Chandigarh",
E689="Chennai","Tamil Nadu",
E689="Delhi","Delhi",
E689="Guwahati","Assam",
E689="Hyderabad","Telangana",
E689="Indore","Madhya Pradesh",
E689="Jaipur","Rajasthan",
E689="Kochi","Kerala",
E689="Kolkata","West Bengal",
E689="Lucknow","Uttar Pradesh",
E689="Mumbai","Maharashtra",
E689="Nagpur","Maharashtra",
E689="Patna","Bihar",
E689="Pune","Maharashtra",
E689="Raipur","Chhattisgarh",
E689="Surat","Gujarat",
TRUE,"Not Found"
)</f>
        <v>Rajasthan</v>
      </c>
      <c r="G689" t="s">
        <v>1150</v>
      </c>
      <c r="H689" t="s">
        <v>1172</v>
      </c>
      <c r="I689" t="s">
        <v>1198</v>
      </c>
      <c r="J689" t="s">
        <v>1303</v>
      </c>
      <c r="K689" t="s">
        <v>1304</v>
      </c>
      <c r="L689">
        <v>1</v>
      </c>
      <c r="M689">
        <v>1465</v>
      </c>
      <c r="N689">
        <v>0.05</v>
      </c>
      <c r="O689">
        <v>1391.75</v>
      </c>
      <c r="P689">
        <v>0.18</v>
      </c>
      <c r="Q689">
        <v>1391.75</v>
      </c>
      <c r="R689">
        <v>250.51499999999999</v>
      </c>
      <c r="S689">
        <v>1642.2650000000001</v>
      </c>
      <c r="T689">
        <f>ROUND(Table2[[#This Row],[TotalAmount]],0)</f>
        <v>1642</v>
      </c>
      <c r="U689" t="s">
        <v>1365</v>
      </c>
      <c r="V689" t="s">
        <v>1368</v>
      </c>
      <c r="W689" s="4">
        <v>45549</v>
      </c>
      <c r="X689" s="4" t="s">
        <v>1412</v>
      </c>
      <c r="Y689" t="b">
        <v>0</v>
      </c>
      <c r="Z689" t="s">
        <v>1412</v>
      </c>
      <c r="AA689" t="s">
        <v>1412</v>
      </c>
      <c r="AB689" t="s">
        <v>1412</v>
      </c>
      <c r="AC689" t="s">
        <v>1386</v>
      </c>
      <c r="AD689" t="s">
        <v>1377</v>
      </c>
      <c r="AE689" t="s">
        <v>1380</v>
      </c>
    </row>
    <row r="690" spans="1:31" x14ac:dyDescent="0.3">
      <c r="A690" t="s">
        <v>867</v>
      </c>
      <c r="B690" s="4">
        <v>45386.523611111108</v>
      </c>
      <c r="C690" t="s">
        <v>146</v>
      </c>
      <c r="D690" t="s">
        <v>1148</v>
      </c>
      <c r="E690" t="s">
        <v>1149</v>
      </c>
      <c r="F690" t="str" cm="1">
        <f t="array" ref="F690">_xlfn.IFS(
E690="Ahmedabad","Gujarat",
E690="Bengaluru","Karnataka",
E690="Bhopal","Madhya Pradesh",
E690="Bhubaneswar","Odisha",
E690="Chandigarh","Chandigarh",
E690="Chennai","Tamil Nadu",
E690="Delhi","Delhi",
E690="Guwahati","Assam",
E690="Hyderabad","Telangana",
E690="Indore","Madhya Pradesh",
E690="Jaipur","Rajasthan",
E690="Kochi","Kerala",
E690="Kolkata","West Bengal",
E690="Lucknow","Uttar Pradesh",
E690="Mumbai","Maharashtra",
E690="Nagpur","Maharashtra",
E690="Patna","Bihar",
E690="Pune","Maharashtra",
E690="Raipur","Chhattisgarh",
E690="Surat","Gujarat",
TRUE,"Not Found"
)</f>
        <v>Uttar Pradesh</v>
      </c>
      <c r="G690" t="s">
        <v>1143</v>
      </c>
      <c r="H690" t="s">
        <v>1144</v>
      </c>
      <c r="I690" t="s">
        <v>1159</v>
      </c>
      <c r="J690" t="s">
        <v>1272</v>
      </c>
      <c r="K690" t="s">
        <v>1273</v>
      </c>
      <c r="L690">
        <v>1</v>
      </c>
      <c r="M690">
        <v>6730</v>
      </c>
      <c r="N690">
        <v>0</v>
      </c>
      <c r="O690">
        <v>6730</v>
      </c>
      <c r="P690">
        <v>0.12</v>
      </c>
      <c r="Q690">
        <v>6730</v>
      </c>
      <c r="R690">
        <v>807.6</v>
      </c>
      <c r="S690">
        <v>7537.6</v>
      </c>
      <c r="T690">
        <f>ROUND(Table2[[#This Row],[TotalAmount]],0)</f>
        <v>7538</v>
      </c>
      <c r="U690" t="s">
        <v>1365</v>
      </c>
      <c r="V690" t="s">
        <v>1367</v>
      </c>
      <c r="W690" s="4">
        <v>45387</v>
      </c>
      <c r="X690" s="4" t="s">
        <v>1412</v>
      </c>
      <c r="Y690" t="b">
        <v>0</v>
      </c>
      <c r="Z690" t="s">
        <v>1412</v>
      </c>
      <c r="AA690" t="s">
        <v>1412</v>
      </c>
      <c r="AB690" t="s">
        <v>1412</v>
      </c>
      <c r="AC690" t="s">
        <v>1388</v>
      </c>
      <c r="AD690" t="s">
        <v>1397</v>
      </c>
      <c r="AE690" t="s">
        <v>1391</v>
      </c>
    </row>
    <row r="691" spans="1:31" x14ac:dyDescent="0.3">
      <c r="A691" t="s">
        <v>868</v>
      </c>
      <c r="B691" s="4">
        <v>45630.519444444442</v>
      </c>
      <c r="C691" t="s">
        <v>869</v>
      </c>
      <c r="D691" t="s">
        <v>1157</v>
      </c>
      <c r="E691" t="s">
        <v>1158</v>
      </c>
      <c r="F691" t="str" cm="1">
        <f t="array" ref="F691">_xlfn.IFS(
E691="Ahmedabad","Gujarat",
E691="Bengaluru","Karnataka",
E691="Bhopal","Madhya Pradesh",
E691="Bhubaneswar","Odisha",
E691="Chandigarh","Chandigarh",
E691="Chennai","Tamil Nadu",
E691="Delhi","Delhi",
E691="Guwahati","Assam",
E691="Hyderabad","Telangana",
E691="Indore","Madhya Pradesh",
E691="Jaipur","Rajasthan",
E691="Kochi","Kerala",
E691="Kolkata","West Bengal",
E691="Lucknow","Uttar Pradesh",
E691="Mumbai","Maharashtra",
E691="Nagpur","Maharashtra",
E691="Patna","Bihar",
E691="Pune","Maharashtra",
E691="Raipur","Chhattisgarh",
E691="Surat","Gujarat",
TRUE,"Not Found"
)</f>
        <v>Gujarat</v>
      </c>
      <c r="G691" t="s">
        <v>1143</v>
      </c>
      <c r="H691" t="s">
        <v>1144</v>
      </c>
      <c r="I691" t="s">
        <v>1269</v>
      </c>
      <c r="J691" t="s">
        <v>1270</v>
      </c>
      <c r="K691" t="s">
        <v>1271</v>
      </c>
      <c r="L691">
        <v>3</v>
      </c>
      <c r="M691">
        <v>3958</v>
      </c>
      <c r="N691">
        <v>0.1</v>
      </c>
      <c r="O691">
        <v>3562.2</v>
      </c>
      <c r="P691">
        <v>0.18</v>
      </c>
      <c r="Q691">
        <v>10686.6</v>
      </c>
      <c r="R691">
        <v>1923.588</v>
      </c>
      <c r="S691">
        <v>12610.188</v>
      </c>
      <c r="T691">
        <f>ROUND(Table2[[#This Row],[TotalAmount]],0)</f>
        <v>12610</v>
      </c>
      <c r="U691" t="s">
        <v>1365</v>
      </c>
      <c r="V691" t="s">
        <v>1361</v>
      </c>
      <c r="W691" s="4">
        <v>45631</v>
      </c>
      <c r="X691" s="4">
        <v>45633</v>
      </c>
      <c r="Y691" t="b">
        <v>0</v>
      </c>
      <c r="Z691" t="s">
        <v>1412</v>
      </c>
      <c r="AA691" t="s">
        <v>1412</v>
      </c>
      <c r="AB691" t="s">
        <v>1412</v>
      </c>
      <c r="AC691" t="s">
        <v>1376</v>
      </c>
      <c r="AD691" t="s">
        <v>1377</v>
      </c>
      <c r="AE691" t="s">
        <v>1391</v>
      </c>
    </row>
    <row r="692" spans="1:31" x14ac:dyDescent="0.3">
      <c r="A692" t="s">
        <v>870</v>
      </c>
      <c r="B692" s="4">
        <v>45591.563194444447</v>
      </c>
      <c r="C692" t="s">
        <v>183</v>
      </c>
      <c r="D692" t="s">
        <v>1182</v>
      </c>
      <c r="E692" t="s">
        <v>1256</v>
      </c>
      <c r="F692" t="str" cm="1">
        <f t="array" ref="F692">_xlfn.IFS(
E692="Ahmedabad","Gujarat",
E692="Bengaluru","Karnataka",
E692="Bhopal","Madhya Pradesh",
E692="Bhubaneswar","Odisha",
E692="Chandigarh","Chandigarh",
E692="Chennai","Tamil Nadu",
E692="Delhi","Delhi",
E692="Guwahati","Assam",
E692="Hyderabad","Telangana",
E692="Indore","Madhya Pradesh",
E692="Jaipur","Rajasthan",
E692="Kochi","Kerala",
E692="Kolkata","West Bengal",
E692="Lucknow","Uttar Pradesh",
E692="Mumbai","Maharashtra",
E692="Nagpur","Maharashtra",
E692="Patna","Bihar",
E692="Pune","Maharashtra",
E692="Raipur","Chhattisgarh",
E692="Surat","Gujarat",
TRUE,"Not Found"
)</f>
        <v>Karnataka</v>
      </c>
      <c r="G692" t="s">
        <v>1150</v>
      </c>
      <c r="H692" t="s">
        <v>1177</v>
      </c>
      <c r="I692" t="s">
        <v>1178</v>
      </c>
      <c r="J692" t="s">
        <v>1305</v>
      </c>
      <c r="K692" t="s">
        <v>1306</v>
      </c>
      <c r="L692">
        <v>3</v>
      </c>
      <c r="M692">
        <v>1920</v>
      </c>
      <c r="N692">
        <v>0</v>
      </c>
      <c r="O692">
        <v>1920</v>
      </c>
      <c r="P692">
        <v>0.12</v>
      </c>
      <c r="Q692">
        <v>5760</v>
      </c>
      <c r="R692">
        <v>691.19999999999993</v>
      </c>
      <c r="S692">
        <v>6451.2</v>
      </c>
      <c r="T692">
        <f>ROUND(Table2[[#This Row],[TotalAmount]],0)</f>
        <v>6451</v>
      </c>
      <c r="U692" t="s">
        <v>1362</v>
      </c>
      <c r="V692" t="s">
        <v>1361</v>
      </c>
      <c r="W692" s="4">
        <v>45591</v>
      </c>
      <c r="X692" s="4">
        <v>45595</v>
      </c>
      <c r="Y692" t="b">
        <v>0</v>
      </c>
      <c r="Z692" t="s">
        <v>1412</v>
      </c>
      <c r="AA692" t="s">
        <v>1412</v>
      </c>
      <c r="AB692" t="s">
        <v>1412</v>
      </c>
      <c r="AC692" t="s">
        <v>1392</v>
      </c>
      <c r="AD692" t="s">
        <v>1400</v>
      </c>
      <c r="AE692" t="s">
        <v>1395</v>
      </c>
    </row>
    <row r="693" spans="1:31" x14ac:dyDescent="0.3">
      <c r="A693" t="s">
        <v>871</v>
      </c>
      <c r="B693" s="4">
        <v>45448.584722222222</v>
      </c>
      <c r="C693" t="s">
        <v>137</v>
      </c>
      <c r="D693" t="s">
        <v>1182</v>
      </c>
      <c r="E693" t="s">
        <v>1183</v>
      </c>
      <c r="F693" t="str" cm="1">
        <f t="array" ref="F693">_xlfn.IFS(
E693="Ahmedabad","Gujarat",
E693="Bengaluru","Karnataka",
E693="Bhopal","Madhya Pradesh",
E693="Bhubaneswar","Odisha",
E693="Chandigarh","Chandigarh",
E693="Chennai","Tamil Nadu",
E693="Delhi","Delhi",
E693="Guwahati","Assam",
E693="Hyderabad","Telangana",
E693="Indore","Madhya Pradesh",
E693="Jaipur","Rajasthan",
E693="Kochi","Kerala",
E693="Kolkata","West Bengal",
E693="Lucknow","Uttar Pradesh",
E693="Mumbai","Maharashtra",
E693="Nagpur","Maharashtra",
E693="Patna","Bihar",
E693="Pune","Maharashtra",
E693="Raipur","Chhattisgarh",
E693="Surat","Gujarat",
TRUE,"Not Found"
)</f>
        <v>Telangana</v>
      </c>
      <c r="G693" t="s">
        <v>1143</v>
      </c>
      <c r="H693" t="s">
        <v>1177</v>
      </c>
      <c r="I693" t="s">
        <v>1236</v>
      </c>
      <c r="J693" t="s">
        <v>1237</v>
      </c>
      <c r="K693" t="s">
        <v>1238</v>
      </c>
      <c r="L693">
        <v>2</v>
      </c>
      <c r="M693">
        <v>2456</v>
      </c>
      <c r="N693">
        <v>0</v>
      </c>
      <c r="O693">
        <v>2456</v>
      </c>
      <c r="P693">
        <v>0.05</v>
      </c>
      <c r="Q693">
        <v>4912</v>
      </c>
      <c r="R693">
        <v>245.6</v>
      </c>
      <c r="S693">
        <v>5157.6000000000004</v>
      </c>
      <c r="T693">
        <f>ROUND(Table2[[#This Row],[TotalAmount]],0)</f>
        <v>5158</v>
      </c>
      <c r="U693" t="s">
        <v>1363</v>
      </c>
      <c r="V693" t="s">
        <v>1361</v>
      </c>
      <c r="W693" s="4">
        <v>45448</v>
      </c>
      <c r="X693" s="4">
        <v>45452</v>
      </c>
      <c r="Y693" t="b">
        <v>0</v>
      </c>
      <c r="Z693" t="s">
        <v>1412</v>
      </c>
      <c r="AA693" t="s">
        <v>1412</v>
      </c>
      <c r="AB693" t="s">
        <v>1412</v>
      </c>
      <c r="AC693" t="s">
        <v>1396</v>
      </c>
      <c r="AD693" t="s">
        <v>1377</v>
      </c>
      <c r="AE693" t="s">
        <v>1380</v>
      </c>
    </row>
    <row r="694" spans="1:31" x14ac:dyDescent="0.3">
      <c r="A694" t="s">
        <v>872</v>
      </c>
      <c r="B694" s="4">
        <v>45296.595833333333</v>
      </c>
      <c r="C694" t="s">
        <v>330</v>
      </c>
      <c r="D694" t="s">
        <v>1153</v>
      </c>
      <c r="E694" t="s">
        <v>1162</v>
      </c>
      <c r="F694" t="str" cm="1">
        <f t="array" ref="F694">_xlfn.IFS(
E694="Ahmedabad","Gujarat",
E694="Bengaluru","Karnataka",
E694="Bhopal","Madhya Pradesh",
E694="Bhubaneswar","Odisha",
E694="Chandigarh","Chandigarh",
E694="Chennai","Tamil Nadu",
E694="Delhi","Delhi",
E694="Guwahati","Assam",
E694="Hyderabad","Telangana",
E694="Indore","Madhya Pradesh",
E694="Jaipur","Rajasthan",
E694="Kochi","Kerala",
E694="Kolkata","West Bengal",
E694="Lucknow","Uttar Pradesh",
E694="Mumbai","Maharashtra",
E694="Nagpur","Maharashtra",
E694="Patna","Bihar",
E694="Pune","Maharashtra",
E694="Raipur","Chhattisgarh",
E694="Surat","Gujarat",
TRUE,"Not Found"
)</f>
        <v>Madhya Pradesh</v>
      </c>
      <c r="G694" t="s">
        <v>1143</v>
      </c>
      <c r="H694" t="s">
        <v>1167</v>
      </c>
      <c r="I694" t="s">
        <v>1288</v>
      </c>
      <c r="J694" t="s">
        <v>1336</v>
      </c>
      <c r="K694" t="s">
        <v>1337</v>
      </c>
      <c r="L694">
        <v>4</v>
      </c>
      <c r="M694">
        <v>37105</v>
      </c>
      <c r="N694">
        <v>0.1</v>
      </c>
      <c r="O694">
        <v>33394.5</v>
      </c>
      <c r="P694">
        <v>0.18</v>
      </c>
      <c r="Q694">
        <v>133578</v>
      </c>
      <c r="R694">
        <v>24044.04</v>
      </c>
      <c r="S694">
        <v>157622.04</v>
      </c>
      <c r="T694">
        <f>ROUND(Table2[[#This Row],[TotalAmount]],0)</f>
        <v>157622</v>
      </c>
      <c r="U694" t="s">
        <v>1366</v>
      </c>
      <c r="V694" t="s">
        <v>1361</v>
      </c>
      <c r="W694" s="4">
        <v>45298</v>
      </c>
      <c r="X694" s="4">
        <v>45301</v>
      </c>
      <c r="Y694" t="b">
        <v>0</v>
      </c>
      <c r="Z694" t="s">
        <v>1412</v>
      </c>
      <c r="AA694" t="s">
        <v>1412</v>
      </c>
      <c r="AB694" t="s">
        <v>1412</v>
      </c>
      <c r="AC694" t="s">
        <v>1398</v>
      </c>
      <c r="AD694" t="s">
        <v>1399</v>
      </c>
      <c r="AE694" t="s">
        <v>1383</v>
      </c>
    </row>
    <row r="695" spans="1:31" x14ac:dyDescent="0.3">
      <c r="A695" t="s">
        <v>873</v>
      </c>
      <c r="B695" s="4">
        <v>45643.39166666667</v>
      </c>
      <c r="C695" t="s">
        <v>158</v>
      </c>
      <c r="D695" t="s">
        <v>1182</v>
      </c>
      <c r="E695" t="s">
        <v>1257</v>
      </c>
      <c r="F695" t="str" cm="1">
        <f t="array" ref="F695">_xlfn.IFS(
E695="Ahmedabad","Gujarat",
E695="Bengaluru","Karnataka",
E695="Bhopal","Madhya Pradesh",
E695="Bhubaneswar","Odisha",
E695="Chandigarh","Chandigarh",
E695="Chennai","Tamil Nadu",
E695="Delhi","Delhi",
E695="Guwahati","Assam",
E695="Hyderabad","Telangana",
E695="Indore","Madhya Pradesh",
E695="Jaipur","Rajasthan",
E695="Kochi","Kerala",
E695="Kolkata","West Bengal",
E695="Lucknow","Uttar Pradesh",
E695="Mumbai","Maharashtra",
E695="Nagpur","Maharashtra",
E695="Patna","Bihar",
E695="Pune","Maharashtra",
E695="Raipur","Chhattisgarh",
E695="Surat","Gujarat",
TRUE,"Not Found"
)</f>
        <v>Kerala</v>
      </c>
      <c r="G695" t="s">
        <v>1150</v>
      </c>
      <c r="H695" t="s">
        <v>1167</v>
      </c>
      <c r="I695" t="s">
        <v>1288</v>
      </c>
      <c r="J695" t="s">
        <v>1293</v>
      </c>
      <c r="K695" t="s">
        <v>1294</v>
      </c>
      <c r="L695">
        <v>1</v>
      </c>
      <c r="M695">
        <v>56739</v>
      </c>
      <c r="N695">
        <v>0</v>
      </c>
      <c r="O695">
        <v>56739</v>
      </c>
      <c r="P695">
        <v>0.05</v>
      </c>
      <c r="Q695">
        <v>56739</v>
      </c>
      <c r="R695">
        <v>2836.95</v>
      </c>
      <c r="S695">
        <v>59575.95</v>
      </c>
      <c r="T695">
        <f>ROUND(Table2[[#This Row],[TotalAmount]],0)</f>
        <v>59576</v>
      </c>
      <c r="U695" t="s">
        <v>1365</v>
      </c>
      <c r="V695" t="s">
        <v>1361</v>
      </c>
      <c r="W695" s="4">
        <v>45643</v>
      </c>
      <c r="X695" s="4">
        <v>45648</v>
      </c>
      <c r="Y695" t="b">
        <v>0</v>
      </c>
      <c r="Z695" t="s">
        <v>1412</v>
      </c>
      <c r="AA695" t="s">
        <v>1412</v>
      </c>
      <c r="AB695" t="s">
        <v>1412</v>
      </c>
      <c r="AC695" t="s">
        <v>1388</v>
      </c>
      <c r="AD695" t="s">
        <v>1397</v>
      </c>
      <c r="AE695" t="s">
        <v>1391</v>
      </c>
    </row>
    <row r="696" spans="1:31" x14ac:dyDescent="0.3">
      <c r="A696" t="s">
        <v>874</v>
      </c>
      <c r="B696" s="4">
        <v>45515.515972222223</v>
      </c>
      <c r="C696" t="s">
        <v>610</v>
      </c>
      <c r="D696" t="s">
        <v>1157</v>
      </c>
      <c r="E696" t="s">
        <v>1181</v>
      </c>
      <c r="F696" t="str" cm="1">
        <f t="array" ref="F696">_xlfn.IFS(
E696="Ahmedabad","Gujarat",
E696="Bengaluru","Karnataka",
E696="Bhopal","Madhya Pradesh",
E696="Bhubaneswar","Odisha",
E696="Chandigarh","Chandigarh",
E696="Chennai","Tamil Nadu",
E696="Delhi","Delhi",
E696="Guwahati","Assam",
E696="Hyderabad","Telangana",
E696="Indore","Madhya Pradesh",
E696="Jaipur","Rajasthan",
E696="Kochi","Kerala",
E696="Kolkata","West Bengal",
E696="Lucknow","Uttar Pradesh",
E696="Mumbai","Maharashtra",
E696="Nagpur","Maharashtra",
E696="Patna","Bihar",
E696="Pune","Maharashtra",
E696="Raipur","Chhattisgarh",
E696="Surat","Gujarat",
TRUE,"Not Found"
)</f>
        <v>Gujarat</v>
      </c>
      <c r="G696" t="s">
        <v>1143</v>
      </c>
      <c r="H696" t="s">
        <v>1177</v>
      </c>
      <c r="I696" t="s">
        <v>1236</v>
      </c>
      <c r="J696" t="s">
        <v>1237</v>
      </c>
      <c r="K696" t="s">
        <v>1238</v>
      </c>
      <c r="L696">
        <v>3</v>
      </c>
      <c r="M696">
        <v>2964</v>
      </c>
      <c r="N696">
        <v>0</v>
      </c>
      <c r="O696">
        <v>2964</v>
      </c>
      <c r="P696">
        <v>0.18</v>
      </c>
      <c r="Q696">
        <v>8892</v>
      </c>
      <c r="R696">
        <v>1600.56</v>
      </c>
      <c r="S696">
        <v>10492.56</v>
      </c>
      <c r="T696">
        <f>ROUND(Table2[[#This Row],[TotalAmount]],0)</f>
        <v>10493</v>
      </c>
      <c r="U696" t="s">
        <v>1360</v>
      </c>
      <c r="V696" t="s">
        <v>1361</v>
      </c>
      <c r="W696" s="4">
        <v>45515</v>
      </c>
      <c r="X696" s="4">
        <v>45518</v>
      </c>
      <c r="Y696" t="b">
        <v>0</v>
      </c>
      <c r="Z696" t="s">
        <v>1412</v>
      </c>
      <c r="AA696" t="s">
        <v>1412</v>
      </c>
      <c r="AB696" t="s">
        <v>1412</v>
      </c>
      <c r="AC696" t="s">
        <v>1382</v>
      </c>
      <c r="AD696" t="s">
        <v>1399</v>
      </c>
      <c r="AE696" t="s">
        <v>1393</v>
      </c>
    </row>
    <row r="697" spans="1:31" x14ac:dyDescent="0.3">
      <c r="A697" t="s">
        <v>875</v>
      </c>
      <c r="B697" s="4">
        <v>45403.404861111107</v>
      </c>
      <c r="C697" t="s">
        <v>195</v>
      </c>
      <c r="D697" t="s">
        <v>1148</v>
      </c>
      <c r="E697" t="s">
        <v>1149</v>
      </c>
      <c r="F697" t="str" cm="1">
        <f t="array" ref="F697">_xlfn.IFS(
E697="Ahmedabad","Gujarat",
E697="Bengaluru","Karnataka",
E697="Bhopal","Madhya Pradesh",
E697="Bhubaneswar","Odisha",
E697="Chandigarh","Chandigarh",
E697="Chennai","Tamil Nadu",
E697="Delhi","Delhi",
E697="Guwahati","Assam",
E697="Hyderabad","Telangana",
E697="Indore","Madhya Pradesh",
E697="Jaipur","Rajasthan",
E697="Kochi","Kerala",
E697="Kolkata","West Bengal",
E697="Lucknow","Uttar Pradesh",
E697="Mumbai","Maharashtra",
E697="Nagpur","Maharashtra",
E697="Patna","Bihar",
E697="Pune","Maharashtra",
E697="Raipur","Chhattisgarh",
E697="Surat","Gujarat",
TRUE,"Not Found"
)</f>
        <v>Uttar Pradesh</v>
      </c>
      <c r="G697" t="s">
        <v>1187</v>
      </c>
      <c r="H697" t="s">
        <v>1172</v>
      </c>
      <c r="I697" t="s">
        <v>1188</v>
      </c>
      <c r="J697" t="s">
        <v>1258</v>
      </c>
      <c r="K697" t="s">
        <v>1259</v>
      </c>
      <c r="L697">
        <v>1</v>
      </c>
      <c r="M697">
        <v>9276</v>
      </c>
      <c r="N697">
        <v>0.15</v>
      </c>
      <c r="O697">
        <v>7884.5999999999995</v>
      </c>
      <c r="P697">
        <v>0.12</v>
      </c>
      <c r="Q697">
        <v>7884.5999999999995</v>
      </c>
      <c r="R697">
        <v>946.15199999999993</v>
      </c>
      <c r="S697">
        <v>8830.7519999999986</v>
      </c>
      <c r="T697">
        <f>ROUND(Table2[[#This Row],[TotalAmount]],0)</f>
        <v>8831</v>
      </c>
      <c r="U697" t="s">
        <v>1360</v>
      </c>
      <c r="V697" t="s">
        <v>1368</v>
      </c>
      <c r="W697" s="4">
        <v>45403</v>
      </c>
      <c r="X697" s="4" t="s">
        <v>1412</v>
      </c>
      <c r="Y697" t="b">
        <v>0</v>
      </c>
      <c r="Z697" t="s">
        <v>1412</v>
      </c>
      <c r="AA697" t="s">
        <v>1412</v>
      </c>
      <c r="AB697" t="s">
        <v>1412</v>
      </c>
      <c r="AC697" t="s">
        <v>1382</v>
      </c>
      <c r="AD697" t="s">
        <v>1394</v>
      </c>
      <c r="AE697" t="s">
        <v>1383</v>
      </c>
    </row>
    <row r="698" spans="1:31" x14ac:dyDescent="0.3">
      <c r="A698" t="s">
        <v>876</v>
      </c>
      <c r="B698" s="4">
        <v>45439.470138888893</v>
      </c>
      <c r="C698" t="s">
        <v>61</v>
      </c>
      <c r="D698" t="s">
        <v>1153</v>
      </c>
      <c r="E698" t="s">
        <v>1176</v>
      </c>
      <c r="F698" t="str" cm="1">
        <f t="array" ref="F698">_xlfn.IFS(
E698="Ahmedabad","Gujarat",
E698="Bengaluru","Karnataka",
E698="Bhopal","Madhya Pradesh",
E698="Bhubaneswar","Odisha",
E698="Chandigarh","Chandigarh",
E698="Chennai","Tamil Nadu",
E698="Delhi","Delhi",
E698="Guwahati","Assam",
E698="Hyderabad","Telangana",
E698="Indore","Madhya Pradesh",
E698="Jaipur","Rajasthan",
E698="Kochi","Kerala",
E698="Kolkata","West Bengal",
E698="Lucknow","Uttar Pradesh",
E698="Mumbai","Maharashtra",
E698="Nagpur","Maharashtra",
E698="Patna","Bihar",
E698="Pune","Maharashtra",
E698="Raipur","Chhattisgarh",
E698="Surat","Gujarat",
TRUE,"Not Found"
)</f>
        <v>Chhattisgarh</v>
      </c>
      <c r="G698" t="s">
        <v>1150</v>
      </c>
      <c r="H698" t="s">
        <v>1167</v>
      </c>
      <c r="I698" t="s">
        <v>1168</v>
      </c>
      <c r="J698" t="s">
        <v>1169</v>
      </c>
      <c r="K698" t="s">
        <v>1170</v>
      </c>
      <c r="L698">
        <v>1</v>
      </c>
      <c r="M698">
        <v>48669</v>
      </c>
      <c r="N698">
        <v>0.1</v>
      </c>
      <c r="O698">
        <v>43802.1</v>
      </c>
      <c r="P698">
        <v>0.18</v>
      </c>
      <c r="Q698">
        <v>43802.1</v>
      </c>
      <c r="R698">
        <v>7884.3779999999997</v>
      </c>
      <c r="S698">
        <v>51686.478000000003</v>
      </c>
      <c r="T698">
        <f>ROUND(Table2[[#This Row],[TotalAmount]],0)</f>
        <v>51686</v>
      </c>
      <c r="U698" t="s">
        <v>1365</v>
      </c>
      <c r="V698" t="s">
        <v>1361</v>
      </c>
      <c r="W698" s="4">
        <v>45440</v>
      </c>
      <c r="X698" s="4">
        <v>45443</v>
      </c>
      <c r="Y698" t="b">
        <v>0</v>
      </c>
      <c r="Z698" t="s">
        <v>1412</v>
      </c>
      <c r="AA698" t="s">
        <v>1412</v>
      </c>
      <c r="AB698" t="s">
        <v>1412</v>
      </c>
      <c r="AC698" t="s">
        <v>1376</v>
      </c>
      <c r="AD698" t="s">
        <v>1399</v>
      </c>
      <c r="AE698" t="s">
        <v>1383</v>
      </c>
    </row>
    <row r="699" spans="1:31" x14ac:dyDescent="0.3">
      <c r="A699" t="s">
        <v>877</v>
      </c>
      <c r="B699" s="4">
        <v>45465.559027777781</v>
      </c>
      <c r="C699" t="s">
        <v>267</v>
      </c>
      <c r="D699" t="s">
        <v>1148</v>
      </c>
      <c r="E699" t="s">
        <v>1217</v>
      </c>
      <c r="F699" t="str" cm="1">
        <f t="array" ref="F699">_xlfn.IFS(
E699="Ahmedabad","Gujarat",
E699="Bengaluru","Karnataka",
E699="Bhopal","Madhya Pradesh",
E699="Bhubaneswar","Odisha",
E699="Chandigarh","Chandigarh",
E699="Chennai","Tamil Nadu",
E699="Delhi","Delhi",
E699="Guwahati","Assam",
E699="Hyderabad","Telangana",
E699="Indore","Madhya Pradesh",
E699="Jaipur","Rajasthan",
E699="Kochi","Kerala",
E699="Kolkata","West Bengal",
E699="Lucknow","Uttar Pradesh",
E699="Mumbai","Maharashtra",
E699="Nagpur","Maharashtra",
E699="Patna","Bihar",
E699="Pune","Maharashtra",
E699="Raipur","Chhattisgarh",
E699="Surat","Gujarat",
TRUE,"Not Found"
)</f>
        <v>Delhi</v>
      </c>
      <c r="G699" t="s">
        <v>1143</v>
      </c>
      <c r="H699" t="s">
        <v>1163</v>
      </c>
      <c r="I699" t="s">
        <v>1184</v>
      </c>
      <c r="J699" t="s">
        <v>1185</v>
      </c>
      <c r="K699" t="s">
        <v>1186</v>
      </c>
      <c r="L699">
        <v>3</v>
      </c>
      <c r="M699">
        <v>108</v>
      </c>
      <c r="N699">
        <v>0</v>
      </c>
      <c r="O699">
        <v>108</v>
      </c>
      <c r="P699">
        <v>0.18</v>
      </c>
      <c r="Q699">
        <v>324</v>
      </c>
      <c r="R699">
        <v>58.32</v>
      </c>
      <c r="S699">
        <v>382.32</v>
      </c>
      <c r="T699">
        <f>ROUND(Table2[[#This Row],[TotalAmount]],0)</f>
        <v>382</v>
      </c>
      <c r="U699" t="s">
        <v>1366</v>
      </c>
      <c r="V699" t="s">
        <v>1367</v>
      </c>
      <c r="W699" s="4">
        <v>45466</v>
      </c>
      <c r="X699" s="4" t="s">
        <v>1412</v>
      </c>
      <c r="Y699" t="b">
        <v>0</v>
      </c>
      <c r="Z699" t="s">
        <v>1412</v>
      </c>
      <c r="AA699" t="s">
        <v>1412</v>
      </c>
      <c r="AB699" t="s">
        <v>1412</v>
      </c>
      <c r="AC699" t="s">
        <v>1376</v>
      </c>
      <c r="AD699" t="s">
        <v>1400</v>
      </c>
      <c r="AE699" t="s">
        <v>1378</v>
      </c>
    </row>
    <row r="700" spans="1:31" x14ac:dyDescent="0.3">
      <c r="A700" t="s">
        <v>878</v>
      </c>
      <c r="B700" s="4">
        <v>45622.497916666667</v>
      </c>
      <c r="C700" t="s">
        <v>545</v>
      </c>
      <c r="D700" t="s">
        <v>1148</v>
      </c>
      <c r="E700" t="s">
        <v>1171</v>
      </c>
      <c r="F700" t="str" cm="1">
        <f t="array" ref="F700">_xlfn.IFS(
E700="Ahmedabad","Gujarat",
E700="Bengaluru","Karnataka",
E700="Bhopal","Madhya Pradesh",
E700="Bhubaneswar","Odisha",
E700="Chandigarh","Chandigarh",
E700="Chennai","Tamil Nadu",
E700="Delhi","Delhi",
E700="Guwahati","Assam",
E700="Hyderabad","Telangana",
E700="Indore","Madhya Pradesh",
E700="Jaipur","Rajasthan",
E700="Kochi","Kerala",
E700="Kolkata","West Bengal",
E700="Lucknow","Uttar Pradesh",
E700="Mumbai","Maharashtra",
E700="Nagpur","Maharashtra",
E700="Patna","Bihar",
E700="Pune","Maharashtra",
E700="Raipur","Chhattisgarh",
E700="Surat","Gujarat",
TRUE,"Not Found"
)</f>
        <v>Chandigarh</v>
      </c>
      <c r="G700" t="s">
        <v>1143</v>
      </c>
      <c r="H700" t="s">
        <v>1177</v>
      </c>
      <c r="I700" t="s">
        <v>1195</v>
      </c>
      <c r="J700" t="s">
        <v>1218</v>
      </c>
      <c r="K700" t="s">
        <v>1219</v>
      </c>
      <c r="L700">
        <v>4</v>
      </c>
      <c r="M700">
        <v>2847</v>
      </c>
      <c r="N700">
        <v>0</v>
      </c>
      <c r="O700">
        <v>2847</v>
      </c>
      <c r="P700">
        <v>0.12</v>
      </c>
      <c r="Q700">
        <v>11388</v>
      </c>
      <c r="R700">
        <v>1366.56</v>
      </c>
      <c r="S700">
        <v>12754.56</v>
      </c>
      <c r="T700">
        <f>ROUND(Table2[[#This Row],[TotalAmount]],0)</f>
        <v>12755</v>
      </c>
      <c r="U700" t="s">
        <v>1363</v>
      </c>
      <c r="V700" t="s">
        <v>1361</v>
      </c>
      <c r="W700" s="4">
        <v>45623</v>
      </c>
      <c r="X700" s="4">
        <v>45628</v>
      </c>
      <c r="Y700" t="b">
        <v>0</v>
      </c>
      <c r="Z700" t="s">
        <v>1412</v>
      </c>
      <c r="AA700" t="s">
        <v>1412</v>
      </c>
      <c r="AB700" t="s">
        <v>1412</v>
      </c>
      <c r="AC700" t="s">
        <v>1398</v>
      </c>
      <c r="AD700" t="s">
        <v>1394</v>
      </c>
      <c r="AE700" t="s">
        <v>1395</v>
      </c>
    </row>
    <row r="701" spans="1:31" x14ac:dyDescent="0.3">
      <c r="A701" t="s">
        <v>879</v>
      </c>
      <c r="B701" s="4">
        <v>45586.417361111111</v>
      </c>
      <c r="C701" t="s">
        <v>368</v>
      </c>
      <c r="D701" t="s">
        <v>1153</v>
      </c>
      <c r="E701" t="s">
        <v>1191</v>
      </c>
      <c r="F701" t="str" cm="1">
        <f t="array" ref="F701">_xlfn.IFS(
E701="Ahmedabad","Gujarat",
E701="Bengaluru","Karnataka",
E701="Bhopal","Madhya Pradesh",
E701="Bhubaneswar","Odisha",
E701="Chandigarh","Chandigarh",
E701="Chennai","Tamil Nadu",
E701="Delhi","Delhi",
E701="Guwahati","Assam",
E701="Hyderabad","Telangana",
E701="Indore","Madhya Pradesh",
E701="Jaipur","Rajasthan",
E701="Kochi","Kerala",
E701="Kolkata","West Bengal",
E701="Lucknow","Uttar Pradesh",
E701="Mumbai","Maharashtra",
E701="Nagpur","Maharashtra",
E701="Patna","Bihar",
E701="Pune","Maharashtra",
E701="Raipur","Chhattisgarh",
E701="Surat","Gujarat",
TRUE,"Not Found"
)</f>
        <v>Madhya Pradesh</v>
      </c>
      <c r="G701" t="s">
        <v>1143</v>
      </c>
      <c r="H701" t="s">
        <v>1144</v>
      </c>
      <c r="I701" t="s">
        <v>1145</v>
      </c>
      <c r="J701" t="s">
        <v>1151</v>
      </c>
      <c r="K701" t="s">
        <v>1152</v>
      </c>
      <c r="L701">
        <v>1</v>
      </c>
      <c r="M701">
        <v>5554</v>
      </c>
      <c r="N701">
        <v>0</v>
      </c>
      <c r="O701">
        <v>5554</v>
      </c>
      <c r="P701">
        <v>0.12</v>
      </c>
      <c r="Q701">
        <v>5554</v>
      </c>
      <c r="R701">
        <v>666.48</v>
      </c>
      <c r="S701">
        <v>6220.48</v>
      </c>
      <c r="T701">
        <f>ROUND(Table2[[#This Row],[TotalAmount]],0)</f>
        <v>6220</v>
      </c>
      <c r="U701" t="s">
        <v>1363</v>
      </c>
      <c r="V701" t="s">
        <v>1361</v>
      </c>
      <c r="W701" s="4">
        <v>45588</v>
      </c>
      <c r="X701" s="4">
        <v>45592</v>
      </c>
      <c r="Y701" t="b">
        <v>0</v>
      </c>
      <c r="Z701" t="s">
        <v>1412</v>
      </c>
      <c r="AA701" t="s">
        <v>1412</v>
      </c>
      <c r="AB701" t="s">
        <v>1412</v>
      </c>
      <c r="AC701" t="s">
        <v>1392</v>
      </c>
      <c r="AD701" t="s">
        <v>1397</v>
      </c>
      <c r="AE701" t="s">
        <v>1389</v>
      </c>
    </row>
    <row r="702" spans="1:31" x14ac:dyDescent="0.3">
      <c r="A702" t="s">
        <v>880</v>
      </c>
      <c r="B702" s="4">
        <v>45301.473611111112</v>
      </c>
      <c r="C702" t="s">
        <v>20</v>
      </c>
      <c r="D702" t="s">
        <v>1157</v>
      </c>
      <c r="E702" t="s">
        <v>1181</v>
      </c>
      <c r="F702" t="str" cm="1">
        <f t="array" ref="F702">_xlfn.IFS(
E702="Ahmedabad","Gujarat",
E702="Bengaluru","Karnataka",
E702="Bhopal","Madhya Pradesh",
E702="Bhubaneswar","Odisha",
E702="Chandigarh","Chandigarh",
E702="Chennai","Tamil Nadu",
E702="Delhi","Delhi",
E702="Guwahati","Assam",
E702="Hyderabad","Telangana",
E702="Indore","Madhya Pradesh",
E702="Jaipur","Rajasthan",
E702="Kochi","Kerala",
E702="Kolkata","West Bengal",
E702="Lucknow","Uttar Pradesh",
E702="Mumbai","Maharashtra",
E702="Nagpur","Maharashtra",
E702="Patna","Bihar",
E702="Pune","Maharashtra",
E702="Raipur","Chhattisgarh",
E702="Surat","Gujarat",
TRUE,"Not Found"
)</f>
        <v>Gujarat</v>
      </c>
      <c r="G702" t="s">
        <v>1228</v>
      </c>
      <c r="H702" t="s">
        <v>1163</v>
      </c>
      <c r="I702" t="s">
        <v>1164</v>
      </c>
      <c r="J702" t="s">
        <v>1318</v>
      </c>
      <c r="K702" t="s">
        <v>1319</v>
      </c>
      <c r="L702">
        <v>3</v>
      </c>
      <c r="M702">
        <v>1038</v>
      </c>
      <c r="N702">
        <v>0.05</v>
      </c>
      <c r="O702">
        <v>986.09999999999991</v>
      </c>
      <c r="P702">
        <v>0.12</v>
      </c>
      <c r="Q702">
        <v>2958.3</v>
      </c>
      <c r="R702">
        <v>354.99599999999998</v>
      </c>
      <c r="S702">
        <v>3313.2959999999998</v>
      </c>
      <c r="T702">
        <f>ROUND(Table2[[#This Row],[TotalAmount]],0)</f>
        <v>3313</v>
      </c>
      <c r="U702" t="s">
        <v>1365</v>
      </c>
      <c r="V702" t="s">
        <v>1361</v>
      </c>
      <c r="W702" s="4">
        <v>45301</v>
      </c>
      <c r="X702" s="4">
        <v>45302</v>
      </c>
      <c r="Y702" t="b">
        <v>0</v>
      </c>
      <c r="Z702" t="s">
        <v>1412</v>
      </c>
      <c r="AA702" t="s">
        <v>1412</v>
      </c>
      <c r="AB702" t="s">
        <v>1412</v>
      </c>
      <c r="AC702" t="s">
        <v>1392</v>
      </c>
      <c r="AD702" t="s">
        <v>1394</v>
      </c>
      <c r="AE702" t="s">
        <v>1391</v>
      </c>
    </row>
    <row r="703" spans="1:31" x14ac:dyDescent="0.3">
      <c r="A703" t="s">
        <v>881</v>
      </c>
      <c r="B703" s="4">
        <v>45585.579861111109</v>
      </c>
      <c r="C703" t="s">
        <v>421</v>
      </c>
      <c r="D703" t="s">
        <v>1182</v>
      </c>
      <c r="E703" t="s">
        <v>1207</v>
      </c>
      <c r="F703" t="str" cm="1">
        <f t="array" ref="F703">_xlfn.IFS(
E703="Ahmedabad","Gujarat",
E703="Bengaluru","Karnataka",
E703="Bhopal","Madhya Pradesh",
E703="Bhubaneswar","Odisha",
E703="Chandigarh","Chandigarh",
E703="Chennai","Tamil Nadu",
E703="Delhi","Delhi",
E703="Guwahati","Assam",
E703="Hyderabad","Telangana",
E703="Indore","Madhya Pradesh",
E703="Jaipur","Rajasthan",
E703="Kochi","Kerala",
E703="Kolkata","West Bengal",
E703="Lucknow","Uttar Pradesh",
E703="Mumbai","Maharashtra",
E703="Nagpur","Maharashtra",
E703="Patna","Bihar",
E703="Pune","Maharashtra",
E703="Raipur","Chhattisgarh",
E703="Surat","Gujarat",
TRUE,"Not Found"
)</f>
        <v>Tamil Nadu</v>
      </c>
      <c r="G703" t="s">
        <v>1143</v>
      </c>
      <c r="H703" t="s">
        <v>1144</v>
      </c>
      <c r="I703" t="s">
        <v>1276</v>
      </c>
      <c r="J703" t="s">
        <v>1277</v>
      </c>
      <c r="K703" t="s">
        <v>1278</v>
      </c>
      <c r="L703">
        <v>2</v>
      </c>
      <c r="M703">
        <v>10867</v>
      </c>
      <c r="N703">
        <v>0</v>
      </c>
      <c r="O703">
        <v>10867</v>
      </c>
      <c r="P703">
        <v>0.18</v>
      </c>
      <c r="Q703">
        <v>21734</v>
      </c>
      <c r="R703">
        <v>3912.12</v>
      </c>
      <c r="S703">
        <v>25646.12</v>
      </c>
      <c r="T703">
        <f>ROUND(Table2[[#This Row],[TotalAmount]],0)</f>
        <v>25646</v>
      </c>
      <c r="U703" t="s">
        <v>1360</v>
      </c>
      <c r="V703" t="s">
        <v>1361</v>
      </c>
      <c r="W703" s="4">
        <v>45586</v>
      </c>
      <c r="X703" s="4">
        <v>45588</v>
      </c>
      <c r="Y703" t="b">
        <v>0</v>
      </c>
      <c r="Z703" t="s">
        <v>1412</v>
      </c>
      <c r="AA703" t="s">
        <v>1412</v>
      </c>
      <c r="AB703" t="s">
        <v>1412</v>
      </c>
      <c r="AC703" t="s">
        <v>1396</v>
      </c>
      <c r="AD703" t="s">
        <v>1377</v>
      </c>
      <c r="AE703" t="s">
        <v>1378</v>
      </c>
    </row>
    <row r="704" spans="1:31" x14ac:dyDescent="0.3">
      <c r="A704" t="s">
        <v>882</v>
      </c>
      <c r="B704" s="4">
        <v>45504.552083333343</v>
      </c>
      <c r="C704" t="s">
        <v>537</v>
      </c>
      <c r="D704" t="s">
        <v>1153</v>
      </c>
      <c r="E704" t="s">
        <v>1162</v>
      </c>
      <c r="F704" t="str" cm="1">
        <f t="array" ref="F704">_xlfn.IFS(
E704="Ahmedabad","Gujarat",
E704="Bengaluru","Karnataka",
E704="Bhopal","Madhya Pradesh",
E704="Bhubaneswar","Odisha",
E704="Chandigarh","Chandigarh",
E704="Chennai","Tamil Nadu",
E704="Delhi","Delhi",
E704="Guwahati","Assam",
E704="Hyderabad","Telangana",
E704="Indore","Madhya Pradesh",
E704="Jaipur","Rajasthan",
E704="Kochi","Kerala",
E704="Kolkata","West Bengal",
E704="Lucknow","Uttar Pradesh",
E704="Mumbai","Maharashtra",
E704="Nagpur","Maharashtra",
E704="Patna","Bihar",
E704="Pune","Maharashtra",
E704="Raipur","Chhattisgarh",
E704="Surat","Gujarat",
TRUE,"Not Found"
)</f>
        <v>Madhya Pradesh</v>
      </c>
      <c r="G704" t="s">
        <v>1150</v>
      </c>
      <c r="H704" t="s">
        <v>1177</v>
      </c>
      <c r="I704" t="s">
        <v>1192</v>
      </c>
      <c r="J704" t="s">
        <v>1283</v>
      </c>
      <c r="K704" t="s">
        <v>1284</v>
      </c>
      <c r="L704">
        <v>1</v>
      </c>
      <c r="M704">
        <v>558</v>
      </c>
      <c r="N704">
        <v>0.2</v>
      </c>
      <c r="O704">
        <v>446.4</v>
      </c>
      <c r="P704">
        <v>0.12</v>
      </c>
      <c r="Q704">
        <v>446.4</v>
      </c>
      <c r="R704">
        <v>53.567999999999998</v>
      </c>
      <c r="S704">
        <v>499.96800000000002</v>
      </c>
      <c r="T704">
        <f>ROUND(Table2[[#This Row],[TotalAmount]],0)</f>
        <v>500</v>
      </c>
      <c r="U704" t="s">
        <v>1362</v>
      </c>
      <c r="V704" t="s">
        <v>1361</v>
      </c>
      <c r="W704" s="4">
        <v>45504</v>
      </c>
      <c r="X704" s="4">
        <v>45505</v>
      </c>
      <c r="Y704" t="b">
        <v>0</v>
      </c>
      <c r="Z704" t="s">
        <v>1412</v>
      </c>
      <c r="AA704" t="s">
        <v>1412</v>
      </c>
      <c r="AB704" t="s">
        <v>1412</v>
      </c>
      <c r="AC704" t="s">
        <v>1396</v>
      </c>
      <c r="AD704" t="s">
        <v>1397</v>
      </c>
      <c r="AE704" t="s">
        <v>1389</v>
      </c>
    </row>
    <row r="705" spans="1:31" x14ac:dyDescent="0.3">
      <c r="A705" t="s">
        <v>883</v>
      </c>
      <c r="B705" s="4">
        <v>45643.448611111111</v>
      </c>
      <c r="C705" t="s">
        <v>407</v>
      </c>
      <c r="D705" t="s">
        <v>1157</v>
      </c>
      <c r="E705" t="s">
        <v>1158</v>
      </c>
      <c r="F705" t="str" cm="1">
        <f t="array" ref="F705">_xlfn.IFS(
E705="Ahmedabad","Gujarat",
E705="Bengaluru","Karnataka",
E705="Bhopal","Madhya Pradesh",
E705="Bhubaneswar","Odisha",
E705="Chandigarh","Chandigarh",
E705="Chennai","Tamil Nadu",
E705="Delhi","Delhi",
E705="Guwahati","Assam",
E705="Hyderabad","Telangana",
E705="Indore","Madhya Pradesh",
E705="Jaipur","Rajasthan",
E705="Kochi","Kerala",
E705="Kolkata","West Bengal",
E705="Lucknow","Uttar Pradesh",
E705="Mumbai","Maharashtra",
E705="Nagpur","Maharashtra",
E705="Patna","Bihar",
E705="Pune","Maharashtra",
E705="Raipur","Chhattisgarh",
E705="Surat","Gujarat",
TRUE,"Not Found"
)</f>
        <v>Gujarat</v>
      </c>
      <c r="G705" t="s">
        <v>1143</v>
      </c>
      <c r="H705" t="s">
        <v>1172</v>
      </c>
      <c r="I705" t="s">
        <v>1204</v>
      </c>
      <c r="J705" t="s">
        <v>1297</v>
      </c>
      <c r="K705" t="s">
        <v>1298</v>
      </c>
      <c r="L705">
        <v>1</v>
      </c>
      <c r="M705">
        <v>5830</v>
      </c>
      <c r="N705">
        <v>0</v>
      </c>
      <c r="O705">
        <v>5830</v>
      </c>
      <c r="P705">
        <v>0.18</v>
      </c>
      <c r="Q705">
        <v>5830</v>
      </c>
      <c r="R705">
        <v>1049.4000000000001</v>
      </c>
      <c r="S705">
        <v>6879.4</v>
      </c>
      <c r="T705">
        <f>ROUND(Table2[[#This Row],[TotalAmount]],0)</f>
        <v>6879</v>
      </c>
      <c r="U705" t="s">
        <v>1362</v>
      </c>
      <c r="V705" t="s">
        <v>1368</v>
      </c>
      <c r="W705" s="4">
        <v>45644</v>
      </c>
      <c r="X705" s="4" t="s">
        <v>1412</v>
      </c>
      <c r="Y705" t="b">
        <v>0</v>
      </c>
      <c r="Z705" t="s">
        <v>1412</v>
      </c>
      <c r="AA705" t="s">
        <v>1412</v>
      </c>
      <c r="AB705" t="s">
        <v>1412</v>
      </c>
      <c r="AC705" t="s">
        <v>1386</v>
      </c>
      <c r="AD705" t="s">
        <v>1385</v>
      </c>
      <c r="AE705" t="s">
        <v>1395</v>
      </c>
    </row>
    <row r="706" spans="1:31" x14ac:dyDescent="0.3">
      <c r="A706" t="s">
        <v>884</v>
      </c>
      <c r="B706" s="4">
        <v>45392.375</v>
      </c>
      <c r="C706" t="s">
        <v>296</v>
      </c>
      <c r="D706" t="s">
        <v>1157</v>
      </c>
      <c r="E706" t="s">
        <v>1181</v>
      </c>
      <c r="F706" t="str" cm="1">
        <f t="array" ref="F706">_xlfn.IFS(
E706="Ahmedabad","Gujarat",
E706="Bengaluru","Karnataka",
E706="Bhopal","Madhya Pradesh",
E706="Bhubaneswar","Odisha",
E706="Chandigarh","Chandigarh",
E706="Chennai","Tamil Nadu",
E706="Delhi","Delhi",
E706="Guwahati","Assam",
E706="Hyderabad","Telangana",
E706="Indore","Madhya Pradesh",
E706="Jaipur","Rajasthan",
E706="Kochi","Kerala",
E706="Kolkata","West Bengal",
E706="Lucknow","Uttar Pradesh",
E706="Mumbai","Maharashtra",
E706="Nagpur","Maharashtra",
E706="Patna","Bihar",
E706="Pune","Maharashtra",
E706="Raipur","Chhattisgarh",
E706="Surat","Gujarat",
TRUE,"Not Found"
)</f>
        <v>Gujarat</v>
      </c>
      <c r="G706" t="s">
        <v>1187</v>
      </c>
      <c r="H706" t="s">
        <v>1172</v>
      </c>
      <c r="I706" t="s">
        <v>1188</v>
      </c>
      <c r="J706" t="s">
        <v>1232</v>
      </c>
      <c r="K706" t="s">
        <v>1233</v>
      </c>
      <c r="L706">
        <v>3</v>
      </c>
      <c r="M706">
        <v>8665</v>
      </c>
      <c r="N706">
        <v>0.1</v>
      </c>
      <c r="O706">
        <v>7798.5</v>
      </c>
      <c r="P706">
        <v>0.12</v>
      </c>
      <c r="Q706">
        <v>23395.5</v>
      </c>
      <c r="R706">
        <v>2807.46</v>
      </c>
      <c r="S706">
        <v>26202.959999999999</v>
      </c>
      <c r="T706">
        <f>ROUND(Table2[[#This Row],[TotalAmount]],0)</f>
        <v>26203</v>
      </c>
      <c r="U706" t="s">
        <v>1360</v>
      </c>
      <c r="V706" t="s">
        <v>1368</v>
      </c>
      <c r="W706" s="4">
        <v>45393</v>
      </c>
      <c r="X706" s="4" t="s">
        <v>1412</v>
      </c>
      <c r="Y706" t="b">
        <v>0</v>
      </c>
      <c r="Z706" t="s">
        <v>1412</v>
      </c>
      <c r="AA706" t="s">
        <v>1412</v>
      </c>
      <c r="AB706" t="s">
        <v>1412</v>
      </c>
      <c r="AC706" t="s">
        <v>1384</v>
      </c>
      <c r="AD706" t="s">
        <v>1387</v>
      </c>
      <c r="AE706" t="s">
        <v>1391</v>
      </c>
    </row>
    <row r="707" spans="1:31" x14ac:dyDescent="0.3">
      <c r="A707" t="s">
        <v>885</v>
      </c>
      <c r="B707" s="4">
        <v>45771.6</v>
      </c>
      <c r="C707" t="s">
        <v>148</v>
      </c>
      <c r="D707" t="s">
        <v>1153</v>
      </c>
      <c r="E707" t="s">
        <v>1162</v>
      </c>
      <c r="F707" t="str" cm="1">
        <f t="array" ref="F707">_xlfn.IFS(
E707="Ahmedabad","Gujarat",
E707="Bengaluru","Karnataka",
E707="Bhopal","Madhya Pradesh",
E707="Bhubaneswar","Odisha",
E707="Chandigarh","Chandigarh",
E707="Chennai","Tamil Nadu",
E707="Delhi","Delhi",
E707="Guwahati","Assam",
E707="Hyderabad","Telangana",
E707="Indore","Madhya Pradesh",
E707="Jaipur","Rajasthan",
E707="Kochi","Kerala",
E707="Kolkata","West Bengal",
E707="Lucknow","Uttar Pradesh",
E707="Mumbai","Maharashtra",
E707="Nagpur","Maharashtra",
E707="Patna","Bihar",
E707="Pune","Maharashtra",
E707="Raipur","Chhattisgarh",
E707="Surat","Gujarat",
TRUE,"Not Found"
)</f>
        <v>Madhya Pradesh</v>
      </c>
      <c r="G707" t="s">
        <v>1143</v>
      </c>
      <c r="H707" t="s">
        <v>1144</v>
      </c>
      <c r="I707" t="s">
        <v>1159</v>
      </c>
      <c r="J707" t="s">
        <v>1160</v>
      </c>
      <c r="K707" t="s">
        <v>1161</v>
      </c>
      <c r="L707">
        <v>2</v>
      </c>
      <c r="M707">
        <v>11618</v>
      </c>
      <c r="N707">
        <v>0</v>
      </c>
      <c r="O707">
        <v>11618</v>
      </c>
      <c r="P707">
        <v>0.12</v>
      </c>
      <c r="Q707">
        <v>23236</v>
      </c>
      <c r="R707">
        <v>2788.32</v>
      </c>
      <c r="S707">
        <v>26024.32</v>
      </c>
      <c r="T707">
        <f>ROUND(Table2[[#This Row],[TotalAmount]],0)</f>
        <v>26024</v>
      </c>
      <c r="U707" t="s">
        <v>1363</v>
      </c>
      <c r="V707" t="s">
        <v>1369</v>
      </c>
      <c r="W707" s="4" t="s">
        <v>1412</v>
      </c>
      <c r="X707" s="4" t="s">
        <v>1412</v>
      </c>
      <c r="Y707" t="b">
        <v>0</v>
      </c>
      <c r="Z707" t="s">
        <v>1412</v>
      </c>
      <c r="AA707" t="s">
        <v>1412</v>
      </c>
      <c r="AB707" t="s">
        <v>1412</v>
      </c>
      <c r="AC707" t="s">
        <v>1386</v>
      </c>
      <c r="AD707" t="s">
        <v>1394</v>
      </c>
      <c r="AE707" t="s">
        <v>1393</v>
      </c>
    </row>
    <row r="708" spans="1:31" x14ac:dyDescent="0.3">
      <c r="A708" t="s">
        <v>886</v>
      </c>
      <c r="B708" s="4">
        <v>45376.460416666669</v>
      </c>
      <c r="C708" t="s">
        <v>278</v>
      </c>
      <c r="D708" t="s">
        <v>1148</v>
      </c>
      <c r="E708" t="s">
        <v>1262</v>
      </c>
      <c r="F708" t="str" cm="1">
        <f t="array" ref="F708">_xlfn.IFS(
E708="Ahmedabad","Gujarat",
E708="Bengaluru","Karnataka",
E708="Bhopal","Madhya Pradesh",
E708="Bhubaneswar","Odisha",
E708="Chandigarh","Chandigarh",
E708="Chennai","Tamil Nadu",
E708="Delhi","Delhi",
E708="Guwahati","Assam",
E708="Hyderabad","Telangana",
E708="Indore","Madhya Pradesh",
E708="Jaipur","Rajasthan",
E708="Kochi","Kerala",
E708="Kolkata","West Bengal",
E708="Lucknow","Uttar Pradesh",
E708="Mumbai","Maharashtra",
E708="Nagpur","Maharashtra",
E708="Patna","Bihar",
E708="Pune","Maharashtra",
E708="Raipur","Chhattisgarh",
E708="Surat","Gujarat",
TRUE,"Not Found"
)</f>
        <v>Rajasthan</v>
      </c>
      <c r="G708" t="s">
        <v>1150</v>
      </c>
      <c r="H708" t="s">
        <v>1163</v>
      </c>
      <c r="I708" t="s">
        <v>1184</v>
      </c>
      <c r="J708" t="s">
        <v>1260</v>
      </c>
      <c r="K708" t="s">
        <v>1261</v>
      </c>
      <c r="L708">
        <v>1</v>
      </c>
      <c r="M708">
        <v>463</v>
      </c>
      <c r="N708">
        <v>0.15</v>
      </c>
      <c r="O708">
        <v>393.55</v>
      </c>
      <c r="P708">
        <v>0.18</v>
      </c>
      <c r="Q708">
        <v>393.55</v>
      </c>
      <c r="R708">
        <v>70.838999999999999</v>
      </c>
      <c r="S708">
        <v>464.38900000000001</v>
      </c>
      <c r="T708">
        <f>ROUND(Table2[[#This Row],[TotalAmount]],0)</f>
        <v>464</v>
      </c>
      <c r="U708" t="s">
        <v>1360</v>
      </c>
      <c r="V708" t="s">
        <v>1369</v>
      </c>
      <c r="W708" s="4" t="s">
        <v>1412</v>
      </c>
      <c r="X708" s="4" t="s">
        <v>1412</v>
      </c>
      <c r="Y708" t="b">
        <v>0</v>
      </c>
      <c r="Z708" t="s">
        <v>1412</v>
      </c>
      <c r="AA708" t="s">
        <v>1412</v>
      </c>
      <c r="AB708" t="s">
        <v>1412</v>
      </c>
      <c r="AC708" t="s">
        <v>1398</v>
      </c>
      <c r="AD708" t="s">
        <v>1399</v>
      </c>
      <c r="AE708" t="s">
        <v>1393</v>
      </c>
    </row>
    <row r="709" spans="1:31" x14ac:dyDescent="0.3">
      <c r="A709" t="s">
        <v>887</v>
      </c>
      <c r="B709" s="4">
        <v>45493.615972222222</v>
      </c>
      <c r="C709" t="s">
        <v>10</v>
      </c>
      <c r="D709" t="s">
        <v>1157</v>
      </c>
      <c r="E709" t="s">
        <v>1158</v>
      </c>
      <c r="F709" t="str" cm="1">
        <f t="array" ref="F709">_xlfn.IFS(
E709="Ahmedabad","Gujarat",
E709="Bengaluru","Karnataka",
E709="Bhopal","Madhya Pradesh",
E709="Bhubaneswar","Odisha",
E709="Chandigarh","Chandigarh",
E709="Chennai","Tamil Nadu",
E709="Delhi","Delhi",
E709="Guwahati","Assam",
E709="Hyderabad","Telangana",
E709="Indore","Madhya Pradesh",
E709="Jaipur","Rajasthan",
E709="Kochi","Kerala",
E709="Kolkata","West Bengal",
E709="Lucknow","Uttar Pradesh",
E709="Mumbai","Maharashtra",
E709="Nagpur","Maharashtra",
E709="Patna","Bihar",
E709="Pune","Maharashtra",
E709="Raipur","Chhattisgarh",
E709="Surat","Gujarat",
TRUE,"Not Found"
)</f>
        <v>Gujarat</v>
      </c>
      <c r="G709" t="s">
        <v>1143</v>
      </c>
      <c r="H709" t="s">
        <v>1172</v>
      </c>
      <c r="I709" t="s">
        <v>1198</v>
      </c>
      <c r="J709" t="s">
        <v>1250</v>
      </c>
      <c r="K709" t="s">
        <v>1251</v>
      </c>
      <c r="L709">
        <v>2</v>
      </c>
      <c r="M709">
        <v>7638</v>
      </c>
      <c r="N709">
        <v>0.1</v>
      </c>
      <c r="O709">
        <v>6874.2</v>
      </c>
      <c r="P709">
        <v>0.18</v>
      </c>
      <c r="Q709">
        <v>13748.4</v>
      </c>
      <c r="R709">
        <v>2474.712</v>
      </c>
      <c r="S709">
        <v>16223.111999999999</v>
      </c>
      <c r="T709">
        <f>ROUND(Table2[[#This Row],[TotalAmount]],0)</f>
        <v>16223</v>
      </c>
      <c r="U709" t="s">
        <v>1363</v>
      </c>
      <c r="V709" t="s">
        <v>1361</v>
      </c>
      <c r="W709" s="4">
        <v>45494</v>
      </c>
      <c r="X709" s="4">
        <v>45499</v>
      </c>
      <c r="Y709" t="b">
        <v>0</v>
      </c>
      <c r="Z709" t="s">
        <v>1412</v>
      </c>
      <c r="AA709" t="s">
        <v>1412</v>
      </c>
      <c r="AB709" t="s">
        <v>1412</v>
      </c>
      <c r="AC709" t="s">
        <v>1398</v>
      </c>
      <c r="AD709" t="s">
        <v>1394</v>
      </c>
      <c r="AE709" t="s">
        <v>1380</v>
      </c>
    </row>
    <row r="710" spans="1:31" x14ac:dyDescent="0.3">
      <c r="A710" t="s">
        <v>888</v>
      </c>
      <c r="B710" s="4">
        <v>45562.622916666667</v>
      </c>
      <c r="C710" t="s">
        <v>38</v>
      </c>
      <c r="D710" t="s">
        <v>1148</v>
      </c>
      <c r="E710" t="s">
        <v>1149</v>
      </c>
      <c r="F710" t="str" cm="1">
        <f t="array" ref="F710">_xlfn.IFS(
E710="Ahmedabad","Gujarat",
E710="Bengaluru","Karnataka",
E710="Bhopal","Madhya Pradesh",
E710="Bhubaneswar","Odisha",
E710="Chandigarh","Chandigarh",
E710="Chennai","Tamil Nadu",
E710="Delhi","Delhi",
E710="Guwahati","Assam",
E710="Hyderabad","Telangana",
E710="Indore","Madhya Pradesh",
E710="Jaipur","Rajasthan",
E710="Kochi","Kerala",
E710="Kolkata","West Bengal",
E710="Lucknow","Uttar Pradesh",
E710="Mumbai","Maharashtra",
E710="Nagpur","Maharashtra",
E710="Patna","Bihar",
E710="Pune","Maharashtra",
E710="Raipur","Chhattisgarh",
E710="Surat","Gujarat",
TRUE,"Not Found"
)</f>
        <v>Uttar Pradesh</v>
      </c>
      <c r="G710" t="s">
        <v>1143</v>
      </c>
      <c r="H710" t="s">
        <v>1177</v>
      </c>
      <c r="I710" t="s">
        <v>1309</v>
      </c>
      <c r="J710" t="s">
        <v>1310</v>
      </c>
      <c r="K710" t="s">
        <v>1311</v>
      </c>
      <c r="L710">
        <v>2</v>
      </c>
      <c r="M710">
        <v>2267</v>
      </c>
      <c r="N710">
        <v>0</v>
      </c>
      <c r="O710">
        <v>2267</v>
      </c>
      <c r="P710">
        <v>0.12</v>
      </c>
      <c r="Q710">
        <v>4534</v>
      </c>
      <c r="R710">
        <v>544.07999999999993</v>
      </c>
      <c r="S710">
        <v>5078.08</v>
      </c>
      <c r="T710">
        <f>ROUND(Table2[[#This Row],[TotalAmount]],0)</f>
        <v>5078</v>
      </c>
      <c r="U710" t="s">
        <v>1360</v>
      </c>
      <c r="V710" t="s">
        <v>1364</v>
      </c>
      <c r="W710" s="4">
        <v>45564</v>
      </c>
      <c r="X710" s="4" t="s">
        <v>1412</v>
      </c>
      <c r="Y710" t="b">
        <v>1</v>
      </c>
      <c r="Z710" s="1">
        <v>45573</v>
      </c>
      <c r="AA710" s="1">
        <v>45573</v>
      </c>
      <c r="AB710" t="s">
        <v>1404</v>
      </c>
      <c r="AC710" t="s">
        <v>1390</v>
      </c>
      <c r="AD710" t="s">
        <v>1394</v>
      </c>
      <c r="AE710" t="s">
        <v>1391</v>
      </c>
    </row>
    <row r="711" spans="1:31" x14ac:dyDescent="0.3">
      <c r="A711" t="s">
        <v>889</v>
      </c>
      <c r="B711" s="4">
        <v>45685.675000000003</v>
      </c>
      <c r="C711" t="s">
        <v>858</v>
      </c>
      <c r="D711" t="s">
        <v>1141</v>
      </c>
      <c r="E711" t="s">
        <v>1239</v>
      </c>
      <c r="F711" t="str" cm="1">
        <f t="array" ref="F711">_xlfn.IFS(
E711="Ahmedabad","Gujarat",
E711="Bengaluru","Karnataka",
E711="Bhopal","Madhya Pradesh",
E711="Bhubaneswar","Odisha",
E711="Chandigarh","Chandigarh",
E711="Chennai","Tamil Nadu",
E711="Delhi","Delhi",
E711="Guwahati","Assam",
E711="Hyderabad","Telangana",
E711="Indore","Madhya Pradesh",
E711="Jaipur","Rajasthan",
E711="Kochi","Kerala",
E711="Kolkata","West Bengal",
E711="Lucknow","Uttar Pradesh",
E711="Mumbai","Maharashtra",
E711="Nagpur","Maharashtra",
E711="Patna","Bihar",
E711="Pune","Maharashtra",
E711="Raipur","Chhattisgarh",
E711="Surat","Gujarat",
TRUE,"Not Found"
)</f>
        <v>Odisha</v>
      </c>
      <c r="G711" t="s">
        <v>1143</v>
      </c>
      <c r="H711" t="s">
        <v>1177</v>
      </c>
      <c r="I711" t="s">
        <v>1192</v>
      </c>
      <c r="J711" t="s">
        <v>1193</v>
      </c>
      <c r="K711" t="s">
        <v>1194</v>
      </c>
      <c r="L711">
        <v>1</v>
      </c>
      <c r="M711">
        <v>698</v>
      </c>
      <c r="N711">
        <v>0.1</v>
      </c>
      <c r="O711">
        <v>628.20000000000005</v>
      </c>
      <c r="P711">
        <v>0.12</v>
      </c>
      <c r="Q711">
        <v>628.20000000000005</v>
      </c>
      <c r="R711">
        <v>75.384</v>
      </c>
      <c r="S711">
        <v>703.58400000000006</v>
      </c>
      <c r="T711">
        <f>ROUND(Table2[[#This Row],[TotalAmount]],0)</f>
        <v>704</v>
      </c>
      <c r="U711" t="s">
        <v>1363</v>
      </c>
      <c r="V711" t="s">
        <v>1361</v>
      </c>
      <c r="W711" s="4">
        <v>45687</v>
      </c>
      <c r="X711" s="4">
        <v>45692</v>
      </c>
      <c r="Y711" t="b">
        <v>0</v>
      </c>
      <c r="Z711" t="s">
        <v>1412</v>
      </c>
      <c r="AA711" t="s">
        <v>1412</v>
      </c>
      <c r="AB711" t="s">
        <v>1412</v>
      </c>
      <c r="AC711" t="s">
        <v>1390</v>
      </c>
      <c r="AD711" t="s">
        <v>1387</v>
      </c>
      <c r="AE711" t="s">
        <v>1383</v>
      </c>
    </row>
    <row r="712" spans="1:31" x14ac:dyDescent="0.3">
      <c r="A712" t="s">
        <v>890</v>
      </c>
      <c r="B712" s="4">
        <v>45565.408333333333</v>
      </c>
      <c r="C712" t="s">
        <v>251</v>
      </c>
      <c r="D712" t="s">
        <v>1148</v>
      </c>
      <c r="E712" t="s">
        <v>1171</v>
      </c>
      <c r="F712" t="str" cm="1">
        <f t="array" ref="F712">_xlfn.IFS(
E712="Ahmedabad","Gujarat",
E712="Bengaluru","Karnataka",
E712="Bhopal","Madhya Pradesh",
E712="Bhubaneswar","Odisha",
E712="Chandigarh","Chandigarh",
E712="Chennai","Tamil Nadu",
E712="Delhi","Delhi",
E712="Guwahati","Assam",
E712="Hyderabad","Telangana",
E712="Indore","Madhya Pradesh",
E712="Jaipur","Rajasthan",
E712="Kochi","Kerala",
E712="Kolkata","West Bengal",
E712="Lucknow","Uttar Pradesh",
E712="Mumbai","Maharashtra",
E712="Nagpur","Maharashtra",
E712="Patna","Bihar",
E712="Pune","Maharashtra",
E712="Raipur","Chhattisgarh",
E712="Surat","Gujarat",
TRUE,"Not Found"
)</f>
        <v>Chandigarh</v>
      </c>
      <c r="G712" t="s">
        <v>1143</v>
      </c>
      <c r="H712" t="s">
        <v>1144</v>
      </c>
      <c r="I712" t="s">
        <v>1159</v>
      </c>
      <c r="J712" t="s">
        <v>1272</v>
      </c>
      <c r="K712" t="s">
        <v>1273</v>
      </c>
      <c r="L712">
        <v>1</v>
      </c>
      <c r="M712">
        <v>5393</v>
      </c>
      <c r="N712">
        <v>0.1</v>
      </c>
      <c r="O712">
        <v>4853.7</v>
      </c>
      <c r="P712">
        <v>0.12</v>
      </c>
      <c r="Q712">
        <v>4853.7</v>
      </c>
      <c r="R712">
        <v>582.44399999999996</v>
      </c>
      <c r="S712">
        <v>5436.1440000000002</v>
      </c>
      <c r="T712">
        <f>ROUND(Table2[[#This Row],[TotalAmount]],0)</f>
        <v>5436</v>
      </c>
      <c r="U712" t="s">
        <v>1363</v>
      </c>
      <c r="V712" t="s">
        <v>1361</v>
      </c>
      <c r="W712" s="4">
        <v>45565</v>
      </c>
      <c r="X712" s="4">
        <v>45566</v>
      </c>
      <c r="Y712" t="b">
        <v>0</v>
      </c>
      <c r="Z712" t="s">
        <v>1412</v>
      </c>
      <c r="AA712" t="s">
        <v>1412</v>
      </c>
      <c r="AB712" t="s">
        <v>1412</v>
      </c>
      <c r="AC712" t="s">
        <v>1384</v>
      </c>
      <c r="AD712" t="s">
        <v>1399</v>
      </c>
      <c r="AE712" t="s">
        <v>1391</v>
      </c>
    </row>
    <row r="713" spans="1:31" x14ac:dyDescent="0.3">
      <c r="A713" t="s">
        <v>891</v>
      </c>
      <c r="B713" s="4">
        <v>45542.490972222222</v>
      </c>
      <c r="C713" t="s">
        <v>195</v>
      </c>
      <c r="D713" t="s">
        <v>1148</v>
      </c>
      <c r="E713" t="s">
        <v>1149</v>
      </c>
      <c r="F713" t="str" cm="1">
        <f t="array" ref="F713">_xlfn.IFS(
E713="Ahmedabad","Gujarat",
E713="Bengaluru","Karnataka",
E713="Bhopal","Madhya Pradesh",
E713="Bhubaneswar","Odisha",
E713="Chandigarh","Chandigarh",
E713="Chennai","Tamil Nadu",
E713="Delhi","Delhi",
E713="Guwahati","Assam",
E713="Hyderabad","Telangana",
E713="Indore","Madhya Pradesh",
E713="Jaipur","Rajasthan",
E713="Kochi","Kerala",
E713="Kolkata","West Bengal",
E713="Lucknow","Uttar Pradesh",
E713="Mumbai","Maharashtra",
E713="Nagpur","Maharashtra",
E713="Patna","Bihar",
E713="Pune","Maharashtra",
E713="Raipur","Chhattisgarh",
E713="Surat","Gujarat",
TRUE,"Not Found"
)</f>
        <v>Uttar Pradesh</v>
      </c>
      <c r="G713" t="s">
        <v>1143</v>
      </c>
      <c r="H713" t="s">
        <v>1144</v>
      </c>
      <c r="I713" t="s">
        <v>1276</v>
      </c>
      <c r="J713" t="s">
        <v>1286</v>
      </c>
      <c r="K713" t="s">
        <v>1287</v>
      </c>
      <c r="L713">
        <v>2</v>
      </c>
      <c r="M713">
        <v>8956</v>
      </c>
      <c r="N713">
        <v>0.05</v>
      </c>
      <c r="O713">
        <v>8508.1999999999989</v>
      </c>
      <c r="P713">
        <v>0.12</v>
      </c>
      <c r="Q713">
        <v>17016.400000000001</v>
      </c>
      <c r="R713">
        <v>2041.9680000000001</v>
      </c>
      <c r="S713">
        <v>19058.367999999999</v>
      </c>
      <c r="T713">
        <f>ROUND(Table2[[#This Row],[TotalAmount]],0)</f>
        <v>19058</v>
      </c>
      <c r="U713" t="s">
        <v>1360</v>
      </c>
      <c r="V713" t="s">
        <v>1369</v>
      </c>
      <c r="W713" s="4" t="s">
        <v>1412</v>
      </c>
      <c r="X713" s="4" t="s">
        <v>1412</v>
      </c>
      <c r="Y713" t="b">
        <v>0</v>
      </c>
      <c r="Z713" t="s">
        <v>1412</v>
      </c>
      <c r="AA713" t="s">
        <v>1412</v>
      </c>
      <c r="AB713" t="s">
        <v>1412</v>
      </c>
      <c r="AC713" t="s">
        <v>1390</v>
      </c>
      <c r="AD713" t="s">
        <v>1399</v>
      </c>
      <c r="AE713" t="s">
        <v>1389</v>
      </c>
    </row>
    <row r="714" spans="1:31" x14ac:dyDescent="0.3">
      <c r="A714" t="s">
        <v>892</v>
      </c>
      <c r="B714" s="4">
        <v>45760.536805555559</v>
      </c>
      <c r="C714" t="s">
        <v>235</v>
      </c>
      <c r="D714" t="s">
        <v>1157</v>
      </c>
      <c r="E714" t="s">
        <v>1158</v>
      </c>
      <c r="F714" t="str" cm="1">
        <f t="array" ref="F714">_xlfn.IFS(
E714="Ahmedabad","Gujarat",
E714="Bengaluru","Karnataka",
E714="Bhopal","Madhya Pradesh",
E714="Bhubaneswar","Odisha",
E714="Chandigarh","Chandigarh",
E714="Chennai","Tamil Nadu",
E714="Delhi","Delhi",
E714="Guwahati","Assam",
E714="Hyderabad","Telangana",
E714="Indore","Madhya Pradesh",
E714="Jaipur","Rajasthan",
E714="Kochi","Kerala",
E714="Kolkata","West Bengal",
E714="Lucknow","Uttar Pradesh",
E714="Mumbai","Maharashtra",
E714="Nagpur","Maharashtra",
E714="Patna","Bihar",
E714="Pune","Maharashtra",
E714="Raipur","Chhattisgarh",
E714="Surat","Gujarat",
TRUE,"Not Found"
)</f>
        <v>Gujarat</v>
      </c>
      <c r="G714" t="s">
        <v>1187</v>
      </c>
      <c r="H714" t="s">
        <v>1167</v>
      </c>
      <c r="I714" t="s">
        <v>1288</v>
      </c>
      <c r="J714" t="s">
        <v>1289</v>
      </c>
      <c r="K714" t="s">
        <v>1290</v>
      </c>
      <c r="L714">
        <v>1</v>
      </c>
      <c r="M714">
        <v>42776</v>
      </c>
      <c r="N714">
        <v>0</v>
      </c>
      <c r="O714">
        <v>42776</v>
      </c>
      <c r="P714">
        <v>0.18</v>
      </c>
      <c r="Q714">
        <v>42776</v>
      </c>
      <c r="R714">
        <v>7699.6799999999994</v>
      </c>
      <c r="S714">
        <v>50475.68</v>
      </c>
      <c r="T714">
        <f>ROUND(Table2[[#This Row],[TotalAmount]],0)</f>
        <v>50476</v>
      </c>
      <c r="U714" t="s">
        <v>1362</v>
      </c>
      <c r="V714" t="s">
        <v>1361</v>
      </c>
      <c r="W714" s="4">
        <v>45762</v>
      </c>
      <c r="X714" s="4">
        <v>45763</v>
      </c>
      <c r="Y714" t="b">
        <v>0</v>
      </c>
      <c r="Z714" t="s">
        <v>1412</v>
      </c>
      <c r="AA714" t="s">
        <v>1412</v>
      </c>
      <c r="AB714" t="s">
        <v>1412</v>
      </c>
      <c r="AC714" t="s">
        <v>1379</v>
      </c>
      <c r="AD714" t="s">
        <v>1394</v>
      </c>
      <c r="AE714" t="s">
        <v>1395</v>
      </c>
    </row>
    <row r="715" spans="1:31" x14ac:dyDescent="0.3">
      <c r="A715" t="s">
        <v>893</v>
      </c>
      <c r="B715" s="4">
        <v>45499.549305555563</v>
      </c>
      <c r="C715" t="s">
        <v>57</v>
      </c>
      <c r="D715" t="s">
        <v>1153</v>
      </c>
      <c r="E715" t="s">
        <v>1176</v>
      </c>
      <c r="F715" t="str" cm="1">
        <f t="array" ref="F715">_xlfn.IFS(
E715="Ahmedabad","Gujarat",
E715="Bengaluru","Karnataka",
E715="Bhopal","Madhya Pradesh",
E715="Bhubaneswar","Odisha",
E715="Chandigarh","Chandigarh",
E715="Chennai","Tamil Nadu",
E715="Delhi","Delhi",
E715="Guwahati","Assam",
E715="Hyderabad","Telangana",
E715="Indore","Madhya Pradesh",
E715="Jaipur","Rajasthan",
E715="Kochi","Kerala",
E715="Kolkata","West Bengal",
E715="Lucknow","Uttar Pradesh",
E715="Mumbai","Maharashtra",
E715="Nagpur","Maharashtra",
E715="Patna","Bihar",
E715="Pune","Maharashtra",
E715="Raipur","Chhattisgarh",
E715="Surat","Gujarat",
TRUE,"Not Found"
)</f>
        <v>Chhattisgarh</v>
      </c>
      <c r="G715" t="s">
        <v>1143</v>
      </c>
      <c r="H715" t="s">
        <v>1172</v>
      </c>
      <c r="I715" t="s">
        <v>1188</v>
      </c>
      <c r="J715" t="s">
        <v>1258</v>
      </c>
      <c r="K715" t="s">
        <v>1259</v>
      </c>
      <c r="L715">
        <v>1</v>
      </c>
      <c r="M715">
        <v>9181</v>
      </c>
      <c r="N715">
        <v>0</v>
      </c>
      <c r="O715">
        <v>9181</v>
      </c>
      <c r="P715">
        <v>0.18</v>
      </c>
      <c r="Q715">
        <v>9181</v>
      </c>
      <c r="R715">
        <v>1652.58</v>
      </c>
      <c r="S715">
        <v>10833.58</v>
      </c>
      <c r="T715">
        <f>ROUND(Table2[[#This Row],[TotalAmount]],0)</f>
        <v>10834</v>
      </c>
      <c r="U715" t="s">
        <v>1360</v>
      </c>
      <c r="V715" t="s">
        <v>1361</v>
      </c>
      <c r="W715" s="4">
        <v>45501</v>
      </c>
      <c r="X715" s="4">
        <v>45503</v>
      </c>
      <c r="Y715" t="b">
        <v>0</v>
      </c>
      <c r="Z715" t="s">
        <v>1412</v>
      </c>
      <c r="AA715" t="s">
        <v>1412</v>
      </c>
      <c r="AB715" t="s">
        <v>1412</v>
      </c>
      <c r="AC715" t="s">
        <v>1379</v>
      </c>
      <c r="AD715" t="s">
        <v>1377</v>
      </c>
      <c r="AE715" t="s">
        <v>1389</v>
      </c>
    </row>
    <row r="716" spans="1:31" x14ac:dyDescent="0.3">
      <c r="A716" t="s">
        <v>894</v>
      </c>
      <c r="B716" s="4">
        <v>45415.679166666669</v>
      </c>
      <c r="C716" t="s">
        <v>171</v>
      </c>
      <c r="D716" t="s">
        <v>1182</v>
      </c>
      <c r="E716" t="s">
        <v>1207</v>
      </c>
      <c r="F716" t="str" cm="1">
        <f t="array" ref="F716">_xlfn.IFS(
E716="Ahmedabad","Gujarat",
E716="Bengaluru","Karnataka",
E716="Bhopal","Madhya Pradesh",
E716="Bhubaneswar","Odisha",
E716="Chandigarh","Chandigarh",
E716="Chennai","Tamil Nadu",
E716="Delhi","Delhi",
E716="Guwahati","Assam",
E716="Hyderabad","Telangana",
E716="Indore","Madhya Pradesh",
E716="Jaipur","Rajasthan",
E716="Kochi","Kerala",
E716="Kolkata","West Bengal",
E716="Lucknow","Uttar Pradesh",
E716="Mumbai","Maharashtra",
E716="Nagpur","Maharashtra",
E716="Patna","Bihar",
E716="Pune","Maharashtra",
E716="Raipur","Chhattisgarh",
E716="Surat","Gujarat",
TRUE,"Not Found"
)</f>
        <v>Tamil Nadu</v>
      </c>
      <c r="G716" t="s">
        <v>1150</v>
      </c>
      <c r="H716" t="s">
        <v>1172</v>
      </c>
      <c r="I716" t="s">
        <v>1198</v>
      </c>
      <c r="J716" t="s">
        <v>1250</v>
      </c>
      <c r="K716" t="s">
        <v>1251</v>
      </c>
      <c r="L716">
        <v>2</v>
      </c>
      <c r="M716">
        <v>1509</v>
      </c>
      <c r="N716">
        <v>0</v>
      </c>
      <c r="O716">
        <v>1509</v>
      </c>
      <c r="P716">
        <v>0.05</v>
      </c>
      <c r="Q716">
        <v>3018</v>
      </c>
      <c r="R716">
        <v>150.9</v>
      </c>
      <c r="S716">
        <v>3168.9</v>
      </c>
      <c r="T716">
        <f>ROUND(Table2[[#This Row],[TotalAmount]],0)</f>
        <v>3169</v>
      </c>
      <c r="U716" t="s">
        <v>1365</v>
      </c>
      <c r="V716" t="s">
        <v>1364</v>
      </c>
      <c r="W716" s="4">
        <v>45417</v>
      </c>
      <c r="X716" s="4" t="s">
        <v>1412</v>
      </c>
      <c r="Y716" t="b">
        <v>1</v>
      </c>
      <c r="Z716" s="1">
        <v>45431</v>
      </c>
      <c r="AA716" s="1">
        <v>45431</v>
      </c>
      <c r="AB716" t="s">
        <v>1403</v>
      </c>
      <c r="AC716" t="s">
        <v>1376</v>
      </c>
      <c r="AD716" t="s">
        <v>1397</v>
      </c>
      <c r="AE716" t="s">
        <v>1395</v>
      </c>
    </row>
    <row r="717" spans="1:31" x14ac:dyDescent="0.3">
      <c r="A717" t="s">
        <v>895</v>
      </c>
      <c r="B717" s="4">
        <v>45331.488888888889</v>
      </c>
      <c r="C717" t="s">
        <v>93</v>
      </c>
      <c r="D717" t="s">
        <v>1157</v>
      </c>
      <c r="E717" t="s">
        <v>1201</v>
      </c>
      <c r="F717" t="str" cm="1">
        <f t="array" ref="F717">_xlfn.IFS(
E717="Ahmedabad","Gujarat",
E717="Bengaluru","Karnataka",
E717="Bhopal","Madhya Pradesh",
E717="Bhubaneswar","Odisha",
E717="Chandigarh","Chandigarh",
E717="Chennai","Tamil Nadu",
E717="Delhi","Delhi",
E717="Guwahati","Assam",
E717="Hyderabad","Telangana",
E717="Indore","Madhya Pradesh",
E717="Jaipur","Rajasthan",
E717="Kochi","Kerala",
E717="Kolkata","West Bengal",
E717="Lucknow","Uttar Pradesh",
E717="Mumbai","Maharashtra",
E717="Nagpur","Maharashtra",
E717="Patna","Bihar",
E717="Pune","Maharashtra",
E717="Raipur","Chhattisgarh",
E717="Surat","Gujarat",
TRUE,"Not Found"
)</f>
        <v>Maharashtra</v>
      </c>
      <c r="G717" t="s">
        <v>1143</v>
      </c>
      <c r="H717" t="s">
        <v>1172</v>
      </c>
      <c r="I717" t="s">
        <v>1229</v>
      </c>
      <c r="J717" t="s">
        <v>1295</v>
      </c>
      <c r="K717" t="s">
        <v>1296</v>
      </c>
      <c r="L717">
        <v>1</v>
      </c>
      <c r="M717">
        <v>6887</v>
      </c>
      <c r="N717">
        <v>0</v>
      </c>
      <c r="O717">
        <v>6887</v>
      </c>
      <c r="P717">
        <v>0.12</v>
      </c>
      <c r="Q717">
        <v>6887</v>
      </c>
      <c r="R717">
        <v>826.43999999999994</v>
      </c>
      <c r="S717">
        <v>7713.44</v>
      </c>
      <c r="T717">
        <f>ROUND(Table2[[#This Row],[TotalAmount]],0)</f>
        <v>7713</v>
      </c>
      <c r="U717" t="s">
        <v>1363</v>
      </c>
      <c r="V717" t="s">
        <v>1361</v>
      </c>
      <c r="W717" s="4">
        <v>45333</v>
      </c>
      <c r="X717" s="4">
        <v>45338</v>
      </c>
      <c r="Y717" t="b">
        <v>0</v>
      </c>
      <c r="Z717" t="s">
        <v>1412</v>
      </c>
      <c r="AA717" t="s">
        <v>1412</v>
      </c>
      <c r="AB717" t="s">
        <v>1412</v>
      </c>
      <c r="AC717" t="s">
        <v>1398</v>
      </c>
      <c r="AD717" t="s">
        <v>1387</v>
      </c>
      <c r="AE717" t="s">
        <v>1393</v>
      </c>
    </row>
    <row r="718" spans="1:31" x14ac:dyDescent="0.3">
      <c r="A718" t="s">
        <v>896</v>
      </c>
      <c r="B718" s="4">
        <v>45586.456944444442</v>
      </c>
      <c r="C718" t="s">
        <v>243</v>
      </c>
      <c r="D718" t="s">
        <v>1153</v>
      </c>
      <c r="E718" t="s">
        <v>1176</v>
      </c>
      <c r="F718" t="str" cm="1">
        <f t="array" ref="F718">_xlfn.IFS(
E718="Ahmedabad","Gujarat",
E718="Bengaluru","Karnataka",
E718="Bhopal","Madhya Pradesh",
E718="Bhubaneswar","Odisha",
E718="Chandigarh","Chandigarh",
E718="Chennai","Tamil Nadu",
E718="Delhi","Delhi",
E718="Guwahati","Assam",
E718="Hyderabad","Telangana",
E718="Indore","Madhya Pradesh",
E718="Jaipur","Rajasthan",
E718="Kochi","Kerala",
E718="Kolkata","West Bengal",
E718="Lucknow","Uttar Pradesh",
E718="Mumbai","Maharashtra",
E718="Nagpur","Maharashtra",
E718="Patna","Bihar",
E718="Pune","Maharashtra",
E718="Raipur","Chhattisgarh",
E718="Surat","Gujarat",
TRUE,"Not Found"
)</f>
        <v>Chhattisgarh</v>
      </c>
      <c r="G718" t="s">
        <v>1143</v>
      </c>
      <c r="H718" t="s">
        <v>1172</v>
      </c>
      <c r="I718" t="s">
        <v>1229</v>
      </c>
      <c r="J718" t="s">
        <v>1340</v>
      </c>
      <c r="K718" t="s">
        <v>1341</v>
      </c>
      <c r="L718">
        <v>2</v>
      </c>
      <c r="M718">
        <v>5996</v>
      </c>
      <c r="N718">
        <v>0.05</v>
      </c>
      <c r="O718">
        <v>5696.2</v>
      </c>
      <c r="P718">
        <v>0.12</v>
      </c>
      <c r="Q718">
        <v>11392.4</v>
      </c>
      <c r="R718">
        <v>1367.088</v>
      </c>
      <c r="S718">
        <v>12759.487999999999</v>
      </c>
      <c r="T718">
        <f>ROUND(Table2[[#This Row],[TotalAmount]],0)</f>
        <v>12759</v>
      </c>
      <c r="U718" t="s">
        <v>1360</v>
      </c>
      <c r="V718" t="s">
        <v>1361</v>
      </c>
      <c r="W718" s="4">
        <v>45588</v>
      </c>
      <c r="X718" s="4">
        <v>45592</v>
      </c>
      <c r="Y718" t="b">
        <v>0</v>
      </c>
      <c r="Z718" t="s">
        <v>1412</v>
      </c>
      <c r="AA718" t="s">
        <v>1412</v>
      </c>
      <c r="AB718" t="s">
        <v>1412</v>
      </c>
      <c r="AC718" t="s">
        <v>1384</v>
      </c>
      <c r="AD718" t="s">
        <v>1385</v>
      </c>
      <c r="AE718" t="s">
        <v>1393</v>
      </c>
    </row>
    <row r="719" spans="1:31" x14ac:dyDescent="0.3">
      <c r="A719" t="s">
        <v>897</v>
      </c>
      <c r="B719" s="4">
        <v>45566.459027777782</v>
      </c>
      <c r="C719" t="s">
        <v>245</v>
      </c>
      <c r="D719" t="s">
        <v>1182</v>
      </c>
      <c r="E719" t="s">
        <v>1207</v>
      </c>
      <c r="F719" t="str" cm="1">
        <f t="array" ref="F719">_xlfn.IFS(
E719="Ahmedabad","Gujarat",
E719="Bengaluru","Karnataka",
E719="Bhopal","Madhya Pradesh",
E719="Bhubaneswar","Odisha",
E719="Chandigarh","Chandigarh",
E719="Chennai","Tamil Nadu",
E719="Delhi","Delhi",
E719="Guwahati","Assam",
E719="Hyderabad","Telangana",
E719="Indore","Madhya Pradesh",
E719="Jaipur","Rajasthan",
E719="Kochi","Kerala",
E719="Kolkata","West Bengal",
E719="Lucknow","Uttar Pradesh",
E719="Mumbai","Maharashtra",
E719="Nagpur","Maharashtra",
E719="Patna","Bihar",
E719="Pune","Maharashtra",
E719="Raipur","Chhattisgarh",
E719="Surat","Gujarat",
TRUE,"Not Found"
)</f>
        <v>Tamil Nadu</v>
      </c>
      <c r="G719" t="s">
        <v>1150</v>
      </c>
      <c r="H719" t="s">
        <v>1177</v>
      </c>
      <c r="I719" t="s">
        <v>1236</v>
      </c>
      <c r="J719" t="s">
        <v>1237</v>
      </c>
      <c r="K719" t="s">
        <v>1238</v>
      </c>
      <c r="L719">
        <v>1</v>
      </c>
      <c r="M719">
        <v>2745</v>
      </c>
      <c r="N719">
        <v>0.2</v>
      </c>
      <c r="O719">
        <v>2196</v>
      </c>
      <c r="P719">
        <v>0.18</v>
      </c>
      <c r="Q719">
        <v>2196</v>
      </c>
      <c r="R719">
        <v>395.28</v>
      </c>
      <c r="S719">
        <v>2591.2800000000002</v>
      </c>
      <c r="T719">
        <f>ROUND(Table2[[#This Row],[TotalAmount]],0)</f>
        <v>2591</v>
      </c>
      <c r="U719" t="s">
        <v>1360</v>
      </c>
      <c r="V719" t="s">
        <v>1361</v>
      </c>
      <c r="W719" s="4">
        <v>45567</v>
      </c>
      <c r="X719" s="4">
        <v>45569</v>
      </c>
      <c r="Y719" t="b">
        <v>0</v>
      </c>
      <c r="Z719" t="s">
        <v>1412</v>
      </c>
      <c r="AA719" t="s">
        <v>1412</v>
      </c>
      <c r="AB719" t="s">
        <v>1412</v>
      </c>
      <c r="AC719" t="s">
        <v>1390</v>
      </c>
      <c r="AD719" t="s">
        <v>1377</v>
      </c>
      <c r="AE719" t="s">
        <v>1389</v>
      </c>
    </row>
    <row r="720" spans="1:31" x14ac:dyDescent="0.3">
      <c r="A720" t="s">
        <v>898</v>
      </c>
      <c r="B720" s="4">
        <v>45417.684027777781</v>
      </c>
      <c r="C720" t="s">
        <v>267</v>
      </c>
      <c r="D720" t="s">
        <v>1148</v>
      </c>
      <c r="E720" t="s">
        <v>1217</v>
      </c>
      <c r="F720" t="str" cm="1">
        <f t="array" ref="F720">_xlfn.IFS(
E720="Ahmedabad","Gujarat",
E720="Bengaluru","Karnataka",
E720="Bhopal","Madhya Pradesh",
E720="Bhubaneswar","Odisha",
E720="Chandigarh","Chandigarh",
E720="Chennai","Tamil Nadu",
E720="Delhi","Delhi",
E720="Guwahati","Assam",
E720="Hyderabad","Telangana",
E720="Indore","Madhya Pradesh",
E720="Jaipur","Rajasthan",
E720="Kochi","Kerala",
E720="Kolkata","West Bengal",
E720="Lucknow","Uttar Pradesh",
E720="Mumbai","Maharashtra",
E720="Nagpur","Maharashtra",
E720="Patna","Bihar",
E720="Pune","Maharashtra",
E720="Raipur","Chhattisgarh",
E720="Surat","Gujarat",
TRUE,"Not Found"
)</f>
        <v>Delhi</v>
      </c>
      <c r="G720" t="s">
        <v>1143</v>
      </c>
      <c r="H720" t="s">
        <v>1167</v>
      </c>
      <c r="I720" t="s">
        <v>1211</v>
      </c>
      <c r="J720" t="s">
        <v>1279</v>
      </c>
      <c r="K720" t="s">
        <v>1280</v>
      </c>
      <c r="L720">
        <v>2</v>
      </c>
      <c r="M720">
        <v>35660</v>
      </c>
      <c r="N720">
        <v>0</v>
      </c>
      <c r="O720">
        <v>35660</v>
      </c>
      <c r="P720">
        <v>0.12</v>
      </c>
      <c r="Q720">
        <v>71320</v>
      </c>
      <c r="R720">
        <v>8558.4</v>
      </c>
      <c r="S720">
        <v>79878.399999999994</v>
      </c>
      <c r="T720">
        <f>ROUND(Table2[[#This Row],[TotalAmount]],0)</f>
        <v>79878</v>
      </c>
      <c r="U720" t="s">
        <v>1362</v>
      </c>
      <c r="V720" t="s">
        <v>1361</v>
      </c>
      <c r="W720" s="4">
        <v>45418</v>
      </c>
      <c r="X720" s="4">
        <v>45422</v>
      </c>
      <c r="Y720" t="b">
        <v>0</v>
      </c>
      <c r="Z720" t="s">
        <v>1412</v>
      </c>
      <c r="AA720" t="s">
        <v>1412</v>
      </c>
      <c r="AB720" t="s">
        <v>1412</v>
      </c>
      <c r="AC720" t="s">
        <v>1379</v>
      </c>
      <c r="AD720" t="s">
        <v>1377</v>
      </c>
      <c r="AE720" t="s">
        <v>1380</v>
      </c>
    </row>
    <row r="721" spans="1:31" x14ac:dyDescent="0.3">
      <c r="A721" t="s">
        <v>899</v>
      </c>
      <c r="B721" s="4">
        <v>45739.512499999997</v>
      </c>
      <c r="C721" t="s">
        <v>392</v>
      </c>
      <c r="D721" t="s">
        <v>1153</v>
      </c>
      <c r="E721" t="s">
        <v>1191</v>
      </c>
      <c r="F721" t="str" cm="1">
        <f t="array" ref="F721">_xlfn.IFS(
E721="Ahmedabad","Gujarat",
E721="Bengaluru","Karnataka",
E721="Bhopal","Madhya Pradesh",
E721="Bhubaneswar","Odisha",
E721="Chandigarh","Chandigarh",
E721="Chennai","Tamil Nadu",
E721="Delhi","Delhi",
E721="Guwahati","Assam",
E721="Hyderabad","Telangana",
E721="Indore","Madhya Pradesh",
E721="Jaipur","Rajasthan",
E721="Kochi","Kerala",
E721="Kolkata","West Bengal",
E721="Lucknow","Uttar Pradesh",
E721="Mumbai","Maharashtra",
E721="Nagpur","Maharashtra",
E721="Patna","Bihar",
E721="Pune","Maharashtra",
E721="Raipur","Chhattisgarh",
E721="Surat","Gujarat",
TRUE,"Not Found"
)</f>
        <v>Madhya Pradesh</v>
      </c>
      <c r="G721" t="s">
        <v>1143</v>
      </c>
      <c r="H721" t="s">
        <v>1172</v>
      </c>
      <c r="I721" t="s">
        <v>1229</v>
      </c>
      <c r="J721" t="s">
        <v>1295</v>
      </c>
      <c r="K721" t="s">
        <v>1296</v>
      </c>
      <c r="L721">
        <v>2</v>
      </c>
      <c r="M721">
        <v>7108</v>
      </c>
      <c r="N721">
        <v>0.1</v>
      </c>
      <c r="O721">
        <v>6397.2</v>
      </c>
      <c r="P721">
        <v>0.12</v>
      </c>
      <c r="Q721">
        <v>12794.4</v>
      </c>
      <c r="R721">
        <v>1535.328</v>
      </c>
      <c r="S721">
        <v>14329.727999999999</v>
      </c>
      <c r="T721">
        <f>ROUND(Table2[[#This Row],[TotalAmount]],0)</f>
        <v>14330</v>
      </c>
      <c r="U721" t="s">
        <v>1366</v>
      </c>
      <c r="V721" t="s">
        <v>1361</v>
      </c>
      <c r="W721" s="4">
        <v>45741</v>
      </c>
      <c r="X721" s="4">
        <v>45743</v>
      </c>
      <c r="Y721" t="b">
        <v>0</v>
      </c>
      <c r="Z721" t="s">
        <v>1412</v>
      </c>
      <c r="AA721" t="s">
        <v>1412</v>
      </c>
      <c r="AB721" t="s">
        <v>1412</v>
      </c>
      <c r="AC721" t="s">
        <v>1379</v>
      </c>
      <c r="AD721" t="s">
        <v>1385</v>
      </c>
      <c r="AE721" t="s">
        <v>1378</v>
      </c>
    </row>
    <row r="722" spans="1:31" x14ac:dyDescent="0.3">
      <c r="A722" t="s">
        <v>900</v>
      </c>
      <c r="B722" s="4">
        <v>45627.546527777777</v>
      </c>
      <c r="C722" t="s">
        <v>259</v>
      </c>
      <c r="D722" t="s">
        <v>1141</v>
      </c>
      <c r="E722" t="s">
        <v>1227</v>
      </c>
      <c r="F722" t="str" cm="1">
        <f t="array" ref="F722">_xlfn.IFS(
E722="Ahmedabad","Gujarat",
E722="Bengaluru","Karnataka",
E722="Bhopal","Madhya Pradesh",
E722="Bhubaneswar","Odisha",
E722="Chandigarh","Chandigarh",
E722="Chennai","Tamil Nadu",
E722="Delhi","Delhi",
E722="Guwahati","Assam",
E722="Hyderabad","Telangana",
E722="Indore","Madhya Pradesh",
E722="Jaipur","Rajasthan",
E722="Kochi","Kerala",
E722="Kolkata","West Bengal",
E722="Lucknow","Uttar Pradesh",
E722="Mumbai","Maharashtra",
E722="Nagpur","Maharashtra",
E722="Patna","Bihar",
E722="Pune","Maharashtra",
E722="Raipur","Chhattisgarh",
E722="Surat","Gujarat",
TRUE,"Not Found"
)</f>
        <v>Bihar</v>
      </c>
      <c r="G722" t="s">
        <v>1143</v>
      </c>
      <c r="H722" t="s">
        <v>1144</v>
      </c>
      <c r="I722" t="s">
        <v>1269</v>
      </c>
      <c r="J722" t="s">
        <v>1326</v>
      </c>
      <c r="K722" t="s">
        <v>1327</v>
      </c>
      <c r="L722">
        <v>1</v>
      </c>
      <c r="M722">
        <v>4631</v>
      </c>
      <c r="N722">
        <v>0</v>
      </c>
      <c r="O722">
        <v>4631</v>
      </c>
      <c r="P722">
        <v>0.05</v>
      </c>
      <c r="Q722">
        <v>4631</v>
      </c>
      <c r="R722">
        <v>231.55</v>
      </c>
      <c r="S722">
        <v>4862.55</v>
      </c>
      <c r="T722">
        <f>ROUND(Table2[[#This Row],[TotalAmount]],0)</f>
        <v>4863</v>
      </c>
      <c r="U722" t="s">
        <v>1366</v>
      </c>
      <c r="V722" t="s">
        <v>1361</v>
      </c>
      <c r="W722" s="4">
        <v>45627</v>
      </c>
      <c r="X722" s="4">
        <v>45628</v>
      </c>
      <c r="Y722" t="b">
        <v>0</v>
      </c>
      <c r="Z722" t="s">
        <v>1412</v>
      </c>
      <c r="AA722" t="s">
        <v>1412</v>
      </c>
      <c r="AB722" t="s">
        <v>1412</v>
      </c>
      <c r="AC722" t="s">
        <v>1398</v>
      </c>
      <c r="AD722" t="s">
        <v>1377</v>
      </c>
      <c r="AE722" t="s">
        <v>1378</v>
      </c>
    </row>
    <row r="723" spans="1:31" x14ac:dyDescent="0.3">
      <c r="A723" t="s">
        <v>901</v>
      </c>
      <c r="B723" s="4">
        <v>45680.573611111111</v>
      </c>
      <c r="C723" t="s">
        <v>378</v>
      </c>
      <c r="D723" t="s">
        <v>1157</v>
      </c>
      <c r="E723" t="s">
        <v>1158</v>
      </c>
      <c r="F723" t="str" cm="1">
        <f t="array" ref="F723">_xlfn.IFS(
E723="Ahmedabad","Gujarat",
E723="Bengaluru","Karnataka",
E723="Bhopal","Madhya Pradesh",
E723="Bhubaneswar","Odisha",
E723="Chandigarh","Chandigarh",
E723="Chennai","Tamil Nadu",
E723="Delhi","Delhi",
E723="Guwahati","Assam",
E723="Hyderabad","Telangana",
E723="Indore","Madhya Pradesh",
E723="Jaipur","Rajasthan",
E723="Kochi","Kerala",
E723="Kolkata","West Bengal",
E723="Lucknow","Uttar Pradesh",
E723="Mumbai","Maharashtra",
E723="Nagpur","Maharashtra",
E723="Patna","Bihar",
E723="Pune","Maharashtra",
E723="Raipur","Chhattisgarh",
E723="Surat","Gujarat",
TRUE,"Not Found"
)</f>
        <v>Gujarat</v>
      </c>
      <c r="G723" t="s">
        <v>1150</v>
      </c>
      <c r="H723" t="s">
        <v>1167</v>
      </c>
      <c r="I723" t="s">
        <v>1211</v>
      </c>
      <c r="J723" t="s">
        <v>1299</v>
      </c>
      <c r="K723" t="s">
        <v>1300</v>
      </c>
      <c r="L723">
        <v>1</v>
      </c>
      <c r="M723">
        <v>28248</v>
      </c>
      <c r="N723">
        <v>0</v>
      </c>
      <c r="O723">
        <v>28248</v>
      </c>
      <c r="P723">
        <v>0.18</v>
      </c>
      <c r="Q723">
        <v>28248</v>
      </c>
      <c r="R723">
        <v>5084.6399999999994</v>
      </c>
      <c r="S723">
        <v>33332.639999999999</v>
      </c>
      <c r="T723">
        <f>ROUND(Table2[[#This Row],[TotalAmount]],0)</f>
        <v>33333</v>
      </c>
      <c r="U723" t="s">
        <v>1366</v>
      </c>
      <c r="V723" t="s">
        <v>1361</v>
      </c>
      <c r="W723" s="4">
        <v>45682</v>
      </c>
      <c r="X723" s="4">
        <v>45686</v>
      </c>
      <c r="Y723" t="b">
        <v>0</v>
      </c>
      <c r="Z723" t="s">
        <v>1412</v>
      </c>
      <c r="AA723" t="s">
        <v>1412</v>
      </c>
      <c r="AB723" t="s">
        <v>1412</v>
      </c>
      <c r="AC723" t="s">
        <v>1388</v>
      </c>
      <c r="AD723" t="s">
        <v>1400</v>
      </c>
      <c r="AE723" t="s">
        <v>1393</v>
      </c>
    </row>
    <row r="724" spans="1:31" x14ac:dyDescent="0.3">
      <c r="A724" t="s">
        <v>902</v>
      </c>
      <c r="B724" s="4">
        <v>45337.427777777782</v>
      </c>
      <c r="C724" t="s">
        <v>339</v>
      </c>
      <c r="D724" t="s">
        <v>1157</v>
      </c>
      <c r="E724" t="s">
        <v>1249</v>
      </c>
      <c r="F724" t="str" cm="1">
        <f t="array" ref="F724">_xlfn.IFS(
E724="Ahmedabad","Gujarat",
E724="Bengaluru","Karnataka",
E724="Bhopal","Madhya Pradesh",
E724="Bhubaneswar","Odisha",
E724="Chandigarh","Chandigarh",
E724="Chennai","Tamil Nadu",
E724="Delhi","Delhi",
E724="Guwahati","Assam",
E724="Hyderabad","Telangana",
E724="Indore","Madhya Pradesh",
E724="Jaipur","Rajasthan",
E724="Kochi","Kerala",
E724="Kolkata","West Bengal",
E724="Lucknow","Uttar Pradesh",
E724="Mumbai","Maharashtra",
E724="Nagpur","Maharashtra",
E724="Patna","Bihar",
E724="Pune","Maharashtra",
E724="Raipur","Chhattisgarh",
E724="Surat","Gujarat",
TRUE,"Not Found"
)</f>
        <v>Maharashtra</v>
      </c>
      <c r="G724" t="s">
        <v>1187</v>
      </c>
      <c r="H724" t="s">
        <v>1167</v>
      </c>
      <c r="I724" t="s">
        <v>1211</v>
      </c>
      <c r="J724" t="s">
        <v>1212</v>
      </c>
      <c r="K724" t="s">
        <v>1213</v>
      </c>
      <c r="L724">
        <v>4</v>
      </c>
      <c r="M724">
        <v>22602</v>
      </c>
      <c r="N724">
        <v>0.05</v>
      </c>
      <c r="O724">
        <v>21471.9</v>
      </c>
      <c r="P724">
        <v>0.12</v>
      </c>
      <c r="Q724">
        <v>85887.599999999991</v>
      </c>
      <c r="R724">
        <v>10306.512000000001</v>
      </c>
      <c r="S724">
        <v>96194.111999999994</v>
      </c>
      <c r="T724">
        <f>ROUND(Table2[[#This Row],[TotalAmount]],0)</f>
        <v>96194</v>
      </c>
      <c r="U724" t="s">
        <v>1363</v>
      </c>
      <c r="V724" t="s">
        <v>1361</v>
      </c>
      <c r="W724" s="4">
        <v>45339</v>
      </c>
      <c r="X724" s="4">
        <v>45341</v>
      </c>
      <c r="Y724" t="b">
        <v>0</v>
      </c>
      <c r="Z724" t="s">
        <v>1412</v>
      </c>
      <c r="AA724" t="s">
        <v>1412</v>
      </c>
      <c r="AB724" t="s">
        <v>1412</v>
      </c>
      <c r="AC724" t="s">
        <v>1384</v>
      </c>
      <c r="AD724" t="s">
        <v>1377</v>
      </c>
      <c r="AE724" t="s">
        <v>1383</v>
      </c>
    </row>
    <row r="725" spans="1:31" x14ac:dyDescent="0.3">
      <c r="A725" t="s">
        <v>903</v>
      </c>
      <c r="B725" s="4">
        <v>45325.587500000001</v>
      </c>
      <c r="C725" t="s">
        <v>34</v>
      </c>
      <c r="D725" t="s">
        <v>1148</v>
      </c>
      <c r="E725" t="s">
        <v>1149</v>
      </c>
      <c r="F725" t="str" cm="1">
        <f t="array" ref="F725">_xlfn.IFS(
E725="Ahmedabad","Gujarat",
E725="Bengaluru","Karnataka",
E725="Bhopal","Madhya Pradesh",
E725="Bhubaneswar","Odisha",
E725="Chandigarh","Chandigarh",
E725="Chennai","Tamil Nadu",
E725="Delhi","Delhi",
E725="Guwahati","Assam",
E725="Hyderabad","Telangana",
E725="Indore","Madhya Pradesh",
E725="Jaipur","Rajasthan",
E725="Kochi","Kerala",
E725="Kolkata","West Bengal",
E725="Lucknow","Uttar Pradesh",
E725="Mumbai","Maharashtra",
E725="Nagpur","Maharashtra",
E725="Patna","Bihar",
E725="Pune","Maharashtra",
E725="Raipur","Chhattisgarh",
E725="Surat","Gujarat",
TRUE,"Not Found"
)</f>
        <v>Uttar Pradesh</v>
      </c>
      <c r="G725" t="s">
        <v>1228</v>
      </c>
      <c r="H725" t="s">
        <v>1163</v>
      </c>
      <c r="I725" t="s">
        <v>1184</v>
      </c>
      <c r="J725" t="s">
        <v>1185</v>
      </c>
      <c r="K725" t="s">
        <v>1186</v>
      </c>
      <c r="L725">
        <v>3</v>
      </c>
      <c r="M725">
        <v>342</v>
      </c>
      <c r="N725">
        <v>0.1</v>
      </c>
      <c r="O725">
        <v>307.8</v>
      </c>
      <c r="P725">
        <v>0.12</v>
      </c>
      <c r="Q725">
        <v>923.40000000000009</v>
      </c>
      <c r="R725">
        <v>110.80800000000001</v>
      </c>
      <c r="S725">
        <v>1034.2080000000001</v>
      </c>
      <c r="T725">
        <f>ROUND(Table2[[#This Row],[TotalAmount]],0)</f>
        <v>1034</v>
      </c>
      <c r="U725" t="s">
        <v>1363</v>
      </c>
      <c r="V725" t="s">
        <v>1361</v>
      </c>
      <c r="W725" s="4">
        <v>45325</v>
      </c>
      <c r="X725" s="4">
        <v>45327</v>
      </c>
      <c r="Y725" t="b">
        <v>0</v>
      </c>
      <c r="Z725" t="s">
        <v>1412</v>
      </c>
      <c r="AA725" t="s">
        <v>1412</v>
      </c>
      <c r="AB725" t="s">
        <v>1412</v>
      </c>
      <c r="AC725" t="s">
        <v>1388</v>
      </c>
      <c r="AD725" t="s">
        <v>1400</v>
      </c>
      <c r="AE725" t="s">
        <v>1395</v>
      </c>
    </row>
    <row r="726" spans="1:31" x14ac:dyDescent="0.3">
      <c r="A726" t="s">
        <v>904</v>
      </c>
      <c r="B726" s="4">
        <v>45454.479166666657</v>
      </c>
      <c r="C726" t="s">
        <v>26</v>
      </c>
      <c r="D726" t="s">
        <v>1153</v>
      </c>
      <c r="E726" t="s">
        <v>1191</v>
      </c>
      <c r="F726" t="str" cm="1">
        <f t="array" ref="F726">_xlfn.IFS(
E726="Ahmedabad","Gujarat",
E726="Bengaluru","Karnataka",
E726="Bhopal","Madhya Pradesh",
E726="Bhubaneswar","Odisha",
E726="Chandigarh","Chandigarh",
E726="Chennai","Tamil Nadu",
E726="Delhi","Delhi",
E726="Guwahati","Assam",
E726="Hyderabad","Telangana",
E726="Indore","Madhya Pradesh",
E726="Jaipur","Rajasthan",
E726="Kochi","Kerala",
E726="Kolkata","West Bengal",
E726="Lucknow","Uttar Pradesh",
E726="Mumbai","Maharashtra",
E726="Nagpur","Maharashtra",
E726="Patna","Bihar",
E726="Pune","Maharashtra",
E726="Raipur","Chhattisgarh",
E726="Surat","Gujarat",
TRUE,"Not Found"
)</f>
        <v>Madhya Pradesh</v>
      </c>
      <c r="G726" t="s">
        <v>1143</v>
      </c>
      <c r="H726" t="s">
        <v>1172</v>
      </c>
      <c r="I726" t="s">
        <v>1173</v>
      </c>
      <c r="J726" t="s">
        <v>1222</v>
      </c>
      <c r="K726" t="s">
        <v>1223</v>
      </c>
      <c r="L726">
        <v>2</v>
      </c>
      <c r="M726">
        <v>3930</v>
      </c>
      <c r="N726">
        <v>0.05</v>
      </c>
      <c r="O726">
        <v>3733.5</v>
      </c>
      <c r="P726">
        <v>0.18</v>
      </c>
      <c r="Q726">
        <v>7467</v>
      </c>
      <c r="R726">
        <v>1344.06</v>
      </c>
      <c r="S726">
        <v>8811.06</v>
      </c>
      <c r="T726">
        <f>ROUND(Table2[[#This Row],[TotalAmount]],0)</f>
        <v>8811</v>
      </c>
      <c r="U726" t="s">
        <v>1363</v>
      </c>
      <c r="V726" t="s">
        <v>1361</v>
      </c>
      <c r="W726" s="4">
        <v>45455</v>
      </c>
      <c r="X726" s="4">
        <v>45459</v>
      </c>
      <c r="Y726" t="b">
        <v>0</v>
      </c>
      <c r="Z726" t="s">
        <v>1412</v>
      </c>
      <c r="AA726" t="s">
        <v>1412</v>
      </c>
      <c r="AB726" t="s">
        <v>1412</v>
      </c>
      <c r="AC726" t="s">
        <v>1398</v>
      </c>
      <c r="AD726" t="s">
        <v>1399</v>
      </c>
      <c r="AE726" t="s">
        <v>1391</v>
      </c>
    </row>
    <row r="727" spans="1:31" x14ac:dyDescent="0.3">
      <c r="A727" t="s">
        <v>905</v>
      </c>
      <c r="B727" s="4">
        <v>45586.504861111112</v>
      </c>
      <c r="C727" t="s">
        <v>107</v>
      </c>
      <c r="D727" t="s">
        <v>1153</v>
      </c>
      <c r="E727" t="s">
        <v>1176</v>
      </c>
      <c r="F727" t="str" cm="1">
        <f t="array" ref="F727">_xlfn.IFS(
E727="Ahmedabad","Gujarat",
E727="Bengaluru","Karnataka",
E727="Bhopal","Madhya Pradesh",
E727="Bhubaneswar","Odisha",
E727="Chandigarh","Chandigarh",
E727="Chennai","Tamil Nadu",
E727="Delhi","Delhi",
E727="Guwahati","Assam",
E727="Hyderabad","Telangana",
E727="Indore","Madhya Pradesh",
E727="Jaipur","Rajasthan",
E727="Kochi","Kerala",
E727="Kolkata","West Bengal",
E727="Lucknow","Uttar Pradesh",
E727="Mumbai","Maharashtra",
E727="Nagpur","Maharashtra",
E727="Patna","Bihar",
E727="Pune","Maharashtra",
E727="Raipur","Chhattisgarh",
E727="Surat","Gujarat",
TRUE,"Not Found"
)</f>
        <v>Chhattisgarh</v>
      </c>
      <c r="G727" t="s">
        <v>1143</v>
      </c>
      <c r="H727" t="s">
        <v>1172</v>
      </c>
      <c r="I727" t="s">
        <v>1173</v>
      </c>
      <c r="J727" t="s">
        <v>1174</v>
      </c>
      <c r="K727" t="s">
        <v>1175</v>
      </c>
      <c r="L727">
        <v>2</v>
      </c>
      <c r="M727">
        <v>6017</v>
      </c>
      <c r="N727">
        <v>0.15</v>
      </c>
      <c r="O727">
        <v>5114.45</v>
      </c>
      <c r="P727">
        <v>0.12</v>
      </c>
      <c r="Q727">
        <v>10228.9</v>
      </c>
      <c r="R727">
        <v>1227.4680000000001</v>
      </c>
      <c r="S727">
        <v>11456.368</v>
      </c>
      <c r="T727">
        <f>ROUND(Table2[[#This Row],[TotalAmount]],0)</f>
        <v>11456</v>
      </c>
      <c r="U727" t="s">
        <v>1360</v>
      </c>
      <c r="V727" t="s">
        <v>1367</v>
      </c>
      <c r="W727" s="4">
        <v>45588</v>
      </c>
      <c r="X727" s="4" t="s">
        <v>1412</v>
      </c>
      <c r="Y727" t="b">
        <v>0</v>
      </c>
      <c r="Z727" t="s">
        <v>1412</v>
      </c>
      <c r="AA727" t="s">
        <v>1412</v>
      </c>
      <c r="AB727" t="s">
        <v>1412</v>
      </c>
      <c r="AC727" t="s">
        <v>1388</v>
      </c>
      <c r="AD727" t="s">
        <v>1387</v>
      </c>
      <c r="AE727" t="s">
        <v>1389</v>
      </c>
    </row>
    <row r="728" spans="1:31" x14ac:dyDescent="0.3">
      <c r="A728" t="s">
        <v>906</v>
      </c>
      <c r="B728" s="4">
        <v>45651.6</v>
      </c>
      <c r="C728" t="s">
        <v>26</v>
      </c>
      <c r="D728" t="s">
        <v>1153</v>
      </c>
      <c r="E728" t="s">
        <v>1191</v>
      </c>
      <c r="F728" t="str" cm="1">
        <f t="array" ref="F728">_xlfn.IFS(
E728="Ahmedabad","Gujarat",
E728="Bengaluru","Karnataka",
E728="Bhopal","Madhya Pradesh",
E728="Bhubaneswar","Odisha",
E728="Chandigarh","Chandigarh",
E728="Chennai","Tamil Nadu",
E728="Delhi","Delhi",
E728="Guwahati","Assam",
E728="Hyderabad","Telangana",
E728="Indore","Madhya Pradesh",
E728="Jaipur","Rajasthan",
E728="Kochi","Kerala",
E728="Kolkata","West Bengal",
E728="Lucknow","Uttar Pradesh",
E728="Mumbai","Maharashtra",
E728="Nagpur","Maharashtra",
E728="Patna","Bihar",
E728="Pune","Maharashtra",
E728="Raipur","Chhattisgarh",
E728="Surat","Gujarat",
TRUE,"Not Found"
)</f>
        <v>Madhya Pradesh</v>
      </c>
      <c r="G728" t="s">
        <v>1150</v>
      </c>
      <c r="H728" t="s">
        <v>1167</v>
      </c>
      <c r="I728" t="s">
        <v>1211</v>
      </c>
      <c r="J728" t="s">
        <v>1212</v>
      </c>
      <c r="K728" t="s">
        <v>1213</v>
      </c>
      <c r="L728">
        <v>2</v>
      </c>
      <c r="M728">
        <v>23397</v>
      </c>
      <c r="N728">
        <v>0</v>
      </c>
      <c r="O728">
        <v>23397</v>
      </c>
      <c r="P728">
        <v>0.12</v>
      </c>
      <c r="Q728">
        <v>46794</v>
      </c>
      <c r="R728">
        <v>5615.28</v>
      </c>
      <c r="S728">
        <v>52409.279999999999</v>
      </c>
      <c r="T728">
        <f>ROUND(Table2[[#This Row],[TotalAmount]],0)</f>
        <v>52409</v>
      </c>
      <c r="U728" t="s">
        <v>1362</v>
      </c>
      <c r="V728" t="s">
        <v>1361</v>
      </c>
      <c r="W728" s="4">
        <v>45653</v>
      </c>
      <c r="X728" s="4">
        <v>45657</v>
      </c>
      <c r="Y728" t="b">
        <v>0</v>
      </c>
      <c r="Z728" t="s">
        <v>1412</v>
      </c>
      <c r="AA728" t="s">
        <v>1412</v>
      </c>
      <c r="AB728" t="s">
        <v>1412</v>
      </c>
      <c r="AC728" t="s">
        <v>1386</v>
      </c>
      <c r="AD728" t="s">
        <v>1377</v>
      </c>
      <c r="AE728" t="s">
        <v>1391</v>
      </c>
    </row>
    <row r="729" spans="1:31" x14ac:dyDescent="0.3">
      <c r="A729" t="s">
        <v>907</v>
      </c>
      <c r="B729" s="4">
        <v>45449.486111111109</v>
      </c>
      <c r="C729" t="s">
        <v>320</v>
      </c>
      <c r="D729" t="s">
        <v>1153</v>
      </c>
      <c r="E729" t="s">
        <v>1162</v>
      </c>
      <c r="F729" t="str" cm="1">
        <f t="array" ref="F729">_xlfn.IFS(
E729="Ahmedabad","Gujarat",
E729="Bengaluru","Karnataka",
E729="Bhopal","Madhya Pradesh",
E729="Bhubaneswar","Odisha",
E729="Chandigarh","Chandigarh",
E729="Chennai","Tamil Nadu",
E729="Delhi","Delhi",
E729="Guwahati","Assam",
E729="Hyderabad","Telangana",
E729="Indore","Madhya Pradesh",
E729="Jaipur","Rajasthan",
E729="Kochi","Kerala",
E729="Kolkata","West Bengal",
E729="Lucknow","Uttar Pradesh",
E729="Mumbai","Maharashtra",
E729="Nagpur","Maharashtra",
E729="Patna","Bihar",
E729="Pune","Maharashtra",
E729="Raipur","Chhattisgarh",
E729="Surat","Gujarat",
TRUE,"Not Found"
)</f>
        <v>Madhya Pradesh</v>
      </c>
      <c r="G729" t="s">
        <v>1187</v>
      </c>
      <c r="H729" t="s">
        <v>1144</v>
      </c>
      <c r="I729" t="s">
        <v>1276</v>
      </c>
      <c r="J729" t="s">
        <v>1286</v>
      </c>
      <c r="K729" t="s">
        <v>1287</v>
      </c>
      <c r="L729">
        <v>1</v>
      </c>
      <c r="M729">
        <v>6978</v>
      </c>
      <c r="N729">
        <v>0.1</v>
      </c>
      <c r="O729">
        <v>6280.2</v>
      </c>
      <c r="P729">
        <v>0.12</v>
      </c>
      <c r="Q729">
        <v>6280.2</v>
      </c>
      <c r="R729">
        <v>753.62399999999991</v>
      </c>
      <c r="S729">
        <v>7033.8239999999996</v>
      </c>
      <c r="T729">
        <f>ROUND(Table2[[#This Row],[TotalAmount]],0)</f>
        <v>7034</v>
      </c>
      <c r="U729" t="s">
        <v>1362</v>
      </c>
      <c r="V729" t="s">
        <v>1361</v>
      </c>
      <c r="W729" s="4">
        <v>45449</v>
      </c>
      <c r="X729" s="4">
        <v>45453</v>
      </c>
      <c r="Y729" t="b">
        <v>0</v>
      </c>
      <c r="Z729" t="s">
        <v>1412</v>
      </c>
      <c r="AA729" t="s">
        <v>1412</v>
      </c>
      <c r="AB729" t="s">
        <v>1412</v>
      </c>
      <c r="AC729" t="s">
        <v>1388</v>
      </c>
      <c r="AD729" t="s">
        <v>1377</v>
      </c>
      <c r="AE729" t="s">
        <v>1380</v>
      </c>
    </row>
    <row r="730" spans="1:31" x14ac:dyDescent="0.3">
      <c r="A730" t="s">
        <v>908</v>
      </c>
      <c r="B730" s="4">
        <v>45622.49722222222</v>
      </c>
      <c r="C730" t="s">
        <v>139</v>
      </c>
      <c r="D730" t="s">
        <v>1148</v>
      </c>
      <c r="E730" t="s">
        <v>1262</v>
      </c>
      <c r="F730" t="str" cm="1">
        <f t="array" ref="F730">_xlfn.IFS(
E730="Ahmedabad","Gujarat",
E730="Bengaluru","Karnataka",
E730="Bhopal","Madhya Pradesh",
E730="Bhubaneswar","Odisha",
E730="Chandigarh","Chandigarh",
E730="Chennai","Tamil Nadu",
E730="Delhi","Delhi",
E730="Guwahati","Assam",
E730="Hyderabad","Telangana",
E730="Indore","Madhya Pradesh",
E730="Jaipur","Rajasthan",
E730="Kochi","Kerala",
E730="Kolkata","West Bengal",
E730="Lucknow","Uttar Pradesh",
E730="Mumbai","Maharashtra",
E730="Nagpur","Maharashtra",
E730="Patna","Bihar",
E730="Pune","Maharashtra",
E730="Raipur","Chhattisgarh",
E730="Surat","Gujarat",
TRUE,"Not Found"
)</f>
        <v>Rajasthan</v>
      </c>
      <c r="G730" t="s">
        <v>1150</v>
      </c>
      <c r="H730" t="s">
        <v>1167</v>
      </c>
      <c r="I730" t="s">
        <v>1211</v>
      </c>
      <c r="J730" t="s">
        <v>1299</v>
      </c>
      <c r="K730" t="s">
        <v>1300</v>
      </c>
      <c r="L730">
        <v>3</v>
      </c>
      <c r="M730">
        <v>45818</v>
      </c>
      <c r="N730">
        <v>0</v>
      </c>
      <c r="O730">
        <v>45818</v>
      </c>
      <c r="P730">
        <v>0.12</v>
      </c>
      <c r="Q730">
        <v>137454</v>
      </c>
      <c r="R730">
        <v>16494.48</v>
      </c>
      <c r="S730">
        <v>153948.48000000001</v>
      </c>
      <c r="T730">
        <f>ROUND(Table2[[#This Row],[TotalAmount]],0)</f>
        <v>153948</v>
      </c>
      <c r="U730" t="s">
        <v>1360</v>
      </c>
      <c r="V730" t="s">
        <v>1361</v>
      </c>
      <c r="W730" s="4">
        <v>45623</v>
      </c>
      <c r="X730" s="4">
        <v>45628</v>
      </c>
      <c r="Y730" t="b">
        <v>0</v>
      </c>
      <c r="Z730" t="s">
        <v>1412</v>
      </c>
      <c r="AA730" t="s">
        <v>1412</v>
      </c>
      <c r="AB730" t="s">
        <v>1412</v>
      </c>
      <c r="AC730" t="s">
        <v>1392</v>
      </c>
      <c r="AD730" t="s">
        <v>1377</v>
      </c>
      <c r="AE730" t="s">
        <v>1383</v>
      </c>
    </row>
    <row r="731" spans="1:31" x14ac:dyDescent="0.3">
      <c r="A731" t="s">
        <v>909</v>
      </c>
      <c r="B731" s="4">
        <v>45666.444444444453</v>
      </c>
      <c r="C731" t="s">
        <v>124</v>
      </c>
      <c r="D731" t="s">
        <v>1153</v>
      </c>
      <c r="E731" t="s">
        <v>1191</v>
      </c>
      <c r="F731" t="str" cm="1">
        <f t="array" ref="F731">_xlfn.IFS(
E731="Ahmedabad","Gujarat",
E731="Bengaluru","Karnataka",
E731="Bhopal","Madhya Pradesh",
E731="Bhubaneswar","Odisha",
E731="Chandigarh","Chandigarh",
E731="Chennai","Tamil Nadu",
E731="Delhi","Delhi",
E731="Guwahati","Assam",
E731="Hyderabad","Telangana",
E731="Indore","Madhya Pradesh",
E731="Jaipur","Rajasthan",
E731="Kochi","Kerala",
E731="Kolkata","West Bengal",
E731="Lucknow","Uttar Pradesh",
E731="Mumbai","Maharashtra",
E731="Nagpur","Maharashtra",
E731="Patna","Bihar",
E731="Pune","Maharashtra",
E731="Raipur","Chhattisgarh",
E731="Surat","Gujarat",
TRUE,"Not Found"
)</f>
        <v>Madhya Pradesh</v>
      </c>
      <c r="G731" t="s">
        <v>1143</v>
      </c>
      <c r="H731" t="s">
        <v>1163</v>
      </c>
      <c r="I731" t="s">
        <v>1240</v>
      </c>
      <c r="J731" t="s">
        <v>1241</v>
      </c>
      <c r="K731" t="s">
        <v>1242</v>
      </c>
      <c r="L731">
        <v>2</v>
      </c>
      <c r="M731">
        <v>1022</v>
      </c>
      <c r="N731">
        <v>0</v>
      </c>
      <c r="O731">
        <v>1022</v>
      </c>
      <c r="P731">
        <v>0.12</v>
      </c>
      <c r="Q731">
        <v>2044</v>
      </c>
      <c r="R731">
        <v>245.28</v>
      </c>
      <c r="S731">
        <v>2289.2800000000002</v>
      </c>
      <c r="T731">
        <f>ROUND(Table2[[#This Row],[TotalAmount]],0)</f>
        <v>2289</v>
      </c>
      <c r="U731" t="s">
        <v>1360</v>
      </c>
      <c r="V731" t="s">
        <v>1367</v>
      </c>
      <c r="W731" s="4">
        <v>45666</v>
      </c>
      <c r="X731" s="4" t="s">
        <v>1412</v>
      </c>
      <c r="Y731" t="b">
        <v>0</v>
      </c>
      <c r="Z731" t="s">
        <v>1412</v>
      </c>
      <c r="AA731" t="s">
        <v>1412</v>
      </c>
      <c r="AB731" t="s">
        <v>1412</v>
      </c>
      <c r="AC731" t="s">
        <v>1376</v>
      </c>
      <c r="AD731" t="s">
        <v>1387</v>
      </c>
      <c r="AE731" t="s">
        <v>1380</v>
      </c>
    </row>
    <row r="732" spans="1:31" x14ac:dyDescent="0.3">
      <c r="A732" t="s">
        <v>910</v>
      </c>
      <c r="B732" s="4">
        <v>45297.665972222218</v>
      </c>
      <c r="C732" t="s">
        <v>699</v>
      </c>
      <c r="D732" t="s">
        <v>1148</v>
      </c>
      <c r="E732" t="s">
        <v>1149</v>
      </c>
      <c r="F732" t="str" cm="1">
        <f t="array" ref="F732">_xlfn.IFS(
E732="Ahmedabad","Gujarat",
E732="Bengaluru","Karnataka",
E732="Bhopal","Madhya Pradesh",
E732="Bhubaneswar","Odisha",
E732="Chandigarh","Chandigarh",
E732="Chennai","Tamil Nadu",
E732="Delhi","Delhi",
E732="Guwahati","Assam",
E732="Hyderabad","Telangana",
E732="Indore","Madhya Pradesh",
E732="Jaipur","Rajasthan",
E732="Kochi","Kerala",
E732="Kolkata","West Bengal",
E732="Lucknow","Uttar Pradesh",
E732="Mumbai","Maharashtra",
E732="Nagpur","Maharashtra",
E732="Patna","Bihar",
E732="Pune","Maharashtra",
E732="Raipur","Chhattisgarh",
E732="Surat","Gujarat",
TRUE,"Not Found"
)</f>
        <v>Uttar Pradesh</v>
      </c>
      <c r="G732" t="s">
        <v>1143</v>
      </c>
      <c r="H732" t="s">
        <v>1172</v>
      </c>
      <c r="I732" t="s">
        <v>1198</v>
      </c>
      <c r="J732" t="s">
        <v>1303</v>
      </c>
      <c r="K732" t="s">
        <v>1304</v>
      </c>
      <c r="L732">
        <v>1</v>
      </c>
      <c r="M732">
        <v>4784</v>
      </c>
      <c r="N732">
        <v>0.15</v>
      </c>
      <c r="O732">
        <v>4066.4</v>
      </c>
      <c r="P732">
        <v>0.18</v>
      </c>
      <c r="Q732">
        <v>4066.4</v>
      </c>
      <c r="R732">
        <v>731.952</v>
      </c>
      <c r="S732">
        <v>4798.3519999999999</v>
      </c>
      <c r="T732">
        <f>ROUND(Table2[[#This Row],[TotalAmount]],0)</f>
        <v>4798</v>
      </c>
      <c r="U732" t="s">
        <v>1363</v>
      </c>
      <c r="V732" t="s">
        <v>1361</v>
      </c>
      <c r="W732" s="4">
        <v>45298</v>
      </c>
      <c r="X732" s="4">
        <v>45301</v>
      </c>
      <c r="Y732" t="b">
        <v>0</v>
      </c>
      <c r="Z732" t="s">
        <v>1412</v>
      </c>
      <c r="AA732" t="s">
        <v>1412</v>
      </c>
      <c r="AB732" t="s">
        <v>1412</v>
      </c>
      <c r="AC732" t="s">
        <v>1388</v>
      </c>
      <c r="AD732" t="s">
        <v>1394</v>
      </c>
      <c r="AE732" t="s">
        <v>1393</v>
      </c>
    </row>
    <row r="733" spans="1:31" x14ac:dyDescent="0.3">
      <c r="A733" t="s">
        <v>911</v>
      </c>
      <c r="B733" s="4">
        <v>45404.452777777777</v>
      </c>
      <c r="C733" t="s">
        <v>91</v>
      </c>
      <c r="D733" t="s">
        <v>1182</v>
      </c>
      <c r="E733" t="s">
        <v>1207</v>
      </c>
      <c r="F733" t="str" cm="1">
        <f t="array" ref="F733">_xlfn.IFS(
E733="Ahmedabad","Gujarat",
E733="Bengaluru","Karnataka",
E733="Bhopal","Madhya Pradesh",
E733="Bhubaneswar","Odisha",
E733="Chandigarh","Chandigarh",
E733="Chennai","Tamil Nadu",
E733="Delhi","Delhi",
E733="Guwahati","Assam",
E733="Hyderabad","Telangana",
E733="Indore","Madhya Pradesh",
E733="Jaipur","Rajasthan",
E733="Kochi","Kerala",
E733="Kolkata","West Bengal",
E733="Lucknow","Uttar Pradesh",
E733="Mumbai","Maharashtra",
E733="Nagpur","Maharashtra",
E733="Patna","Bihar",
E733="Pune","Maharashtra",
E733="Raipur","Chhattisgarh",
E733="Surat","Gujarat",
TRUE,"Not Found"
)</f>
        <v>Tamil Nadu</v>
      </c>
      <c r="G733" t="s">
        <v>1143</v>
      </c>
      <c r="H733" t="s">
        <v>1163</v>
      </c>
      <c r="I733" t="s">
        <v>1164</v>
      </c>
      <c r="J733" t="s">
        <v>1324</v>
      </c>
      <c r="K733" t="s">
        <v>1325</v>
      </c>
      <c r="L733">
        <v>3</v>
      </c>
      <c r="M733">
        <v>896</v>
      </c>
      <c r="N733">
        <v>0.1</v>
      </c>
      <c r="O733">
        <v>806.4</v>
      </c>
      <c r="P733">
        <v>0.18</v>
      </c>
      <c r="Q733">
        <v>2419.1999999999998</v>
      </c>
      <c r="R733">
        <v>435.45600000000002</v>
      </c>
      <c r="S733">
        <v>2854.6559999999999</v>
      </c>
      <c r="T733">
        <f>ROUND(Table2[[#This Row],[TotalAmount]],0)</f>
        <v>2855</v>
      </c>
      <c r="U733" t="s">
        <v>1360</v>
      </c>
      <c r="V733" t="s">
        <v>1361</v>
      </c>
      <c r="W733" s="4">
        <v>45406</v>
      </c>
      <c r="X733" s="4">
        <v>45408</v>
      </c>
      <c r="Y733" t="b">
        <v>0</v>
      </c>
      <c r="Z733" t="s">
        <v>1412</v>
      </c>
      <c r="AA733" t="s">
        <v>1412</v>
      </c>
      <c r="AB733" t="s">
        <v>1412</v>
      </c>
      <c r="AC733" t="s">
        <v>1398</v>
      </c>
      <c r="AD733" t="s">
        <v>1394</v>
      </c>
      <c r="AE733" t="s">
        <v>1395</v>
      </c>
    </row>
    <row r="734" spans="1:31" x14ac:dyDescent="0.3">
      <c r="A734" t="s">
        <v>912</v>
      </c>
      <c r="B734" s="4">
        <v>45435.495138888888</v>
      </c>
      <c r="C734" t="s">
        <v>247</v>
      </c>
      <c r="D734" t="s">
        <v>1141</v>
      </c>
      <c r="E734" t="s">
        <v>1227</v>
      </c>
      <c r="F734" t="str" cm="1">
        <f t="array" ref="F734">_xlfn.IFS(
E734="Ahmedabad","Gujarat",
E734="Bengaluru","Karnataka",
E734="Bhopal","Madhya Pradesh",
E734="Bhubaneswar","Odisha",
E734="Chandigarh","Chandigarh",
E734="Chennai","Tamil Nadu",
E734="Delhi","Delhi",
E734="Guwahati","Assam",
E734="Hyderabad","Telangana",
E734="Indore","Madhya Pradesh",
E734="Jaipur","Rajasthan",
E734="Kochi","Kerala",
E734="Kolkata","West Bengal",
E734="Lucknow","Uttar Pradesh",
E734="Mumbai","Maharashtra",
E734="Nagpur","Maharashtra",
E734="Patna","Bihar",
E734="Pune","Maharashtra",
E734="Raipur","Chhattisgarh",
E734="Surat","Gujarat",
TRUE,"Not Found"
)</f>
        <v>Bihar</v>
      </c>
      <c r="G734" t="s">
        <v>1228</v>
      </c>
      <c r="H734" t="s">
        <v>1167</v>
      </c>
      <c r="I734" t="s">
        <v>1288</v>
      </c>
      <c r="J734" t="s">
        <v>1293</v>
      </c>
      <c r="K734" t="s">
        <v>1294</v>
      </c>
      <c r="L734">
        <v>4</v>
      </c>
      <c r="M734">
        <v>5995</v>
      </c>
      <c r="N734">
        <v>0</v>
      </c>
      <c r="O734">
        <v>5995</v>
      </c>
      <c r="P734">
        <v>0.12</v>
      </c>
      <c r="Q734">
        <v>23980</v>
      </c>
      <c r="R734">
        <v>2877.6</v>
      </c>
      <c r="S734">
        <v>26857.599999999999</v>
      </c>
      <c r="T734">
        <f>ROUND(Table2[[#This Row],[TotalAmount]],0)</f>
        <v>26858</v>
      </c>
      <c r="U734" t="s">
        <v>1365</v>
      </c>
      <c r="V734" t="s">
        <v>1361</v>
      </c>
      <c r="W734" s="4">
        <v>45436</v>
      </c>
      <c r="X734" s="4">
        <v>45437</v>
      </c>
      <c r="Y734" t="b">
        <v>0</v>
      </c>
      <c r="Z734" t="s">
        <v>1412</v>
      </c>
      <c r="AA734" t="s">
        <v>1412</v>
      </c>
      <c r="AB734" t="s">
        <v>1412</v>
      </c>
      <c r="AC734" t="s">
        <v>1384</v>
      </c>
      <c r="AD734" t="s">
        <v>1394</v>
      </c>
      <c r="AE734" t="s">
        <v>1393</v>
      </c>
    </row>
    <row r="735" spans="1:31" x14ac:dyDescent="0.3">
      <c r="A735" t="s">
        <v>913</v>
      </c>
      <c r="B735" s="4">
        <v>45410.452777777777</v>
      </c>
      <c r="C735" t="s">
        <v>251</v>
      </c>
      <c r="D735" t="s">
        <v>1148</v>
      </c>
      <c r="E735" t="s">
        <v>1171</v>
      </c>
      <c r="F735" t="str" cm="1">
        <f t="array" ref="F735">_xlfn.IFS(
E735="Ahmedabad","Gujarat",
E735="Bengaluru","Karnataka",
E735="Bhopal","Madhya Pradesh",
E735="Bhubaneswar","Odisha",
E735="Chandigarh","Chandigarh",
E735="Chennai","Tamil Nadu",
E735="Delhi","Delhi",
E735="Guwahati","Assam",
E735="Hyderabad","Telangana",
E735="Indore","Madhya Pradesh",
E735="Jaipur","Rajasthan",
E735="Kochi","Kerala",
E735="Kolkata","West Bengal",
E735="Lucknow","Uttar Pradesh",
E735="Mumbai","Maharashtra",
E735="Nagpur","Maharashtra",
E735="Patna","Bihar",
E735="Pune","Maharashtra",
E735="Raipur","Chhattisgarh",
E735="Surat","Gujarat",
TRUE,"Not Found"
)</f>
        <v>Chandigarh</v>
      </c>
      <c r="G735" t="s">
        <v>1143</v>
      </c>
      <c r="H735" t="s">
        <v>1167</v>
      </c>
      <c r="I735" t="s">
        <v>1211</v>
      </c>
      <c r="J735" t="s">
        <v>1299</v>
      </c>
      <c r="K735" t="s">
        <v>1300</v>
      </c>
      <c r="L735">
        <v>2</v>
      </c>
      <c r="M735">
        <v>52239</v>
      </c>
      <c r="N735">
        <v>0</v>
      </c>
      <c r="O735">
        <v>52239</v>
      </c>
      <c r="P735">
        <v>0.12</v>
      </c>
      <c r="Q735">
        <v>104478</v>
      </c>
      <c r="R735">
        <v>12537.36</v>
      </c>
      <c r="S735">
        <v>117015.36</v>
      </c>
      <c r="T735">
        <f>ROUND(Table2[[#This Row],[TotalAmount]],0)</f>
        <v>117015</v>
      </c>
      <c r="U735" t="s">
        <v>1365</v>
      </c>
      <c r="V735" t="s">
        <v>1364</v>
      </c>
      <c r="W735" s="4">
        <v>45411</v>
      </c>
      <c r="X735" s="4" t="s">
        <v>1412</v>
      </c>
      <c r="Y735" t="b">
        <v>1</v>
      </c>
      <c r="Z735" s="1">
        <v>45428</v>
      </c>
      <c r="AA735" s="1">
        <v>45428</v>
      </c>
      <c r="AB735" t="s">
        <v>1404</v>
      </c>
      <c r="AC735" t="s">
        <v>1386</v>
      </c>
      <c r="AD735" t="s">
        <v>1387</v>
      </c>
      <c r="AE735" t="s">
        <v>1380</v>
      </c>
    </row>
    <row r="736" spans="1:31" x14ac:dyDescent="0.3">
      <c r="A736" t="s">
        <v>914</v>
      </c>
      <c r="B736" s="4">
        <v>45736.496527777781</v>
      </c>
      <c r="C736" t="s">
        <v>77</v>
      </c>
      <c r="D736" t="s">
        <v>1182</v>
      </c>
      <c r="E736" t="s">
        <v>1256</v>
      </c>
      <c r="F736" t="str" cm="1">
        <f t="array" ref="F736">_xlfn.IFS(
E736="Ahmedabad","Gujarat",
E736="Bengaluru","Karnataka",
E736="Bhopal","Madhya Pradesh",
E736="Bhubaneswar","Odisha",
E736="Chandigarh","Chandigarh",
E736="Chennai","Tamil Nadu",
E736="Delhi","Delhi",
E736="Guwahati","Assam",
E736="Hyderabad","Telangana",
E736="Indore","Madhya Pradesh",
E736="Jaipur","Rajasthan",
E736="Kochi","Kerala",
E736="Kolkata","West Bengal",
E736="Lucknow","Uttar Pradesh",
E736="Mumbai","Maharashtra",
E736="Nagpur","Maharashtra",
E736="Patna","Bihar",
E736="Pune","Maharashtra",
E736="Raipur","Chhattisgarh",
E736="Surat","Gujarat",
TRUE,"Not Found"
)</f>
        <v>Karnataka</v>
      </c>
      <c r="G736" t="s">
        <v>1143</v>
      </c>
      <c r="H736" t="s">
        <v>1167</v>
      </c>
      <c r="I736" t="s">
        <v>1208</v>
      </c>
      <c r="J736" t="s">
        <v>1322</v>
      </c>
      <c r="K736" t="s">
        <v>1323</v>
      </c>
      <c r="L736">
        <v>1</v>
      </c>
      <c r="M736">
        <v>34243</v>
      </c>
      <c r="N736">
        <v>0</v>
      </c>
      <c r="O736">
        <v>34243</v>
      </c>
      <c r="P736">
        <v>0.18</v>
      </c>
      <c r="Q736">
        <v>34243</v>
      </c>
      <c r="R736">
        <v>6163.74</v>
      </c>
      <c r="S736">
        <v>40406.74</v>
      </c>
      <c r="T736">
        <f>ROUND(Table2[[#This Row],[TotalAmount]],0)</f>
        <v>40407</v>
      </c>
      <c r="U736" t="s">
        <v>1360</v>
      </c>
      <c r="V736" t="s">
        <v>1361</v>
      </c>
      <c r="W736" s="4">
        <v>45738</v>
      </c>
      <c r="X736" s="4">
        <v>45743</v>
      </c>
      <c r="Y736" t="b">
        <v>0</v>
      </c>
      <c r="Z736" t="s">
        <v>1412</v>
      </c>
      <c r="AA736" t="s">
        <v>1412</v>
      </c>
      <c r="AB736" t="s">
        <v>1412</v>
      </c>
      <c r="AC736" t="s">
        <v>1384</v>
      </c>
      <c r="AD736" t="s">
        <v>1377</v>
      </c>
      <c r="AE736" t="s">
        <v>1391</v>
      </c>
    </row>
    <row r="737" spans="1:31" x14ac:dyDescent="0.3">
      <c r="A737" t="s">
        <v>915</v>
      </c>
      <c r="B737" s="4">
        <v>45450.614583333343</v>
      </c>
      <c r="C737" t="s">
        <v>191</v>
      </c>
      <c r="D737" t="s">
        <v>1153</v>
      </c>
      <c r="E737" t="s">
        <v>1154</v>
      </c>
      <c r="F737" t="str" cm="1">
        <f t="array" ref="F737">_xlfn.IFS(
E737="Ahmedabad","Gujarat",
E737="Bengaluru","Karnataka",
E737="Bhopal","Madhya Pradesh",
E737="Bhubaneswar","Odisha",
E737="Chandigarh","Chandigarh",
E737="Chennai","Tamil Nadu",
E737="Delhi","Delhi",
E737="Guwahati","Assam",
E737="Hyderabad","Telangana",
E737="Indore","Madhya Pradesh",
E737="Jaipur","Rajasthan",
E737="Kochi","Kerala",
E737="Kolkata","West Bengal",
E737="Lucknow","Uttar Pradesh",
E737="Mumbai","Maharashtra",
E737="Nagpur","Maharashtra",
E737="Patna","Bihar",
E737="Pune","Maharashtra",
E737="Raipur","Chhattisgarh",
E737="Surat","Gujarat",
TRUE,"Not Found"
)</f>
        <v>Maharashtra</v>
      </c>
      <c r="G737" t="s">
        <v>1228</v>
      </c>
      <c r="H737" t="s">
        <v>1144</v>
      </c>
      <c r="I737" t="s">
        <v>1214</v>
      </c>
      <c r="J737" t="s">
        <v>1215</v>
      </c>
      <c r="K737" t="s">
        <v>1216</v>
      </c>
      <c r="L737">
        <v>1</v>
      </c>
      <c r="M737">
        <v>14152</v>
      </c>
      <c r="N737">
        <v>0</v>
      </c>
      <c r="O737">
        <v>14152</v>
      </c>
      <c r="P737">
        <v>0.12</v>
      </c>
      <c r="Q737">
        <v>14152</v>
      </c>
      <c r="R737">
        <v>1698.24</v>
      </c>
      <c r="S737">
        <v>15850.24</v>
      </c>
      <c r="T737">
        <f>ROUND(Table2[[#This Row],[TotalAmount]],0)</f>
        <v>15850</v>
      </c>
      <c r="U737" t="s">
        <v>1362</v>
      </c>
      <c r="V737" t="s">
        <v>1368</v>
      </c>
      <c r="W737" s="4">
        <v>45452</v>
      </c>
      <c r="X737" s="4" t="s">
        <v>1412</v>
      </c>
      <c r="Y737" t="b">
        <v>0</v>
      </c>
      <c r="Z737" t="s">
        <v>1412</v>
      </c>
      <c r="AA737" t="s">
        <v>1412</v>
      </c>
      <c r="AB737" t="s">
        <v>1412</v>
      </c>
      <c r="AC737" t="s">
        <v>1392</v>
      </c>
      <c r="AD737" t="s">
        <v>1399</v>
      </c>
      <c r="AE737" t="s">
        <v>1395</v>
      </c>
    </row>
    <row r="738" spans="1:31" x14ac:dyDescent="0.3">
      <c r="A738" t="s">
        <v>916</v>
      </c>
      <c r="B738" s="4">
        <v>45669.556250000001</v>
      </c>
      <c r="C738" t="s">
        <v>171</v>
      </c>
      <c r="D738" t="s">
        <v>1182</v>
      </c>
      <c r="E738" t="s">
        <v>1207</v>
      </c>
      <c r="F738" t="str" cm="1">
        <f t="array" ref="F738">_xlfn.IFS(
E738="Ahmedabad","Gujarat",
E738="Bengaluru","Karnataka",
E738="Bhopal","Madhya Pradesh",
E738="Bhubaneswar","Odisha",
E738="Chandigarh","Chandigarh",
E738="Chennai","Tamil Nadu",
E738="Delhi","Delhi",
E738="Guwahati","Assam",
E738="Hyderabad","Telangana",
E738="Indore","Madhya Pradesh",
E738="Jaipur","Rajasthan",
E738="Kochi","Kerala",
E738="Kolkata","West Bengal",
E738="Lucknow","Uttar Pradesh",
E738="Mumbai","Maharashtra",
E738="Nagpur","Maharashtra",
E738="Patna","Bihar",
E738="Pune","Maharashtra",
E738="Raipur","Chhattisgarh",
E738="Surat","Gujarat",
TRUE,"Not Found"
)</f>
        <v>Tamil Nadu</v>
      </c>
      <c r="G738" t="s">
        <v>1228</v>
      </c>
      <c r="H738" t="s">
        <v>1177</v>
      </c>
      <c r="I738" t="s">
        <v>1195</v>
      </c>
      <c r="J738" t="s">
        <v>1196</v>
      </c>
      <c r="K738" t="s">
        <v>1197</v>
      </c>
      <c r="L738">
        <v>3</v>
      </c>
      <c r="M738">
        <v>734</v>
      </c>
      <c r="N738">
        <v>0</v>
      </c>
      <c r="O738">
        <v>734</v>
      </c>
      <c r="P738">
        <v>0.05</v>
      </c>
      <c r="Q738">
        <v>2202</v>
      </c>
      <c r="R738">
        <v>110.1</v>
      </c>
      <c r="S738">
        <v>2312.1</v>
      </c>
      <c r="T738">
        <f>ROUND(Table2[[#This Row],[TotalAmount]],0)</f>
        <v>2312</v>
      </c>
      <c r="U738" t="s">
        <v>1363</v>
      </c>
      <c r="V738" t="s">
        <v>1361</v>
      </c>
      <c r="W738" s="4">
        <v>45671</v>
      </c>
      <c r="X738" s="4">
        <v>45676</v>
      </c>
      <c r="Y738" t="b">
        <v>0</v>
      </c>
      <c r="Z738" t="s">
        <v>1412</v>
      </c>
      <c r="AA738" t="s">
        <v>1412</v>
      </c>
      <c r="AB738" t="s">
        <v>1412</v>
      </c>
      <c r="AC738" t="s">
        <v>1392</v>
      </c>
      <c r="AD738" t="s">
        <v>1387</v>
      </c>
      <c r="AE738" t="s">
        <v>1383</v>
      </c>
    </row>
    <row r="739" spans="1:31" x14ac:dyDescent="0.3">
      <c r="A739" t="s">
        <v>917</v>
      </c>
      <c r="B739" s="4">
        <v>45346.36041666667</v>
      </c>
      <c r="C739" t="s">
        <v>366</v>
      </c>
      <c r="D739" t="s">
        <v>1157</v>
      </c>
      <c r="E739" t="s">
        <v>1249</v>
      </c>
      <c r="F739" t="str" cm="1">
        <f t="array" ref="F739">_xlfn.IFS(
E739="Ahmedabad","Gujarat",
E739="Bengaluru","Karnataka",
E739="Bhopal","Madhya Pradesh",
E739="Bhubaneswar","Odisha",
E739="Chandigarh","Chandigarh",
E739="Chennai","Tamil Nadu",
E739="Delhi","Delhi",
E739="Guwahati","Assam",
E739="Hyderabad","Telangana",
E739="Indore","Madhya Pradesh",
E739="Jaipur","Rajasthan",
E739="Kochi","Kerala",
E739="Kolkata","West Bengal",
E739="Lucknow","Uttar Pradesh",
E739="Mumbai","Maharashtra",
E739="Nagpur","Maharashtra",
E739="Patna","Bihar",
E739="Pune","Maharashtra",
E739="Raipur","Chhattisgarh",
E739="Surat","Gujarat",
TRUE,"Not Found"
)</f>
        <v>Maharashtra</v>
      </c>
      <c r="G739" t="s">
        <v>1187</v>
      </c>
      <c r="H739" t="s">
        <v>1144</v>
      </c>
      <c r="I739" t="s">
        <v>1276</v>
      </c>
      <c r="J739" t="s">
        <v>1286</v>
      </c>
      <c r="K739" t="s">
        <v>1287</v>
      </c>
      <c r="L739">
        <v>1</v>
      </c>
      <c r="M739">
        <v>3290</v>
      </c>
      <c r="N739">
        <v>0.1</v>
      </c>
      <c r="O739">
        <v>2961</v>
      </c>
      <c r="P739">
        <v>0.12</v>
      </c>
      <c r="Q739">
        <v>2961</v>
      </c>
      <c r="R739">
        <v>355.32</v>
      </c>
      <c r="S739">
        <v>3316.32</v>
      </c>
      <c r="T739">
        <f>ROUND(Table2[[#This Row],[TotalAmount]],0)</f>
        <v>3316</v>
      </c>
      <c r="U739" t="s">
        <v>1362</v>
      </c>
      <c r="V739" t="s">
        <v>1361</v>
      </c>
      <c r="W739" s="4">
        <v>45348</v>
      </c>
      <c r="X739" s="4">
        <v>45353</v>
      </c>
      <c r="Y739" t="b">
        <v>0</v>
      </c>
      <c r="Z739" t="s">
        <v>1412</v>
      </c>
      <c r="AA739" t="s">
        <v>1412</v>
      </c>
      <c r="AB739" t="s">
        <v>1412</v>
      </c>
      <c r="AC739" t="s">
        <v>1388</v>
      </c>
      <c r="AD739" t="s">
        <v>1394</v>
      </c>
      <c r="AE739" t="s">
        <v>1383</v>
      </c>
    </row>
    <row r="740" spans="1:31" x14ac:dyDescent="0.3">
      <c r="A740" t="s">
        <v>918</v>
      </c>
      <c r="B740" s="4">
        <v>45707.581250000003</v>
      </c>
      <c r="C740" t="s">
        <v>571</v>
      </c>
      <c r="D740" t="s">
        <v>1157</v>
      </c>
      <c r="E740" t="s">
        <v>1201</v>
      </c>
      <c r="F740" t="str" cm="1">
        <f t="array" ref="F740">_xlfn.IFS(
E740="Ahmedabad","Gujarat",
E740="Bengaluru","Karnataka",
E740="Bhopal","Madhya Pradesh",
E740="Bhubaneswar","Odisha",
E740="Chandigarh","Chandigarh",
E740="Chennai","Tamil Nadu",
E740="Delhi","Delhi",
E740="Guwahati","Assam",
E740="Hyderabad","Telangana",
E740="Indore","Madhya Pradesh",
E740="Jaipur","Rajasthan",
E740="Kochi","Kerala",
E740="Kolkata","West Bengal",
E740="Lucknow","Uttar Pradesh",
E740="Mumbai","Maharashtra",
E740="Nagpur","Maharashtra",
E740="Patna","Bihar",
E740="Pune","Maharashtra",
E740="Raipur","Chhattisgarh",
E740="Surat","Gujarat",
TRUE,"Not Found"
)</f>
        <v>Maharashtra</v>
      </c>
      <c r="G740" t="s">
        <v>1150</v>
      </c>
      <c r="H740" t="s">
        <v>1167</v>
      </c>
      <c r="I740" t="s">
        <v>1211</v>
      </c>
      <c r="J740" t="s">
        <v>1299</v>
      </c>
      <c r="K740" t="s">
        <v>1300</v>
      </c>
      <c r="L740">
        <v>1</v>
      </c>
      <c r="M740">
        <v>24991</v>
      </c>
      <c r="N740">
        <v>0.1</v>
      </c>
      <c r="O740">
        <v>22491.9</v>
      </c>
      <c r="P740">
        <v>0.12</v>
      </c>
      <c r="Q740">
        <v>22491.9</v>
      </c>
      <c r="R740">
        <v>2699.0279999999998</v>
      </c>
      <c r="S740">
        <v>25190.928</v>
      </c>
      <c r="T740">
        <f>ROUND(Table2[[#This Row],[TotalAmount]],0)</f>
        <v>25191</v>
      </c>
      <c r="U740" t="s">
        <v>1360</v>
      </c>
      <c r="V740" t="s">
        <v>1361</v>
      </c>
      <c r="W740" s="4">
        <v>45708</v>
      </c>
      <c r="X740" s="4">
        <v>45709</v>
      </c>
      <c r="Y740" t="b">
        <v>0</v>
      </c>
      <c r="Z740" t="s">
        <v>1412</v>
      </c>
      <c r="AA740" t="s">
        <v>1412</v>
      </c>
      <c r="AB740" t="s">
        <v>1412</v>
      </c>
      <c r="AC740" t="s">
        <v>1386</v>
      </c>
      <c r="AD740" t="s">
        <v>1377</v>
      </c>
      <c r="AE740" t="s">
        <v>1389</v>
      </c>
    </row>
    <row r="741" spans="1:31" x14ac:dyDescent="0.3">
      <c r="A741" t="s">
        <v>919</v>
      </c>
      <c r="B741" s="4">
        <v>45507.647916666669</v>
      </c>
      <c r="C741" t="s">
        <v>91</v>
      </c>
      <c r="D741" t="s">
        <v>1182</v>
      </c>
      <c r="E741" t="s">
        <v>1207</v>
      </c>
      <c r="F741" t="str" cm="1">
        <f t="array" ref="F741">_xlfn.IFS(
E741="Ahmedabad","Gujarat",
E741="Bengaluru","Karnataka",
E741="Bhopal","Madhya Pradesh",
E741="Bhubaneswar","Odisha",
E741="Chandigarh","Chandigarh",
E741="Chennai","Tamil Nadu",
E741="Delhi","Delhi",
E741="Guwahati","Assam",
E741="Hyderabad","Telangana",
E741="Indore","Madhya Pradesh",
E741="Jaipur","Rajasthan",
E741="Kochi","Kerala",
E741="Kolkata","West Bengal",
E741="Lucknow","Uttar Pradesh",
E741="Mumbai","Maharashtra",
E741="Nagpur","Maharashtra",
E741="Patna","Bihar",
E741="Pune","Maharashtra",
E741="Raipur","Chhattisgarh",
E741="Surat","Gujarat",
TRUE,"Not Found"
)</f>
        <v>Tamil Nadu</v>
      </c>
      <c r="G741" t="s">
        <v>1143</v>
      </c>
      <c r="H741" t="s">
        <v>1172</v>
      </c>
      <c r="I741" t="s">
        <v>1188</v>
      </c>
      <c r="J741" t="s">
        <v>1258</v>
      </c>
      <c r="K741" t="s">
        <v>1259</v>
      </c>
      <c r="L741">
        <v>4</v>
      </c>
      <c r="M741">
        <v>6961</v>
      </c>
      <c r="N741">
        <v>0.15</v>
      </c>
      <c r="O741">
        <v>5916.8499999999995</v>
      </c>
      <c r="P741">
        <v>0.12</v>
      </c>
      <c r="Q741">
        <v>23667.4</v>
      </c>
      <c r="R741">
        <v>2840.0880000000002</v>
      </c>
      <c r="S741">
        <v>26507.488000000001</v>
      </c>
      <c r="T741">
        <f>ROUND(Table2[[#This Row],[TotalAmount]],0)</f>
        <v>26507</v>
      </c>
      <c r="U741" t="s">
        <v>1360</v>
      </c>
      <c r="V741" t="s">
        <v>1361</v>
      </c>
      <c r="W741" s="4">
        <v>45508</v>
      </c>
      <c r="X741" s="4">
        <v>45511</v>
      </c>
      <c r="Y741" t="b">
        <v>0</v>
      </c>
      <c r="Z741" t="s">
        <v>1412</v>
      </c>
      <c r="AA741" t="s">
        <v>1412</v>
      </c>
      <c r="AB741" t="s">
        <v>1412</v>
      </c>
      <c r="AC741" t="s">
        <v>1396</v>
      </c>
      <c r="AD741" t="s">
        <v>1397</v>
      </c>
      <c r="AE741" t="s">
        <v>1389</v>
      </c>
    </row>
    <row r="742" spans="1:31" x14ac:dyDescent="0.3">
      <c r="A742" t="s">
        <v>920</v>
      </c>
      <c r="B742" s="4">
        <v>45760.574999999997</v>
      </c>
      <c r="C742" t="s">
        <v>683</v>
      </c>
      <c r="D742" t="s">
        <v>1182</v>
      </c>
      <c r="E742" t="s">
        <v>1257</v>
      </c>
      <c r="F742" t="str" cm="1">
        <f t="array" ref="F742">_xlfn.IFS(
E742="Ahmedabad","Gujarat",
E742="Bengaluru","Karnataka",
E742="Bhopal","Madhya Pradesh",
E742="Bhubaneswar","Odisha",
E742="Chandigarh","Chandigarh",
E742="Chennai","Tamil Nadu",
E742="Delhi","Delhi",
E742="Guwahati","Assam",
E742="Hyderabad","Telangana",
E742="Indore","Madhya Pradesh",
E742="Jaipur","Rajasthan",
E742="Kochi","Kerala",
E742="Kolkata","West Bengal",
E742="Lucknow","Uttar Pradesh",
E742="Mumbai","Maharashtra",
E742="Nagpur","Maharashtra",
E742="Patna","Bihar",
E742="Pune","Maharashtra",
E742="Raipur","Chhattisgarh",
E742="Surat","Gujarat",
TRUE,"Not Found"
)</f>
        <v>Kerala</v>
      </c>
      <c r="G742" t="s">
        <v>1143</v>
      </c>
      <c r="H742" t="s">
        <v>1177</v>
      </c>
      <c r="I742" t="s">
        <v>1236</v>
      </c>
      <c r="J742" t="s">
        <v>1254</v>
      </c>
      <c r="K742" t="s">
        <v>1255</v>
      </c>
      <c r="L742">
        <v>3</v>
      </c>
      <c r="M742">
        <v>1488</v>
      </c>
      <c r="N742">
        <v>0.05</v>
      </c>
      <c r="O742">
        <v>1413.6</v>
      </c>
      <c r="P742">
        <v>0.12</v>
      </c>
      <c r="Q742">
        <v>4240.7999999999993</v>
      </c>
      <c r="R742">
        <v>508.8959999999999</v>
      </c>
      <c r="S742">
        <v>4749.695999999999</v>
      </c>
      <c r="T742">
        <f>ROUND(Table2[[#This Row],[TotalAmount]],0)</f>
        <v>4750</v>
      </c>
      <c r="U742" t="s">
        <v>1360</v>
      </c>
      <c r="V742" t="s">
        <v>1361</v>
      </c>
      <c r="W742" s="4">
        <v>45760</v>
      </c>
      <c r="X742" s="4">
        <v>45762</v>
      </c>
      <c r="Y742" t="b">
        <v>0</v>
      </c>
      <c r="Z742" t="s">
        <v>1412</v>
      </c>
      <c r="AA742" t="s">
        <v>1412</v>
      </c>
      <c r="AB742" t="s">
        <v>1412</v>
      </c>
      <c r="AC742" t="s">
        <v>1379</v>
      </c>
      <c r="AD742" t="s">
        <v>1377</v>
      </c>
      <c r="AE742" t="s">
        <v>1383</v>
      </c>
    </row>
    <row r="743" spans="1:31" x14ac:dyDescent="0.3">
      <c r="A743" t="s">
        <v>921</v>
      </c>
      <c r="B743" s="4">
        <v>45366.660416666673</v>
      </c>
      <c r="C743" t="s">
        <v>155</v>
      </c>
      <c r="D743" t="s">
        <v>1157</v>
      </c>
      <c r="E743" t="s">
        <v>1158</v>
      </c>
      <c r="F743" t="str" cm="1">
        <f t="array" ref="F743">_xlfn.IFS(
E743="Ahmedabad","Gujarat",
E743="Bengaluru","Karnataka",
E743="Bhopal","Madhya Pradesh",
E743="Bhubaneswar","Odisha",
E743="Chandigarh","Chandigarh",
E743="Chennai","Tamil Nadu",
E743="Delhi","Delhi",
E743="Guwahati","Assam",
E743="Hyderabad","Telangana",
E743="Indore","Madhya Pradesh",
E743="Jaipur","Rajasthan",
E743="Kochi","Kerala",
E743="Kolkata","West Bengal",
E743="Lucknow","Uttar Pradesh",
E743="Mumbai","Maharashtra",
E743="Nagpur","Maharashtra",
E743="Patna","Bihar",
E743="Pune","Maharashtra",
E743="Raipur","Chhattisgarh",
E743="Surat","Gujarat",
TRUE,"Not Found"
)</f>
        <v>Gujarat</v>
      </c>
      <c r="G743" t="s">
        <v>1143</v>
      </c>
      <c r="H743" t="s">
        <v>1172</v>
      </c>
      <c r="I743" t="s">
        <v>1204</v>
      </c>
      <c r="J743" t="s">
        <v>1234</v>
      </c>
      <c r="K743" t="s">
        <v>1235</v>
      </c>
      <c r="L743">
        <v>1</v>
      </c>
      <c r="M743">
        <v>3876</v>
      </c>
      <c r="N743">
        <v>0.1</v>
      </c>
      <c r="O743">
        <v>3488.4</v>
      </c>
      <c r="P743">
        <v>0.05</v>
      </c>
      <c r="Q743">
        <v>3488.4</v>
      </c>
      <c r="R743">
        <v>174.42</v>
      </c>
      <c r="S743">
        <v>3662.82</v>
      </c>
      <c r="T743">
        <f>ROUND(Table2[[#This Row],[TotalAmount]],0)</f>
        <v>3663</v>
      </c>
      <c r="U743" t="s">
        <v>1363</v>
      </c>
      <c r="V743" t="s">
        <v>1361</v>
      </c>
      <c r="W743" s="4">
        <v>45367</v>
      </c>
      <c r="X743" s="4">
        <v>45372</v>
      </c>
      <c r="Y743" t="b">
        <v>0</v>
      </c>
      <c r="Z743" t="s">
        <v>1412</v>
      </c>
      <c r="AA743" t="s">
        <v>1412</v>
      </c>
      <c r="AB743" t="s">
        <v>1412</v>
      </c>
      <c r="AC743" t="s">
        <v>1386</v>
      </c>
      <c r="AD743" t="s">
        <v>1385</v>
      </c>
      <c r="AE743" t="s">
        <v>1383</v>
      </c>
    </row>
    <row r="744" spans="1:31" x14ac:dyDescent="0.3">
      <c r="A744" t="s">
        <v>922</v>
      </c>
      <c r="B744" s="4">
        <v>45614.629861111112</v>
      </c>
      <c r="C744" t="s">
        <v>392</v>
      </c>
      <c r="D744" t="s">
        <v>1153</v>
      </c>
      <c r="E744" t="s">
        <v>1191</v>
      </c>
      <c r="F744" t="str" cm="1">
        <f t="array" ref="F744">_xlfn.IFS(
E744="Ahmedabad","Gujarat",
E744="Bengaluru","Karnataka",
E744="Bhopal","Madhya Pradesh",
E744="Bhubaneswar","Odisha",
E744="Chandigarh","Chandigarh",
E744="Chennai","Tamil Nadu",
E744="Delhi","Delhi",
E744="Guwahati","Assam",
E744="Hyderabad","Telangana",
E744="Indore","Madhya Pradesh",
E744="Jaipur","Rajasthan",
E744="Kochi","Kerala",
E744="Kolkata","West Bengal",
E744="Lucknow","Uttar Pradesh",
E744="Mumbai","Maharashtra",
E744="Nagpur","Maharashtra",
E744="Patna","Bihar",
E744="Pune","Maharashtra",
E744="Raipur","Chhattisgarh",
E744="Surat","Gujarat",
TRUE,"Not Found"
)</f>
        <v>Madhya Pradesh</v>
      </c>
      <c r="G744" t="s">
        <v>1187</v>
      </c>
      <c r="H744" t="s">
        <v>1144</v>
      </c>
      <c r="I744" t="s">
        <v>1214</v>
      </c>
      <c r="J744" t="s">
        <v>1252</v>
      </c>
      <c r="K744" t="s">
        <v>1253</v>
      </c>
      <c r="L744">
        <v>2</v>
      </c>
      <c r="M744">
        <v>5357</v>
      </c>
      <c r="N744">
        <v>0</v>
      </c>
      <c r="O744">
        <v>5357</v>
      </c>
      <c r="P744">
        <v>0.12</v>
      </c>
      <c r="Q744">
        <v>10714</v>
      </c>
      <c r="R744">
        <v>1285.68</v>
      </c>
      <c r="S744">
        <v>11999.68</v>
      </c>
      <c r="T744">
        <f>ROUND(Table2[[#This Row],[TotalAmount]],0)</f>
        <v>12000</v>
      </c>
      <c r="U744" t="s">
        <v>1360</v>
      </c>
      <c r="V744" t="s">
        <v>1361</v>
      </c>
      <c r="W744" s="4">
        <v>45615</v>
      </c>
      <c r="X744" s="4">
        <v>45617</v>
      </c>
      <c r="Y744" t="b">
        <v>0</v>
      </c>
      <c r="Z744" t="s">
        <v>1412</v>
      </c>
      <c r="AA744" t="s">
        <v>1412</v>
      </c>
      <c r="AB744" t="s">
        <v>1412</v>
      </c>
      <c r="AC744" t="s">
        <v>1382</v>
      </c>
      <c r="AD744" t="s">
        <v>1377</v>
      </c>
      <c r="AE744" t="s">
        <v>1393</v>
      </c>
    </row>
    <row r="745" spans="1:31" x14ac:dyDescent="0.3">
      <c r="A745" t="s">
        <v>923</v>
      </c>
      <c r="B745" s="4">
        <v>45562.586805555547</v>
      </c>
      <c r="C745" t="s">
        <v>51</v>
      </c>
      <c r="D745" t="s">
        <v>1141</v>
      </c>
      <c r="E745" t="s">
        <v>1227</v>
      </c>
      <c r="F745" t="str" cm="1">
        <f t="array" ref="F745">_xlfn.IFS(
E745="Ahmedabad","Gujarat",
E745="Bengaluru","Karnataka",
E745="Bhopal","Madhya Pradesh",
E745="Bhubaneswar","Odisha",
E745="Chandigarh","Chandigarh",
E745="Chennai","Tamil Nadu",
E745="Delhi","Delhi",
E745="Guwahati","Assam",
E745="Hyderabad","Telangana",
E745="Indore","Madhya Pradesh",
E745="Jaipur","Rajasthan",
E745="Kochi","Kerala",
E745="Kolkata","West Bengal",
E745="Lucknow","Uttar Pradesh",
E745="Mumbai","Maharashtra",
E745="Nagpur","Maharashtra",
E745="Patna","Bihar",
E745="Pune","Maharashtra",
E745="Raipur","Chhattisgarh",
E745="Surat","Gujarat",
TRUE,"Not Found"
)</f>
        <v>Bihar</v>
      </c>
      <c r="G745" t="s">
        <v>1150</v>
      </c>
      <c r="H745" t="s">
        <v>1172</v>
      </c>
      <c r="I745" t="s">
        <v>1188</v>
      </c>
      <c r="J745" t="s">
        <v>1189</v>
      </c>
      <c r="K745" t="s">
        <v>1190</v>
      </c>
      <c r="L745">
        <v>2</v>
      </c>
      <c r="M745">
        <v>9335</v>
      </c>
      <c r="N745">
        <v>0.15</v>
      </c>
      <c r="O745">
        <v>7934.75</v>
      </c>
      <c r="P745">
        <v>0.12</v>
      </c>
      <c r="Q745">
        <v>15869.5</v>
      </c>
      <c r="R745">
        <v>1904.34</v>
      </c>
      <c r="S745">
        <v>17773.84</v>
      </c>
      <c r="T745">
        <f>ROUND(Table2[[#This Row],[TotalAmount]],0)</f>
        <v>17774</v>
      </c>
      <c r="U745" t="s">
        <v>1365</v>
      </c>
      <c r="V745" t="s">
        <v>1361</v>
      </c>
      <c r="W745" s="4">
        <v>45564</v>
      </c>
      <c r="X745" s="4">
        <v>45569</v>
      </c>
      <c r="Y745" t="b">
        <v>0</v>
      </c>
      <c r="Z745" t="s">
        <v>1412</v>
      </c>
      <c r="AA745" t="s">
        <v>1412</v>
      </c>
      <c r="AB745" t="s">
        <v>1412</v>
      </c>
      <c r="AC745" t="s">
        <v>1396</v>
      </c>
      <c r="AD745" t="s">
        <v>1400</v>
      </c>
      <c r="AE745" t="s">
        <v>1380</v>
      </c>
    </row>
    <row r="746" spans="1:31" x14ac:dyDescent="0.3">
      <c r="A746" t="s">
        <v>924</v>
      </c>
      <c r="B746" s="4">
        <v>45512.699305555558</v>
      </c>
      <c r="C746" t="s">
        <v>251</v>
      </c>
      <c r="D746" t="s">
        <v>1148</v>
      </c>
      <c r="E746" t="s">
        <v>1171</v>
      </c>
      <c r="F746" t="str" cm="1">
        <f t="array" ref="F746">_xlfn.IFS(
E746="Ahmedabad","Gujarat",
E746="Bengaluru","Karnataka",
E746="Bhopal","Madhya Pradesh",
E746="Bhubaneswar","Odisha",
E746="Chandigarh","Chandigarh",
E746="Chennai","Tamil Nadu",
E746="Delhi","Delhi",
E746="Guwahati","Assam",
E746="Hyderabad","Telangana",
E746="Indore","Madhya Pradesh",
E746="Jaipur","Rajasthan",
E746="Kochi","Kerala",
E746="Kolkata","West Bengal",
E746="Lucknow","Uttar Pradesh",
E746="Mumbai","Maharashtra",
E746="Nagpur","Maharashtra",
E746="Patna","Bihar",
E746="Pune","Maharashtra",
E746="Raipur","Chhattisgarh",
E746="Surat","Gujarat",
TRUE,"Not Found"
)</f>
        <v>Chandigarh</v>
      </c>
      <c r="G746" t="s">
        <v>1143</v>
      </c>
      <c r="H746" t="s">
        <v>1163</v>
      </c>
      <c r="I746" t="s">
        <v>1184</v>
      </c>
      <c r="J746" t="s">
        <v>1245</v>
      </c>
      <c r="K746" t="s">
        <v>1246</v>
      </c>
      <c r="L746">
        <v>3</v>
      </c>
      <c r="M746">
        <v>888</v>
      </c>
      <c r="N746">
        <v>0</v>
      </c>
      <c r="O746">
        <v>888</v>
      </c>
      <c r="P746">
        <v>0.12</v>
      </c>
      <c r="Q746">
        <v>2664</v>
      </c>
      <c r="R746">
        <v>319.68</v>
      </c>
      <c r="S746">
        <v>2983.68</v>
      </c>
      <c r="T746">
        <f>ROUND(Table2[[#This Row],[TotalAmount]],0)</f>
        <v>2984</v>
      </c>
      <c r="U746" t="s">
        <v>1362</v>
      </c>
      <c r="V746" t="s">
        <v>1361</v>
      </c>
      <c r="W746" s="4">
        <v>45513</v>
      </c>
      <c r="X746" s="4">
        <v>45514</v>
      </c>
      <c r="Y746" t="b">
        <v>0</v>
      </c>
      <c r="Z746" t="s">
        <v>1412</v>
      </c>
      <c r="AA746" t="s">
        <v>1412</v>
      </c>
      <c r="AB746" t="s">
        <v>1412</v>
      </c>
      <c r="AC746" t="s">
        <v>1379</v>
      </c>
      <c r="AD746" t="s">
        <v>1399</v>
      </c>
      <c r="AE746" t="s">
        <v>1391</v>
      </c>
    </row>
    <row r="747" spans="1:31" x14ac:dyDescent="0.3">
      <c r="A747" t="s">
        <v>925</v>
      </c>
      <c r="B747" s="4">
        <v>45691.479861111111</v>
      </c>
      <c r="C747" t="s">
        <v>683</v>
      </c>
      <c r="D747" t="s">
        <v>1182</v>
      </c>
      <c r="E747" t="s">
        <v>1257</v>
      </c>
      <c r="F747" t="str" cm="1">
        <f t="array" ref="F747">_xlfn.IFS(
E747="Ahmedabad","Gujarat",
E747="Bengaluru","Karnataka",
E747="Bhopal","Madhya Pradesh",
E747="Bhubaneswar","Odisha",
E747="Chandigarh","Chandigarh",
E747="Chennai","Tamil Nadu",
E747="Delhi","Delhi",
E747="Guwahati","Assam",
E747="Hyderabad","Telangana",
E747="Indore","Madhya Pradesh",
E747="Jaipur","Rajasthan",
E747="Kochi","Kerala",
E747="Kolkata","West Bengal",
E747="Lucknow","Uttar Pradesh",
E747="Mumbai","Maharashtra",
E747="Nagpur","Maharashtra",
E747="Patna","Bihar",
E747="Pune","Maharashtra",
E747="Raipur","Chhattisgarh",
E747="Surat","Gujarat",
TRUE,"Not Found"
)</f>
        <v>Kerala</v>
      </c>
      <c r="G747" t="s">
        <v>1228</v>
      </c>
      <c r="H747" t="s">
        <v>1163</v>
      </c>
      <c r="I747" t="s">
        <v>1224</v>
      </c>
      <c r="J747" t="s">
        <v>1316</v>
      </c>
      <c r="K747" t="s">
        <v>1317</v>
      </c>
      <c r="L747">
        <v>1</v>
      </c>
      <c r="M747">
        <v>858</v>
      </c>
      <c r="N747">
        <v>0</v>
      </c>
      <c r="O747">
        <v>858</v>
      </c>
      <c r="P747">
        <v>0.18</v>
      </c>
      <c r="Q747">
        <v>858</v>
      </c>
      <c r="R747">
        <v>154.44</v>
      </c>
      <c r="S747">
        <v>1012.44</v>
      </c>
      <c r="T747">
        <f>ROUND(Table2[[#This Row],[TotalAmount]],0)</f>
        <v>1012</v>
      </c>
      <c r="U747" t="s">
        <v>1360</v>
      </c>
      <c r="V747" t="s">
        <v>1367</v>
      </c>
      <c r="W747" s="4">
        <v>45692</v>
      </c>
      <c r="X747" s="4" t="s">
        <v>1412</v>
      </c>
      <c r="Y747" t="b">
        <v>0</v>
      </c>
      <c r="Z747" t="s">
        <v>1412</v>
      </c>
      <c r="AA747" t="s">
        <v>1412</v>
      </c>
      <c r="AB747" t="s">
        <v>1412</v>
      </c>
      <c r="AC747" t="s">
        <v>1376</v>
      </c>
      <c r="AD747" t="s">
        <v>1385</v>
      </c>
      <c r="AE747" t="s">
        <v>1378</v>
      </c>
    </row>
    <row r="748" spans="1:31" x14ac:dyDescent="0.3">
      <c r="A748" t="s">
        <v>926</v>
      </c>
      <c r="B748" s="4">
        <v>45756.561111111107</v>
      </c>
      <c r="C748" t="s">
        <v>218</v>
      </c>
      <c r="D748" t="s">
        <v>1153</v>
      </c>
      <c r="E748" t="s">
        <v>1191</v>
      </c>
      <c r="F748" t="str" cm="1">
        <f t="array" ref="F748">_xlfn.IFS(
E748="Ahmedabad","Gujarat",
E748="Bengaluru","Karnataka",
E748="Bhopal","Madhya Pradesh",
E748="Bhubaneswar","Odisha",
E748="Chandigarh","Chandigarh",
E748="Chennai","Tamil Nadu",
E748="Delhi","Delhi",
E748="Guwahati","Assam",
E748="Hyderabad","Telangana",
E748="Indore","Madhya Pradesh",
E748="Jaipur","Rajasthan",
E748="Kochi","Kerala",
E748="Kolkata","West Bengal",
E748="Lucknow","Uttar Pradesh",
E748="Mumbai","Maharashtra",
E748="Nagpur","Maharashtra",
E748="Patna","Bihar",
E748="Pune","Maharashtra",
E748="Raipur","Chhattisgarh",
E748="Surat","Gujarat",
TRUE,"Not Found"
)</f>
        <v>Madhya Pradesh</v>
      </c>
      <c r="G748" t="s">
        <v>1150</v>
      </c>
      <c r="H748" t="s">
        <v>1163</v>
      </c>
      <c r="I748" t="s">
        <v>1266</v>
      </c>
      <c r="J748" t="s">
        <v>1267</v>
      </c>
      <c r="K748" t="s">
        <v>1268</v>
      </c>
      <c r="L748">
        <v>4</v>
      </c>
      <c r="M748">
        <v>1101</v>
      </c>
      <c r="N748">
        <v>0</v>
      </c>
      <c r="O748">
        <v>1101</v>
      </c>
      <c r="P748">
        <v>0.12</v>
      </c>
      <c r="Q748">
        <v>4404</v>
      </c>
      <c r="R748">
        <v>528.48</v>
      </c>
      <c r="S748">
        <v>4932.4799999999996</v>
      </c>
      <c r="T748">
        <f>ROUND(Table2[[#This Row],[TotalAmount]],0)</f>
        <v>4932</v>
      </c>
      <c r="U748" t="s">
        <v>1360</v>
      </c>
      <c r="V748" t="s">
        <v>1361</v>
      </c>
      <c r="W748" s="4">
        <v>45756</v>
      </c>
      <c r="X748" s="4">
        <v>45758</v>
      </c>
      <c r="Y748" t="b">
        <v>0</v>
      </c>
      <c r="Z748" t="s">
        <v>1412</v>
      </c>
      <c r="AA748" t="s">
        <v>1412</v>
      </c>
      <c r="AB748" t="s">
        <v>1412</v>
      </c>
      <c r="AC748" t="s">
        <v>1376</v>
      </c>
      <c r="AD748" t="s">
        <v>1385</v>
      </c>
      <c r="AE748" t="s">
        <v>1395</v>
      </c>
    </row>
    <row r="749" spans="1:31" x14ac:dyDescent="0.3">
      <c r="A749" t="s">
        <v>927</v>
      </c>
      <c r="B749" s="4">
        <v>45589.433333333327</v>
      </c>
      <c r="C749" t="s">
        <v>18</v>
      </c>
      <c r="D749" t="s">
        <v>1153</v>
      </c>
      <c r="E749" t="s">
        <v>1176</v>
      </c>
      <c r="F749" t="str" cm="1">
        <f t="array" ref="F749">_xlfn.IFS(
E749="Ahmedabad","Gujarat",
E749="Bengaluru","Karnataka",
E749="Bhopal","Madhya Pradesh",
E749="Bhubaneswar","Odisha",
E749="Chandigarh","Chandigarh",
E749="Chennai","Tamil Nadu",
E749="Delhi","Delhi",
E749="Guwahati","Assam",
E749="Hyderabad","Telangana",
E749="Indore","Madhya Pradesh",
E749="Jaipur","Rajasthan",
E749="Kochi","Kerala",
E749="Kolkata","West Bengal",
E749="Lucknow","Uttar Pradesh",
E749="Mumbai","Maharashtra",
E749="Nagpur","Maharashtra",
E749="Patna","Bihar",
E749="Pune","Maharashtra",
E749="Raipur","Chhattisgarh",
E749="Surat","Gujarat",
TRUE,"Not Found"
)</f>
        <v>Chhattisgarh</v>
      </c>
      <c r="G749" t="s">
        <v>1143</v>
      </c>
      <c r="H749" t="s">
        <v>1167</v>
      </c>
      <c r="I749" t="s">
        <v>1288</v>
      </c>
      <c r="J749" t="s">
        <v>1293</v>
      </c>
      <c r="K749" t="s">
        <v>1294</v>
      </c>
      <c r="L749">
        <v>2</v>
      </c>
      <c r="M749">
        <v>42660</v>
      </c>
      <c r="N749">
        <v>0.2</v>
      </c>
      <c r="O749">
        <v>34128</v>
      </c>
      <c r="P749">
        <v>0.05</v>
      </c>
      <c r="Q749">
        <v>68256</v>
      </c>
      <c r="R749">
        <v>3412.8</v>
      </c>
      <c r="S749">
        <v>71668.800000000003</v>
      </c>
      <c r="T749">
        <f>ROUND(Table2[[#This Row],[TotalAmount]],0)</f>
        <v>71669</v>
      </c>
      <c r="U749" t="s">
        <v>1362</v>
      </c>
      <c r="V749" t="s">
        <v>1361</v>
      </c>
      <c r="W749" s="4">
        <v>45590</v>
      </c>
      <c r="X749" s="4">
        <v>45594</v>
      </c>
      <c r="Y749" t="b">
        <v>0</v>
      </c>
      <c r="Z749" t="s">
        <v>1412</v>
      </c>
      <c r="AA749" t="s">
        <v>1412</v>
      </c>
      <c r="AB749" t="s">
        <v>1412</v>
      </c>
      <c r="AC749" t="s">
        <v>1386</v>
      </c>
      <c r="AD749" t="s">
        <v>1387</v>
      </c>
      <c r="AE749" t="s">
        <v>1380</v>
      </c>
    </row>
    <row r="750" spans="1:31" x14ac:dyDescent="0.3">
      <c r="A750" t="s">
        <v>928</v>
      </c>
      <c r="B750" s="4">
        <v>45415.477777777778</v>
      </c>
      <c r="C750" t="s">
        <v>231</v>
      </c>
      <c r="D750" t="s">
        <v>1157</v>
      </c>
      <c r="E750" t="s">
        <v>1249</v>
      </c>
      <c r="F750" t="str" cm="1">
        <f t="array" ref="F750">_xlfn.IFS(
E750="Ahmedabad","Gujarat",
E750="Bengaluru","Karnataka",
E750="Bhopal","Madhya Pradesh",
E750="Bhubaneswar","Odisha",
E750="Chandigarh","Chandigarh",
E750="Chennai","Tamil Nadu",
E750="Delhi","Delhi",
E750="Guwahati","Assam",
E750="Hyderabad","Telangana",
E750="Indore","Madhya Pradesh",
E750="Jaipur","Rajasthan",
E750="Kochi","Kerala",
E750="Kolkata","West Bengal",
E750="Lucknow","Uttar Pradesh",
E750="Mumbai","Maharashtra",
E750="Nagpur","Maharashtra",
E750="Patna","Bihar",
E750="Pune","Maharashtra",
E750="Raipur","Chhattisgarh",
E750="Surat","Gujarat",
TRUE,"Not Found"
)</f>
        <v>Maharashtra</v>
      </c>
      <c r="G750" t="s">
        <v>1150</v>
      </c>
      <c r="H750" t="s">
        <v>1177</v>
      </c>
      <c r="I750" t="s">
        <v>1192</v>
      </c>
      <c r="J750" t="s">
        <v>1344</v>
      </c>
      <c r="K750" t="s">
        <v>1345</v>
      </c>
      <c r="L750">
        <v>3</v>
      </c>
      <c r="M750">
        <v>809</v>
      </c>
      <c r="N750">
        <v>0.1</v>
      </c>
      <c r="O750">
        <v>728.1</v>
      </c>
      <c r="P750">
        <v>0.18</v>
      </c>
      <c r="Q750">
        <v>2184.3000000000002</v>
      </c>
      <c r="R750">
        <v>393.17399999999998</v>
      </c>
      <c r="S750">
        <v>2577.4740000000002</v>
      </c>
      <c r="T750">
        <f>ROUND(Table2[[#This Row],[TotalAmount]],0)</f>
        <v>2577</v>
      </c>
      <c r="U750" t="s">
        <v>1362</v>
      </c>
      <c r="V750" t="s">
        <v>1361</v>
      </c>
      <c r="W750" s="4">
        <v>45416</v>
      </c>
      <c r="X750" s="4">
        <v>45419</v>
      </c>
      <c r="Y750" t="b">
        <v>0</v>
      </c>
      <c r="Z750" t="s">
        <v>1412</v>
      </c>
      <c r="AA750" t="s">
        <v>1412</v>
      </c>
      <c r="AB750" t="s">
        <v>1412</v>
      </c>
      <c r="AC750" t="s">
        <v>1384</v>
      </c>
      <c r="AD750" t="s">
        <v>1399</v>
      </c>
      <c r="AE750" t="s">
        <v>1383</v>
      </c>
    </row>
    <row r="751" spans="1:31" x14ac:dyDescent="0.3">
      <c r="A751" t="s">
        <v>929</v>
      </c>
      <c r="B751" s="4">
        <v>45657.482638888891</v>
      </c>
      <c r="C751" t="s">
        <v>869</v>
      </c>
      <c r="D751" t="s">
        <v>1157</v>
      </c>
      <c r="E751" t="s">
        <v>1158</v>
      </c>
      <c r="F751" t="str" cm="1">
        <f t="array" ref="F751">_xlfn.IFS(
E751="Ahmedabad","Gujarat",
E751="Bengaluru","Karnataka",
E751="Bhopal","Madhya Pradesh",
E751="Bhubaneswar","Odisha",
E751="Chandigarh","Chandigarh",
E751="Chennai","Tamil Nadu",
E751="Delhi","Delhi",
E751="Guwahati","Assam",
E751="Hyderabad","Telangana",
E751="Indore","Madhya Pradesh",
E751="Jaipur","Rajasthan",
E751="Kochi","Kerala",
E751="Kolkata","West Bengal",
E751="Lucknow","Uttar Pradesh",
E751="Mumbai","Maharashtra",
E751="Nagpur","Maharashtra",
E751="Patna","Bihar",
E751="Pune","Maharashtra",
E751="Raipur","Chhattisgarh",
E751="Surat","Gujarat",
TRUE,"Not Found"
)</f>
        <v>Gujarat</v>
      </c>
      <c r="G751" t="s">
        <v>1143</v>
      </c>
      <c r="H751" t="s">
        <v>1167</v>
      </c>
      <c r="I751" t="s">
        <v>1211</v>
      </c>
      <c r="J751" t="s">
        <v>1279</v>
      </c>
      <c r="K751" t="s">
        <v>1280</v>
      </c>
      <c r="L751">
        <v>1</v>
      </c>
      <c r="M751">
        <v>7386</v>
      </c>
      <c r="N751">
        <v>0.05</v>
      </c>
      <c r="O751">
        <v>7016.7</v>
      </c>
      <c r="P751">
        <v>0.05</v>
      </c>
      <c r="Q751">
        <v>7016.7</v>
      </c>
      <c r="R751">
        <v>350.83499999999998</v>
      </c>
      <c r="S751">
        <v>7367.5349999999999</v>
      </c>
      <c r="T751">
        <f>ROUND(Table2[[#This Row],[TotalAmount]],0)</f>
        <v>7368</v>
      </c>
      <c r="U751" t="s">
        <v>1360</v>
      </c>
      <c r="V751" t="s">
        <v>1367</v>
      </c>
      <c r="W751" s="4">
        <v>45659</v>
      </c>
      <c r="X751" s="4" t="s">
        <v>1412</v>
      </c>
      <c r="Y751" t="b">
        <v>0</v>
      </c>
      <c r="Z751" t="s">
        <v>1412</v>
      </c>
      <c r="AA751" t="s">
        <v>1412</v>
      </c>
      <c r="AB751" t="s">
        <v>1412</v>
      </c>
      <c r="AC751" t="s">
        <v>1398</v>
      </c>
      <c r="AD751" t="s">
        <v>1394</v>
      </c>
      <c r="AE751" t="s">
        <v>1378</v>
      </c>
    </row>
    <row r="752" spans="1:31" x14ac:dyDescent="0.3">
      <c r="A752" t="s">
        <v>930</v>
      </c>
      <c r="B752" s="4">
        <v>45495.682638888888</v>
      </c>
      <c r="C752" t="s">
        <v>288</v>
      </c>
      <c r="D752" t="s">
        <v>1148</v>
      </c>
      <c r="E752" t="s">
        <v>1262</v>
      </c>
      <c r="F752" t="str" cm="1">
        <f t="array" ref="F752">_xlfn.IFS(
E752="Ahmedabad","Gujarat",
E752="Bengaluru","Karnataka",
E752="Bhopal","Madhya Pradesh",
E752="Bhubaneswar","Odisha",
E752="Chandigarh","Chandigarh",
E752="Chennai","Tamil Nadu",
E752="Delhi","Delhi",
E752="Guwahati","Assam",
E752="Hyderabad","Telangana",
E752="Indore","Madhya Pradesh",
E752="Jaipur","Rajasthan",
E752="Kochi","Kerala",
E752="Kolkata","West Bengal",
E752="Lucknow","Uttar Pradesh",
E752="Mumbai","Maharashtra",
E752="Nagpur","Maharashtra",
E752="Patna","Bihar",
E752="Pune","Maharashtra",
E752="Raipur","Chhattisgarh",
E752="Surat","Gujarat",
TRUE,"Not Found"
)</f>
        <v>Rajasthan</v>
      </c>
      <c r="G752" t="s">
        <v>1143</v>
      </c>
      <c r="H752" t="s">
        <v>1177</v>
      </c>
      <c r="I752" t="s">
        <v>1192</v>
      </c>
      <c r="J752" t="s">
        <v>1344</v>
      </c>
      <c r="K752" t="s">
        <v>1345</v>
      </c>
      <c r="L752">
        <v>2</v>
      </c>
      <c r="M752">
        <v>2301</v>
      </c>
      <c r="N752">
        <v>0.05</v>
      </c>
      <c r="O752">
        <v>2185.9499999999998</v>
      </c>
      <c r="P752">
        <v>0.18</v>
      </c>
      <c r="Q752">
        <v>4371.8999999999996</v>
      </c>
      <c r="R752">
        <v>786.94199999999989</v>
      </c>
      <c r="S752">
        <v>5158.8419999999996</v>
      </c>
      <c r="T752">
        <f>ROUND(Table2[[#This Row],[TotalAmount]],0)</f>
        <v>5159</v>
      </c>
      <c r="U752" t="s">
        <v>1360</v>
      </c>
      <c r="V752" t="s">
        <v>1367</v>
      </c>
      <c r="W752" s="4">
        <v>45496</v>
      </c>
      <c r="X752" s="4" t="s">
        <v>1412</v>
      </c>
      <c r="Y752" t="b">
        <v>0</v>
      </c>
      <c r="Z752" t="s">
        <v>1412</v>
      </c>
      <c r="AA752" t="s">
        <v>1412</v>
      </c>
      <c r="AB752" t="s">
        <v>1412</v>
      </c>
      <c r="AC752" t="s">
        <v>1382</v>
      </c>
      <c r="AD752" t="s">
        <v>1387</v>
      </c>
      <c r="AE752" t="s">
        <v>1383</v>
      </c>
    </row>
    <row r="753" spans="1:31" x14ac:dyDescent="0.3">
      <c r="A753" t="s">
        <v>931</v>
      </c>
      <c r="B753" s="4">
        <v>45384.589583333327</v>
      </c>
      <c r="C753" t="s">
        <v>378</v>
      </c>
      <c r="D753" t="s">
        <v>1157</v>
      </c>
      <c r="E753" t="s">
        <v>1158</v>
      </c>
      <c r="F753" t="str" cm="1">
        <f t="array" ref="F753">_xlfn.IFS(
E753="Ahmedabad","Gujarat",
E753="Bengaluru","Karnataka",
E753="Bhopal","Madhya Pradesh",
E753="Bhubaneswar","Odisha",
E753="Chandigarh","Chandigarh",
E753="Chennai","Tamil Nadu",
E753="Delhi","Delhi",
E753="Guwahati","Assam",
E753="Hyderabad","Telangana",
E753="Indore","Madhya Pradesh",
E753="Jaipur","Rajasthan",
E753="Kochi","Kerala",
E753="Kolkata","West Bengal",
E753="Lucknow","Uttar Pradesh",
E753="Mumbai","Maharashtra",
E753="Nagpur","Maharashtra",
E753="Patna","Bihar",
E753="Pune","Maharashtra",
E753="Raipur","Chhattisgarh",
E753="Surat","Gujarat",
TRUE,"Not Found"
)</f>
        <v>Gujarat</v>
      </c>
      <c r="G753" t="s">
        <v>1150</v>
      </c>
      <c r="H753" t="s">
        <v>1144</v>
      </c>
      <c r="I753" t="s">
        <v>1159</v>
      </c>
      <c r="J753" t="s">
        <v>1160</v>
      </c>
      <c r="K753" t="s">
        <v>1161</v>
      </c>
      <c r="L753">
        <v>1</v>
      </c>
      <c r="M753">
        <v>10493</v>
      </c>
      <c r="N753">
        <v>0</v>
      </c>
      <c r="O753">
        <v>10493</v>
      </c>
      <c r="P753">
        <v>0.05</v>
      </c>
      <c r="Q753">
        <v>10493</v>
      </c>
      <c r="R753">
        <v>524.65</v>
      </c>
      <c r="S753">
        <v>11017.65</v>
      </c>
      <c r="T753">
        <f>ROUND(Table2[[#This Row],[TotalAmount]],0)</f>
        <v>11018</v>
      </c>
      <c r="U753" t="s">
        <v>1365</v>
      </c>
      <c r="V753" t="s">
        <v>1361</v>
      </c>
      <c r="W753" s="4">
        <v>45384</v>
      </c>
      <c r="X753" s="4">
        <v>45388</v>
      </c>
      <c r="Y753" t="b">
        <v>0</v>
      </c>
      <c r="Z753" t="s">
        <v>1412</v>
      </c>
      <c r="AA753" t="s">
        <v>1412</v>
      </c>
      <c r="AB753" t="s">
        <v>1412</v>
      </c>
      <c r="AC753" t="s">
        <v>1379</v>
      </c>
      <c r="AD753" t="s">
        <v>1387</v>
      </c>
      <c r="AE753" t="s">
        <v>1383</v>
      </c>
    </row>
    <row r="754" spans="1:31" x14ac:dyDescent="0.3">
      <c r="A754" t="s">
        <v>932</v>
      </c>
      <c r="B754" s="4">
        <v>45689.561111111107</v>
      </c>
      <c r="C754" t="s">
        <v>387</v>
      </c>
      <c r="D754" t="s">
        <v>1148</v>
      </c>
      <c r="E754" t="s">
        <v>1262</v>
      </c>
      <c r="F754" t="str" cm="1">
        <f t="array" ref="F754">_xlfn.IFS(
E754="Ahmedabad","Gujarat",
E754="Bengaluru","Karnataka",
E754="Bhopal","Madhya Pradesh",
E754="Bhubaneswar","Odisha",
E754="Chandigarh","Chandigarh",
E754="Chennai","Tamil Nadu",
E754="Delhi","Delhi",
E754="Guwahati","Assam",
E754="Hyderabad","Telangana",
E754="Indore","Madhya Pradesh",
E754="Jaipur","Rajasthan",
E754="Kochi","Kerala",
E754="Kolkata","West Bengal",
E754="Lucknow","Uttar Pradesh",
E754="Mumbai","Maharashtra",
E754="Nagpur","Maharashtra",
E754="Patna","Bihar",
E754="Pune","Maharashtra",
E754="Raipur","Chhattisgarh",
E754="Surat","Gujarat",
TRUE,"Not Found"
)</f>
        <v>Rajasthan</v>
      </c>
      <c r="G754" t="s">
        <v>1150</v>
      </c>
      <c r="H754" t="s">
        <v>1167</v>
      </c>
      <c r="I754" t="s">
        <v>1288</v>
      </c>
      <c r="J754" t="s">
        <v>1293</v>
      </c>
      <c r="K754" t="s">
        <v>1294</v>
      </c>
      <c r="L754">
        <v>1</v>
      </c>
      <c r="M754">
        <v>30455</v>
      </c>
      <c r="N754">
        <v>0</v>
      </c>
      <c r="O754">
        <v>30455</v>
      </c>
      <c r="P754">
        <v>0.05</v>
      </c>
      <c r="Q754">
        <v>30455</v>
      </c>
      <c r="R754">
        <v>1522.75</v>
      </c>
      <c r="S754">
        <v>31977.75</v>
      </c>
      <c r="T754">
        <f>ROUND(Table2[[#This Row],[TotalAmount]],0)</f>
        <v>31978</v>
      </c>
      <c r="U754" t="s">
        <v>1362</v>
      </c>
      <c r="V754" t="s">
        <v>1361</v>
      </c>
      <c r="W754" s="4">
        <v>45691</v>
      </c>
      <c r="X754" s="4">
        <v>45694</v>
      </c>
      <c r="Y754" t="b">
        <v>0</v>
      </c>
      <c r="Z754" t="s">
        <v>1412</v>
      </c>
      <c r="AA754" t="s">
        <v>1412</v>
      </c>
      <c r="AB754" t="s">
        <v>1412</v>
      </c>
      <c r="AC754" t="s">
        <v>1386</v>
      </c>
      <c r="AD754" t="s">
        <v>1377</v>
      </c>
      <c r="AE754" t="s">
        <v>1389</v>
      </c>
    </row>
    <row r="755" spans="1:31" x14ac:dyDescent="0.3">
      <c r="A755" t="s">
        <v>933</v>
      </c>
      <c r="B755" s="4">
        <v>45340.467361111107</v>
      </c>
      <c r="C755" t="s">
        <v>366</v>
      </c>
      <c r="D755" t="s">
        <v>1157</v>
      </c>
      <c r="E755" t="s">
        <v>1249</v>
      </c>
      <c r="F755" t="str" cm="1">
        <f t="array" ref="F755">_xlfn.IFS(
E755="Ahmedabad","Gujarat",
E755="Bengaluru","Karnataka",
E755="Bhopal","Madhya Pradesh",
E755="Bhubaneswar","Odisha",
E755="Chandigarh","Chandigarh",
E755="Chennai","Tamil Nadu",
E755="Delhi","Delhi",
E755="Guwahati","Assam",
E755="Hyderabad","Telangana",
E755="Indore","Madhya Pradesh",
E755="Jaipur","Rajasthan",
E755="Kochi","Kerala",
E755="Kolkata","West Bengal",
E755="Lucknow","Uttar Pradesh",
E755="Mumbai","Maharashtra",
E755="Nagpur","Maharashtra",
E755="Patna","Bihar",
E755="Pune","Maharashtra",
E755="Raipur","Chhattisgarh",
E755="Surat","Gujarat",
TRUE,"Not Found"
)</f>
        <v>Maharashtra</v>
      </c>
      <c r="G755" t="s">
        <v>1143</v>
      </c>
      <c r="H755" t="s">
        <v>1144</v>
      </c>
      <c r="I755" t="s">
        <v>1269</v>
      </c>
      <c r="J755" t="s">
        <v>1270</v>
      </c>
      <c r="K755" t="s">
        <v>1271</v>
      </c>
      <c r="L755">
        <v>3</v>
      </c>
      <c r="M755">
        <v>8073</v>
      </c>
      <c r="N755">
        <v>0</v>
      </c>
      <c r="O755">
        <v>8073</v>
      </c>
      <c r="P755">
        <v>0.18</v>
      </c>
      <c r="Q755">
        <v>24219</v>
      </c>
      <c r="R755">
        <v>4359.42</v>
      </c>
      <c r="S755">
        <v>28578.42</v>
      </c>
      <c r="T755">
        <f>ROUND(Table2[[#This Row],[TotalAmount]],0)</f>
        <v>28578</v>
      </c>
      <c r="U755" t="s">
        <v>1363</v>
      </c>
      <c r="V755" t="s">
        <v>1361</v>
      </c>
      <c r="W755" s="4">
        <v>45341</v>
      </c>
      <c r="X755" s="4">
        <v>45346</v>
      </c>
      <c r="Y755" t="b">
        <v>0</v>
      </c>
      <c r="Z755" t="s">
        <v>1412</v>
      </c>
      <c r="AA755" t="s">
        <v>1412</v>
      </c>
      <c r="AB755" t="s">
        <v>1412</v>
      </c>
      <c r="AC755" t="s">
        <v>1388</v>
      </c>
      <c r="AD755" t="s">
        <v>1397</v>
      </c>
      <c r="AE755" t="s">
        <v>1383</v>
      </c>
    </row>
    <row r="756" spans="1:31" x14ac:dyDescent="0.3">
      <c r="A756" t="s">
        <v>934</v>
      </c>
      <c r="B756" s="4">
        <v>45444.488194444442</v>
      </c>
      <c r="C756" t="s">
        <v>627</v>
      </c>
      <c r="D756" t="s">
        <v>1182</v>
      </c>
      <c r="E756" t="s">
        <v>1256</v>
      </c>
      <c r="F756" t="str" cm="1">
        <f t="array" ref="F756">_xlfn.IFS(
E756="Ahmedabad","Gujarat",
E756="Bengaluru","Karnataka",
E756="Bhopal","Madhya Pradesh",
E756="Bhubaneswar","Odisha",
E756="Chandigarh","Chandigarh",
E756="Chennai","Tamil Nadu",
E756="Delhi","Delhi",
E756="Guwahati","Assam",
E756="Hyderabad","Telangana",
E756="Indore","Madhya Pradesh",
E756="Jaipur","Rajasthan",
E756="Kochi","Kerala",
E756="Kolkata","West Bengal",
E756="Lucknow","Uttar Pradesh",
E756="Mumbai","Maharashtra",
E756="Nagpur","Maharashtra",
E756="Patna","Bihar",
E756="Pune","Maharashtra",
E756="Raipur","Chhattisgarh",
E756="Surat","Gujarat",
TRUE,"Not Found"
)</f>
        <v>Karnataka</v>
      </c>
      <c r="G756" t="s">
        <v>1150</v>
      </c>
      <c r="H756" t="s">
        <v>1163</v>
      </c>
      <c r="I756" t="s">
        <v>1224</v>
      </c>
      <c r="J756" t="s">
        <v>1316</v>
      </c>
      <c r="K756" t="s">
        <v>1317</v>
      </c>
      <c r="L756">
        <v>1</v>
      </c>
      <c r="M756">
        <v>1140</v>
      </c>
      <c r="N756">
        <v>0.15</v>
      </c>
      <c r="O756">
        <v>969</v>
      </c>
      <c r="P756">
        <v>0.12</v>
      </c>
      <c r="Q756">
        <v>969</v>
      </c>
      <c r="R756">
        <v>116.28</v>
      </c>
      <c r="S756">
        <v>1085.28</v>
      </c>
      <c r="T756">
        <f>ROUND(Table2[[#This Row],[TotalAmount]],0)</f>
        <v>1085</v>
      </c>
      <c r="U756" t="s">
        <v>1360</v>
      </c>
      <c r="V756" t="s">
        <v>1361</v>
      </c>
      <c r="W756" s="4">
        <v>45446</v>
      </c>
      <c r="X756" s="4">
        <v>45450</v>
      </c>
      <c r="Y756" t="b">
        <v>0</v>
      </c>
      <c r="Z756" t="s">
        <v>1412</v>
      </c>
      <c r="AA756" t="s">
        <v>1412</v>
      </c>
      <c r="AB756" t="s">
        <v>1412</v>
      </c>
      <c r="AC756" t="s">
        <v>1386</v>
      </c>
      <c r="AD756" t="s">
        <v>1394</v>
      </c>
      <c r="AE756" t="s">
        <v>1383</v>
      </c>
    </row>
    <row r="757" spans="1:31" x14ac:dyDescent="0.3">
      <c r="A757" t="s">
        <v>935</v>
      </c>
      <c r="B757" s="4">
        <v>45482.605555555558</v>
      </c>
      <c r="C757" t="s">
        <v>392</v>
      </c>
      <c r="D757" t="s">
        <v>1153</v>
      </c>
      <c r="E757" t="s">
        <v>1191</v>
      </c>
      <c r="F757" t="str" cm="1">
        <f t="array" ref="F757">_xlfn.IFS(
E757="Ahmedabad","Gujarat",
E757="Bengaluru","Karnataka",
E757="Bhopal","Madhya Pradesh",
E757="Bhubaneswar","Odisha",
E757="Chandigarh","Chandigarh",
E757="Chennai","Tamil Nadu",
E757="Delhi","Delhi",
E757="Guwahati","Assam",
E757="Hyderabad","Telangana",
E757="Indore","Madhya Pradesh",
E757="Jaipur","Rajasthan",
E757="Kochi","Kerala",
E757="Kolkata","West Bengal",
E757="Lucknow","Uttar Pradesh",
E757="Mumbai","Maharashtra",
E757="Nagpur","Maharashtra",
E757="Patna","Bihar",
E757="Pune","Maharashtra",
E757="Raipur","Chhattisgarh",
E757="Surat","Gujarat",
TRUE,"Not Found"
)</f>
        <v>Madhya Pradesh</v>
      </c>
      <c r="G757" t="s">
        <v>1143</v>
      </c>
      <c r="H757" t="s">
        <v>1163</v>
      </c>
      <c r="I757" t="s">
        <v>1164</v>
      </c>
      <c r="J757" t="s">
        <v>1165</v>
      </c>
      <c r="K757" t="s">
        <v>1166</v>
      </c>
      <c r="L757">
        <v>1</v>
      </c>
      <c r="M757">
        <v>668</v>
      </c>
      <c r="N757">
        <v>0.2</v>
      </c>
      <c r="O757">
        <v>534.4</v>
      </c>
      <c r="P757">
        <v>0.12</v>
      </c>
      <c r="Q757">
        <v>534.4</v>
      </c>
      <c r="R757">
        <v>64.128</v>
      </c>
      <c r="S757">
        <v>598.52800000000002</v>
      </c>
      <c r="T757">
        <f>ROUND(Table2[[#This Row],[TotalAmount]],0)</f>
        <v>599</v>
      </c>
      <c r="U757" t="s">
        <v>1360</v>
      </c>
      <c r="V757" t="s">
        <v>1361</v>
      </c>
      <c r="W757" s="4">
        <v>45483</v>
      </c>
      <c r="X757" s="4">
        <v>45487</v>
      </c>
      <c r="Y757" t="b">
        <v>0</v>
      </c>
      <c r="Z757" t="s">
        <v>1412</v>
      </c>
      <c r="AA757" t="s">
        <v>1412</v>
      </c>
      <c r="AB757" t="s">
        <v>1412</v>
      </c>
      <c r="AC757" t="s">
        <v>1392</v>
      </c>
      <c r="AD757" t="s">
        <v>1397</v>
      </c>
      <c r="AE757" t="s">
        <v>1393</v>
      </c>
    </row>
    <row r="758" spans="1:31" x14ac:dyDescent="0.3">
      <c r="A758" t="s">
        <v>936</v>
      </c>
      <c r="B758" s="4">
        <v>45400.543055555558</v>
      </c>
      <c r="C758" t="s">
        <v>378</v>
      </c>
      <c r="D758" t="s">
        <v>1157</v>
      </c>
      <c r="E758" t="s">
        <v>1158</v>
      </c>
      <c r="F758" t="str" cm="1">
        <f t="array" ref="F758">_xlfn.IFS(
E758="Ahmedabad","Gujarat",
E758="Bengaluru","Karnataka",
E758="Bhopal","Madhya Pradesh",
E758="Bhubaneswar","Odisha",
E758="Chandigarh","Chandigarh",
E758="Chennai","Tamil Nadu",
E758="Delhi","Delhi",
E758="Guwahati","Assam",
E758="Hyderabad","Telangana",
E758="Indore","Madhya Pradesh",
E758="Jaipur","Rajasthan",
E758="Kochi","Kerala",
E758="Kolkata","West Bengal",
E758="Lucknow","Uttar Pradesh",
E758="Mumbai","Maharashtra",
E758="Nagpur","Maharashtra",
E758="Patna","Bihar",
E758="Pune","Maharashtra",
E758="Raipur","Chhattisgarh",
E758="Surat","Gujarat",
TRUE,"Not Found"
)</f>
        <v>Gujarat</v>
      </c>
      <c r="G758" t="s">
        <v>1150</v>
      </c>
      <c r="H758" t="s">
        <v>1167</v>
      </c>
      <c r="I758" t="s">
        <v>1208</v>
      </c>
      <c r="J758" t="s">
        <v>1322</v>
      </c>
      <c r="K758" t="s">
        <v>1323</v>
      </c>
      <c r="L758">
        <v>5</v>
      </c>
      <c r="M758">
        <v>45799</v>
      </c>
      <c r="N758">
        <v>0</v>
      </c>
      <c r="O758">
        <v>45799</v>
      </c>
      <c r="P758">
        <v>0.12</v>
      </c>
      <c r="Q758">
        <v>228995</v>
      </c>
      <c r="R758">
        <v>27479.4</v>
      </c>
      <c r="S758">
        <v>256474.4</v>
      </c>
      <c r="T758">
        <f>ROUND(Table2[[#This Row],[TotalAmount]],0)</f>
        <v>256474</v>
      </c>
      <c r="U758" t="s">
        <v>1360</v>
      </c>
      <c r="V758" t="s">
        <v>1364</v>
      </c>
      <c r="W758" s="4">
        <v>45401</v>
      </c>
      <c r="X758" s="4" t="s">
        <v>1412</v>
      </c>
      <c r="Y758" t="b">
        <v>1</v>
      </c>
      <c r="Z758" s="1">
        <v>45407</v>
      </c>
      <c r="AA758" s="1">
        <v>45407</v>
      </c>
      <c r="AB758" t="s">
        <v>1381</v>
      </c>
      <c r="AC758" t="s">
        <v>1376</v>
      </c>
      <c r="AD758" t="s">
        <v>1397</v>
      </c>
      <c r="AE758" t="s">
        <v>1391</v>
      </c>
    </row>
    <row r="759" spans="1:31" x14ac:dyDescent="0.3">
      <c r="A759" t="s">
        <v>937</v>
      </c>
      <c r="B759" s="4">
        <v>45462.490972222222</v>
      </c>
      <c r="C759" t="s">
        <v>460</v>
      </c>
      <c r="D759" t="s">
        <v>1182</v>
      </c>
      <c r="E759" t="s">
        <v>1256</v>
      </c>
      <c r="F759" t="str" cm="1">
        <f t="array" ref="F759">_xlfn.IFS(
E759="Ahmedabad","Gujarat",
E759="Bengaluru","Karnataka",
E759="Bhopal","Madhya Pradesh",
E759="Bhubaneswar","Odisha",
E759="Chandigarh","Chandigarh",
E759="Chennai","Tamil Nadu",
E759="Delhi","Delhi",
E759="Guwahati","Assam",
E759="Hyderabad","Telangana",
E759="Indore","Madhya Pradesh",
E759="Jaipur","Rajasthan",
E759="Kochi","Kerala",
E759="Kolkata","West Bengal",
E759="Lucknow","Uttar Pradesh",
E759="Mumbai","Maharashtra",
E759="Nagpur","Maharashtra",
E759="Patna","Bihar",
E759="Pune","Maharashtra",
E759="Raipur","Chhattisgarh",
E759="Surat","Gujarat",
TRUE,"Not Found"
)</f>
        <v>Karnataka</v>
      </c>
      <c r="G759" t="s">
        <v>1143</v>
      </c>
      <c r="H759" t="s">
        <v>1172</v>
      </c>
      <c r="I759" t="s">
        <v>1198</v>
      </c>
      <c r="J759" t="s">
        <v>1199</v>
      </c>
      <c r="K759" t="s">
        <v>1200</v>
      </c>
      <c r="L759">
        <v>1</v>
      </c>
      <c r="M759">
        <v>7312</v>
      </c>
      <c r="N759">
        <v>0</v>
      </c>
      <c r="O759">
        <v>7312</v>
      </c>
      <c r="P759">
        <v>0.18</v>
      </c>
      <c r="Q759">
        <v>7312</v>
      </c>
      <c r="R759">
        <v>1316.16</v>
      </c>
      <c r="S759">
        <v>8628.16</v>
      </c>
      <c r="T759">
        <f>ROUND(Table2[[#This Row],[TotalAmount]],0)</f>
        <v>8628</v>
      </c>
      <c r="U759" t="s">
        <v>1365</v>
      </c>
      <c r="V759" t="s">
        <v>1368</v>
      </c>
      <c r="W759" s="4">
        <v>45463</v>
      </c>
      <c r="X759" s="4" t="s">
        <v>1412</v>
      </c>
      <c r="Y759" t="b">
        <v>0</v>
      </c>
      <c r="Z759" t="s">
        <v>1412</v>
      </c>
      <c r="AA759" t="s">
        <v>1412</v>
      </c>
      <c r="AB759" t="s">
        <v>1412</v>
      </c>
      <c r="AC759" t="s">
        <v>1379</v>
      </c>
      <c r="AD759" t="s">
        <v>1387</v>
      </c>
      <c r="AE759" t="s">
        <v>1380</v>
      </c>
    </row>
    <row r="760" spans="1:31" x14ac:dyDescent="0.3">
      <c r="A760" t="s">
        <v>938</v>
      </c>
      <c r="B760" s="4">
        <v>45302.588888888888</v>
      </c>
      <c r="C760" t="s">
        <v>146</v>
      </c>
      <c r="D760" t="s">
        <v>1148</v>
      </c>
      <c r="E760" t="s">
        <v>1149</v>
      </c>
      <c r="F760" t="str" cm="1">
        <f t="array" ref="F760">_xlfn.IFS(
E760="Ahmedabad","Gujarat",
E760="Bengaluru","Karnataka",
E760="Bhopal","Madhya Pradesh",
E760="Bhubaneswar","Odisha",
E760="Chandigarh","Chandigarh",
E760="Chennai","Tamil Nadu",
E760="Delhi","Delhi",
E760="Guwahati","Assam",
E760="Hyderabad","Telangana",
E760="Indore","Madhya Pradesh",
E760="Jaipur","Rajasthan",
E760="Kochi","Kerala",
E760="Kolkata","West Bengal",
E760="Lucknow","Uttar Pradesh",
E760="Mumbai","Maharashtra",
E760="Nagpur","Maharashtra",
E760="Patna","Bihar",
E760="Pune","Maharashtra",
E760="Raipur","Chhattisgarh",
E760="Surat","Gujarat",
TRUE,"Not Found"
)</f>
        <v>Uttar Pradesh</v>
      </c>
      <c r="G760" t="s">
        <v>1150</v>
      </c>
      <c r="H760" t="s">
        <v>1172</v>
      </c>
      <c r="I760" t="s">
        <v>1198</v>
      </c>
      <c r="J760" t="s">
        <v>1250</v>
      </c>
      <c r="K760" t="s">
        <v>1251</v>
      </c>
      <c r="L760">
        <v>1</v>
      </c>
      <c r="M760">
        <v>8586</v>
      </c>
      <c r="N760">
        <v>0</v>
      </c>
      <c r="O760">
        <v>8586</v>
      </c>
      <c r="P760">
        <v>0.12</v>
      </c>
      <c r="Q760">
        <v>8586</v>
      </c>
      <c r="R760">
        <v>1030.32</v>
      </c>
      <c r="S760">
        <v>9616.32</v>
      </c>
      <c r="T760">
        <f>ROUND(Table2[[#This Row],[TotalAmount]],0)</f>
        <v>9616</v>
      </c>
      <c r="U760" t="s">
        <v>1363</v>
      </c>
      <c r="V760" t="s">
        <v>1361</v>
      </c>
      <c r="W760" s="4">
        <v>45303</v>
      </c>
      <c r="X760" s="4">
        <v>45308</v>
      </c>
      <c r="Y760" t="b">
        <v>0</v>
      </c>
      <c r="Z760" t="s">
        <v>1412</v>
      </c>
      <c r="AA760" t="s">
        <v>1412</v>
      </c>
      <c r="AB760" t="s">
        <v>1412</v>
      </c>
      <c r="AC760" t="s">
        <v>1392</v>
      </c>
      <c r="AD760" t="s">
        <v>1400</v>
      </c>
      <c r="AE760" t="s">
        <v>1380</v>
      </c>
    </row>
    <row r="761" spans="1:31" x14ac:dyDescent="0.3">
      <c r="A761" t="s">
        <v>939</v>
      </c>
      <c r="B761" s="4">
        <v>45569.508333333331</v>
      </c>
      <c r="C761" t="s">
        <v>247</v>
      </c>
      <c r="D761" t="s">
        <v>1141</v>
      </c>
      <c r="E761" t="s">
        <v>1227</v>
      </c>
      <c r="F761" t="str" cm="1">
        <f t="array" ref="F761">_xlfn.IFS(
E761="Ahmedabad","Gujarat",
E761="Bengaluru","Karnataka",
E761="Bhopal","Madhya Pradesh",
E761="Bhubaneswar","Odisha",
E761="Chandigarh","Chandigarh",
E761="Chennai","Tamil Nadu",
E761="Delhi","Delhi",
E761="Guwahati","Assam",
E761="Hyderabad","Telangana",
E761="Indore","Madhya Pradesh",
E761="Jaipur","Rajasthan",
E761="Kochi","Kerala",
E761="Kolkata","West Bengal",
E761="Lucknow","Uttar Pradesh",
E761="Mumbai","Maharashtra",
E761="Nagpur","Maharashtra",
E761="Patna","Bihar",
E761="Pune","Maharashtra",
E761="Raipur","Chhattisgarh",
E761="Surat","Gujarat",
TRUE,"Not Found"
)</f>
        <v>Bihar</v>
      </c>
      <c r="G761" t="s">
        <v>1143</v>
      </c>
      <c r="H761" t="s">
        <v>1144</v>
      </c>
      <c r="I761" t="s">
        <v>1269</v>
      </c>
      <c r="J761" t="s">
        <v>1326</v>
      </c>
      <c r="K761" t="s">
        <v>1327</v>
      </c>
      <c r="L761">
        <v>2</v>
      </c>
      <c r="M761">
        <v>8119</v>
      </c>
      <c r="N761">
        <v>0</v>
      </c>
      <c r="O761">
        <v>8119</v>
      </c>
      <c r="P761">
        <v>0.18</v>
      </c>
      <c r="Q761">
        <v>16238</v>
      </c>
      <c r="R761">
        <v>2922.84</v>
      </c>
      <c r="S761">
        <v>19160.84</v>
      </c>
      <c r="T761">
        <f>ROUND(Table2[[#This Row],[TotalAmount]],0)</f>
        <v>19161</v>
      </c>
      <c r="U761" t="s">
        <v>1366</v>
      </c>
      <c r="V761" t="s">
        <v>1361</v>
      </c>
      <c r="W761" s="4">
        <v>45569</v>
      </c>
      <c r="X761" s="4">
        <v>45570</v>
      </c>
      <c r="Y761" t="b">
        <v>0</v>
      </c>
      <c r="Z761" t="s">
        <v>1412</v>
      </c>
      <c r="AA761" t="s">
        <v>1412</v>
      </c>
      <c r="AB761" t="s">
        <v>1412</v>
      </c>
      <c r="AC761" t="s">
        <v>1376</v>
      </c>
      <c r="AD761" t="s">
        <v>1400</v>
      </c>
      <c r="AE761" t="s">
        <v>1380</v>
      </c>
    </row>
    <row r="762" spans="1:31" x14ac:dyDescent="0.3">
      <c r="A762" t="s">
        <v>940</v>
      </c>
      <c r="B762" s="4">
        <v>45509.583333333343</v>
      </c>
      <c r="C762" t="s">
        <v>768</v>
      </c>
      <c r="D762" t="s">
        <v>1182</v>
      </c>
      <c r="E762" t="s">
        <v>1256</v>
      </c>
      <c r="F762" t="str" cm="1">
        <f t="array" ref="F762">_xlfn.IFS(
E762="Ahmedabad","Gujarat",
E762="Bengaluru","Karnataka",
E762="Bhopal","Madhya Pradesh",
E762="Bhubaneswar","Odisha",
E762="Chandigarh","Chandigarh",
E762="Chennai","Tamil Nadu",
E762="Delhi","Delhi",
E762="Guwahati","Assam",
E762="Hyderabad","Telangana",
E762="Indore","Madhya Pradesh",
E762="Jaipur","Rajasthan",
E762="Kochi","Kerala",
E762="Kolkata","West Bengal",
E762="Lucknow","Uttar Pradesh",
E762="Mumbai","Maharashtra",
E762="Nagpur","Maharashtra",
E762="Patna","Bihar",
E762="Pune","Maharashtra",
E762="Raipur","Chhattisgarh",
E762="Surat","Gujarat",
TRUE,"Not Found"
)</f>
        <v>Karnataka</v>
      </c>
      <c r="G762" t="s">
        <v>1150</v>
      </c>
      <c r="H762" t="s">
        <v>1144</v>
      </c>
      <c r="I762" t="s">
        <v>1214</v>
      </c>
      <c r="J762" t="s">
        <v>1215</v>
      </c>
      <c r="K762" t="s">
        <v>1216</v>
      </c>
      <c r="L762">
        <v>4</v>
      </c>
      <c r="M762">
        <v>14853</v>
      </c>
      <c r="N762">
        <v>0</v>
      </c>
      <c r="O762">
        <v>14853</v>
      </c>
      <c r="P762">
        <v>0.05</v>
      </c>
      <c r="Q762">
        <v>59412</v>
      </c>
      <c r="R762">
        <v>2970.6</v>
      </c>
      <c r="S762">
        <v>62382.6</v>
      </c>
      <c r="T762">
        <f>ROUND(Table2[[#This Row],[TotalAmount]],0)</f>
        <v>62383</v>
      </c>
      <c r="U762" t="s">
        <v>1366</v>
      </c>
      <c r="V762" t="s">
        <v>1364</v>
      </c>
      <c r="W762" s="4">
        <v>45511</v>
      </c>
      <c r="X762" s="4" t="s">
        <v>1412</v>
      </c>
      <c r="Y762" t="b">
        <v>1</v>
      </c>
      <c r="Z762" s="1">
        <v>45514</v>
      </c>
      <c r="AA762" s="1">
        <v>45514</v>
      </c>
      <c r="AB762" t="s">
        <v>1401</v>
      </c>
      <c r="AC762" t="s">
        <v>1396</v>
      </c>
      <c r="AD762" t="s">
        <v>1377</v>
      </c>
      <c r="AE762" t="s">
        <v>1395</v>
      </c>
    </row>
    <row r="763" spans="1:31" x14ac:dyDescent="0.3">
      <c r="A763" t="s">
        <v>941</v>
      </c>
      <c r="B763" s="4">
        <v>45443.568055555559</v>
      </c>
      <c r="C763" t="s">
        <v>229</v>
      </c>
      <c r="D763" t="s">
        <v>1148</v>
      </c>
      <c r="E763" t="s">
        <v>1149</v>
      </c>
      <c r="F763" t="str" cm="1">
        <f t="array" ref="F763">_xlfn.IFS(
E763="Ahmedabad","Gujarat",
E763="Bengaluru","Karnataka",
E763="Bhopal","Madhya Pradesh",
E763="Bhubaneswar","Odisha",
E763="Chandigarh","Chandigarh",
E763="Chennai","Tamil Nadu",
E763="Delhi","Delhi",
E763="Guwahati","Assam",
E763="Hyderabad","Telangana",
E763="Indore","Madhya Pradesh",
E763="Jaipur","Rajasthan",
E763="Kochi","Kerala",
E763="Kolkata","West Bengal",
E763="Lucknow","Uttar Pradesh",
E763="Mumbai","Maharashtra",
E763="Nagpur","Maharashtra",
E763="Patna","Bihar",
E763="Pune","Maharashtra",
E763="Raipur","Chhattisgarh",
E763="Surat","Gujarat",
TRUE,"Not Found"
)</f>
        <v>Uttar Pradesh</v>
      </c>
      <c r="G763" t="s">
        <v>1150</v>
      </c>
      <c r="H763" t="s">
        <v>1177</v>
      </c>
      <c r="I763" t="s">
        <v>1309</v>
      </c>
      <c r="J763" t="s">
        <v>1328</v>
      </c>
      <c r="K763" t="s">
        <v>1329</v>
      </c>
      <c r="L763">
        <v>3</v>
      </c>
      <c r="M763">
        <v>2085</v>
      </c>
      <c r="N763">
        <v>0.1</v>
      </c>
      <c r="O763">
        <v>1876.5</v>
      </c>
      <c r="P763">
        <v>0.12</v>
      </c>
      <c r="Q763">
        <v>5629.5</v>
      </c>
      <c r="R763">
        <v>675.54</v>
      </c>
      <c r="S763">
        <v>6305.04</v>
      </c>
      <c r="T763">
        <f>ROUND(Table2[[#This Row],[TotalAmount]],0)</f>
        <v>6305</v>
      </c>
      <c r="U763" t="s">
        <v>1363</v>
      </c>
      <c r="V763" t="s">
        <v>1361</v>
      </c>
      <c r="W763" s="4">
        <v>45444</v>
      </c>
      <c r="X763" s="4">
        <v>45449</v>
      </c>
      <c r="Y763" t="b">
        <v>0</v>
      </c>
      <c r="Z763" t="s">
        <v>1412</v>
      </c>
      <c r="AA763" t="s">
        <v>1412</v>
      </c>
      <c r="AB763" t="s">
        <v>1412</v>
      </c>
      <c r="AC763" t="s">
        <v>1392</v>
      </c>
      <c r="AD763" t="s">
        <v>1377</v>
      </c>
      <c r="AE763" t="s">
        <v>1380</v>
      </c>
    </row>
    <row r="764" spans="1:31" x14ac:dyDescent="0.3">
      <c r="A764" t="s">
        <v>942</v>
      </c>
      <c r="B764" s="4">
        <v>45737.48333333333</v>
      </c>
      <c r="C764" t="s">
        <v>79</v>
      </c>
      <c r="D764" t="s">
        <v>1182</v>
      </c>
      <c r="E764" t="s">
        <v>1257</v>
      </c>
      <c r="F764" t="str" cm="1">
        <f t="array" ref="F764">_xlfn.IFS(
E764="Ahmedabad","Gujarat",
E764="Bengaluru","Karnataka",
E764="Bhopal","Madhya Pradesh",
E764="Bhubaneswar","Odisha",
E764="Chandigarh","Chandigarh",
E764="Chennai","Tamil Nadu",
E764="Delhi","Delhi",
E764="Guwahati","Assam",
E764="Hyderabad","Telangana",
E764="Indore","Madhya Pradesh",
E764="Jaipur","Rajasthan",
E764="Kochi","Kerala",
E764="Kolkata","West Bengal",
E764="Lucknow","Uttar Pradesh",
E764="Mumbai","Maharashtra",
E764="Nagpur","Maharashtra",
E764="Patna","Bihar",
E764="Pune","Maharashtra",
E764="Raipur","Chhattisgarh",
E764="Surat","Gujarat",
TRUE,"Not Found"
)</f>
        <v>Kerala</v>
      </c>
      <c r="G764" t="s">
        <v>1150</v>
      </c>
      <c r="H764" t="s">
        <v>1144</v>
      </c>
      <c r="I764" t="s">
        <v>1159</v>
      </c>
      <c r="J764" t="s">
        <v>1272</v>
      </c>
      <c r="K764" t="s">
        <v>1273</v>
      </c>
      <c r="L764">
        <v>2</v>
      </c>
      <c r="M764">
        <v>7082</v>
      </c>
      <c r="N764">
        <v>0</v>
      </c>
      <c r="O764">
        <v>7082</v>
      </c>
      <c r="P764">
        <v>0.12</v>
      </c>
      <c r="Q764">
        <v>14164</v>
      </c>
      <c r="R764">
        <v>1699.68</v>
      </c>
      <c r="S764">
        <v>15863.68</v>
      </c>
      <c r="T764">
        <f>ROUND(Table2[[#This Row],[TotalAmount]],0)</f>
        <v>15864</v>
      </c>
      <c r="U764" t="s">
        <v>1363</v>
      </c>
      <c r="V764" t="s">
        <v>1361</v>
      </c>
      <c r="W764" s="4">
        <v>45738</v>
      </c>
      <c r="X764" s="4">
        <v>45743</v>
      </c>
      <c r="Y764" t="b">
        <v>0</v>
      </c>
      <c r="Z764" t="s">
        <v>1412</v>
      </c>
      <c r="AA764" t="s">
        <v>1412</v>
      </c>
      <c r="AB764" t="s">
        <v>1412</v>
      </c>
      <c r="AC764" t="s">
        <v>1376</v>
      </c>
      <c r="AD764" t="s">
        <v>1394</v>
      </c>
      <c r="AE764" t="s">
        <v>1389</v>
      </c>
    </row>
    <row r="765" spans="1:31" x14ac:dyDescent="0.3">
      <c r="A765" t="s">
        <v>943</v>
      </c>
      <c r="B765" s="4">
        <v>45531.561805555553</v>
      </c>
      <c r="C765" t="s">
        <v>143</v>
      </c>
      <c r="D765" t="s">
        <v>1153</v>
      </c>
      <c r="E765" t="s">
        <v>1154</v>
      </c>
      <c r="F765" t="str" cm="1">
        <f t="array" ref="F765">_xlfn.IFS(
E765="Ahmedabad","Gujarat",
E765="Bengaluru","Karnataka",
E765="Bhopal","Madhya Pradesh",
E765="Bhubaneswar","Odisha",
E765="Chandigarh","Chandigarh",
E765="Chennai","Tamil Nadu",
E765="Delhi","Delhi",
E765="Guwahati","Assam",
E765="Hyderabad","Telangana",
E765="Indore","Madhya Pradesh",
E765="Jaipur","Rajasthan",
E765="Kochi","Kerala",
E765="Kolkata","West Bengal",
E765="Lucknow","Uttar Pradesh",
E765="Mumbai","Maharashtra",
E765="Nagpur","Maharashtra",
E765="Patna","Bihar",
E765="Pune","Maharashtra",
E765="Raipur","Chhattisgarh",
E765="Surat","Gujarat",
TRUE,"Not Found"
)</f>
        <v>Maharashtra</v>
      </c>
      <c r="G765" t="s">
        <v>1143</v>
      </c>
      <c r="H765" t="s">
        <v>1163</v>
      </c>
      <c r="I765" t="s">
        <v>1184</v>
      </c>
      <c r="J765" t="s">
        <v>1260</v>
      </c>
      <c r="K765" t="s">
        <v>1261</v>
      </c>
      <c r="L765">
        <v>2</v>
      </c>
      <c r="M765">
        <v>864</v>
      </c>
      <c r="N765">
        <v>0.05</v>
      </c>
      <c r="O765">
        <v>820.8</v>
      </c>
      <c r="P765">
        <v>0.05</v>
      </c>
      <c r="Q765">
        <v>1641.6</v>
      </c>
      <c r="R765">
        <v>82.08</v>
      </c>
      <c r="S765">
        <v>1723.68</v>
      </c>
      <c r="T765">
        <f>ROUND(Table2[[#This Row],[TotalAmount]],0)</f>
        <v>1724</v>
      </c>
      <c r="U765" t="s">
        <v>1360</v>
      </c>
      <c r="V765" t="s">
        <v>1361</v>
      </c>
      <c r="W765" s="4">
        <v>45531</v>
      </c>
      <c r="X765" s="4">
        <v>45534</v>
      </c>
      <c r="Y765" t="b">
        <v>0</v>
      </c>
      <c r="Z765" t="s">
        <v>1412</v>
      </c>
      <c r="AA765" t="s">
        <v>1412</v>
      </c>
      <c r="AB765" t="s">
        <v>1412</v>
      </c>
      <c r="AC765" t="s">
        <v>1398</v>
      </c>
      <c r="AD765" t="s">
        <v>1397</v>
      </c>
      <c r="AE765" t="s">
        <v>1383</v>
      </c>
    </row>
    <row r="766" spans="1:31" x14ac:dyDescent="0.3">
      <c r="A766" t="s">
        <v>944</v>
      </c>
      <c r="B766" s="4">
        <v>45679.518750000003</v>
      </c>
      <c r="C766" t="s">
        <v>469</v>
      </c>
      <c r="D766" t="s">
        <v>1153</v>
      </c>
      <c r="E766" t="s">
        <v>1176</v>
      </c>
      <c r="F766" t="str" cm="1">
        <f t="array" ref="F766">_xlfn.IFS(
E766="Ahmedabad","Gujarat",
E766="Bengaluru","Karnataka",
E766="Bhopal","Madhya Pradesh",
E766="Bhubaneswar","Odisha",
E766="Chandigarh","Chandigarh",
E766="Chennai","Tamil Nadu",
E766="Delhi","Delhi",
E766="Guwahati","Assam",
E766="Hyderabad","Telangana",
E766="Indore","Madhya Pradesh",
E766="Jaipur","Rajasthan",
E766="Kochi","Kerala",
E766="Kolkata","West Bengal",
E766="Lucknow","Uttar Pradesh",
E766="Mumbai","Maharashtra",
E766="Nagpur","Maharashtra",
E766="Patna","Bihar",
E766="Pune","Maharashtra",
E766="Raipur","Chhattisgarh",
E766="Surat","Gujarat",
TRUE,"Not Found"
)</f>
        <v>Chhattisgarh</v>
      </c>
      <c r="G766" t="s">
        <v>1143</v>
      </c>
      <c r="H766" t="s">
        <v>1172</v>
      </c>
      <c r="I766" t="s">
        <v>1173</v>
      </c>
      <c r="J766" t="s">
        <v>1342</v>
      </c>
      <c r="K766" t="s">
        <v>1343</v>
      </c>
      <c r="L766">
        <v>3</v>
      </c>
      <c r="M766">
        <v>7762</v>
      </c>
      <c r="N766">
        <v>0</v>
      </c>
      <c r="O766">
        <v>7762</v>
      </c>
      <c r="P766">
        <v>0.12</v>
      </c>
      <c r="Q766">
        <v>23286</v>
      </c>
      <c r="R766">
        <v>2794.32</v>
      </c>
      <c r="S766">
        <v>26080.32</v>
      </c>
      <c r="T766">
        <f>ROUND(Table2[[#This Row],[TotalAmount]],0)</f>
        <v>26080</v>
      </c>
      <c r="U766" t="s">
        <v>1360</v>
      </c>
      <c r="V766" t="s">
        <v>1361</v>
      </c>
      <c r="W766" s="4">
        <v>45679</v>
      </c>
      <c r="X766" s="4">
        <v>45682</v>
      </c>
      <c r="Y766" t="b">
        <v>0</v>
      </c>
      <c r="Z766" t="s">
        <v>1412</v>
      </c>
      <c r="AA766" t="s">
        <v>1412</v>
      </c>
      <c r="AB766" t="s">
        <v>1412</v>
      </c>
      <c r="AC766" t="s">
        <v>1390</v>
      </c>
      <c r="AD766" t="s">
        <v>1400</v>
      </c>
      <c r="AE766" t="s">
        <v>1383</v>
      </c>
    </row>
    <row r="767" spans="1:31" x14ac:dyDescent="0.3">
      <c r="A767" t="s">
        <v>945</v>
      </c>
      <c r="B767" s="4">
        <v>45543.539583333331</v>
      </c>
      <c r="C767" t="s">
        <v>946</v>
      </c>
      <c r="D767" t="s">
        <v>1182</v>
      </c>
      <c r="E767" t="s">
        <v>1207</v>
      </c>
      <c r="F767" t="str" cm="1">
        <f t="array" ref="F767">_xlfn.IFS(
E767="Ahmedabad","Gujarat",
E767="Bengaluru","Karnataka",
E767="Bhopal","Madhya Pradesh",
E767="Bhubaneswar","Odisha",
E767="Chandigarh","Chandigarh",
E767="Chennai","Tamil Nadu",
E767="Delhi","Delhi",
E767="Guwahati","Assam",
E767="Hyderabad","Telangana",
E767="Indore","Madhya Pradesh",
E767="Jaipur","Rajasthan",
E767="Kochi","Kerala",
E767="Kolkata","West Bengal",
E767="Lucknow","Uttar Pradesh",
E767="Mumbai","Maharashtra",
E767="Nagpur","Maharashtra",
E767="Patna","Bihar",
E767="Pune","Maharashtra",
E767="Raipur","Chhattisgarh",
E767="Surat","Gujarat",
TRUE,"Not Found"
)</f>
        <v>Tamil Nadu</v>
      </c>
      <c r="G767" t="s">
        <v>1143</v>
      </c>
      <c r="H767" t="s">
        <v>1177</v>
      </c>
      <c r="I767" t="s">
        <v>1309</v>
      </c>
      <c r="J767" t="s">
        <v>1310</v>
      </c>
      <c r="K767" t="s">
        <v>1311</v>
      </c>
      <c r="L767">
        <v>3</v>
      </c>
      <c r="M767">
        <v>1665</v>
      </c>
      <c r="N767">
        <v>0.05</v>
      </c>
      <c r="O767">
        <v>1581.75</v>
      </c>
      <c r="P767">
        <v>0.12</v>
      </c>
      <c r="Q767">
        <v>4745.25</v>
      </c>
      <c r="R767">
        <v>569.42999999999995</v>
      </c>
      <c r="S767">
        <v>5314.68</v>
      </c>
      <c r="T767">
        <f>ROUND(Table2[[#This Row],[TotalAmount]],0)</f>
        <v>5315</v>
      </c>
      <c r="U767" t="s">
        <v>1360</v>
      </c>
      <c r="V767" t="s">
        <v>1361</v>
      </c>
      <c r="W767" s="4">
        <v>45545</v>
      </c>
      <c r="X767" s="4">
        <v>45549</v>
      </c>
      <c r="Y767" t="b">
        <v>0</v>
      </c>
      <c r="Z767" t="s">
        <v>1412</v>
      </c>
      <c r="AA767" t="s">
        <v>1412</v>
      </c>
      <c r="AB767" t="s">
        <v>1412</v>
      </c>
      <c r="AC767" t="s">
        <v>1388</v>
      </c>
      <c r="AD767" t="s">
        <v>1400</v>
      </c>
      <c r="AE767" t="s">
        <v>1380</v>
      </c>
    </row>
    <row r="768" spans="1:31" x14ac:dyDescent="0.3">
      <c r="A768" t="s">
        <v>947</v>
      </c>
      <c r="B768" s="4">
        <v>45590.666666666657</v>
      </c>
      <c r="C768" t="s">
        <v>67</v>
      </c>
      <c r="D768" t="s">
        <v>1148</v>
      </c>
      <c r="E768" t="s">
        <v>1149</v>
      </c>
      <c r="F768" t="str" cm="1">
        <f t="array" ref="F768">_xlfn.IFS(
E768="Ahmedabad","Gujarat",
E768="Bengaluru","Karnataka",
E768="Bhopal","Madhya Pradesh",
E768="Bhubaneswar","Odisha",
E768="Chandigarh","Chandigarh",
E768="Chennai","Tamil Nadu",
E768="Delhi","Delhi",
E768="Guwahati","Assam",
E768="Hyderabad","Telangana",
E768="Indore","Madhya Pradesh",
E768="Jaipur","Rajasthan",
E768="Kochi","Kerala",
E768="Kolkata","West Bengal",
E768="Lucknow","Uttar Pradesh",
E768="Mumbai","Maharashtra",
E768="Nagpur","Maharashtra",
E768="Patna","Bihar",
E768="Pune","Maharashtra",
E768="Raipur","Chhattisgarh",
E768="Surat","Gujarat",
TRUE,"Not Found"
)</f>
        <v>Uttar Pradesh</v>
      </c>
      <c r="G768" t="s">
        <v>1150</v>
      </c>
      <c r="H768" t="s">
        <v>1167</v>
      </c>
      <c r="I768" t="s">
        <v>1288</v>
      </c>
      <c r="J768" t="s">
        <v>1289</v>
      </c>
      <c r="K768" t="s">
        <v>1290</v>
      </c>
      <c r="L768">
        <v>4</v>
      </c>
      <c r="M768">
        <v>20861</v>
      </c>
      <c r="N768">
        <v>0.2</v>
      </c>
      <c r="O768">
        <v>16688.8</v>
      </c>
      <c r="P768">
        <v>0.12</v>
      </c>
      <c r="Q768">
        <v>66755.199999999997</v>
      </c>
      <c r="R768">
        <v>8010.6239999999998</v>
      </c>
      <c r="S768">
        <v>74765.823999999993</v>
      </c>
      <c r="T768">
        <f>ROUND(Table2[[#This Row],[TotalAmount]],0)</f>
        <v>74766</v>
      </c>
      <c r="U768" t="s">
        <v>1366</v>
      </c>
      <c r="V768" t="s">
        <v>1361</v>
      </c>
      <c r="W768" s="4">
        <v>45590</v>
      </c>
      <c r="X768" s="4">
        <v>45594</v>
      </c>
      <c r="Y768" t="b">
        <v>0</v>
      </c>
      <c r="Z768" t="s">
        <v>1412</v>
      </c>
      <c r="AA768" t="s">
        <v>1412</v>
      </c>
      <c r="AB768" t="s">
        <v>1412</v>
      </c>
      <c r="AC768" t="s">
        <v>1388</v>
      </c>
      <c r="AD768" t="s">
        <v>1400</v>
      </c>
      <c r="AE768" t="s">
        <v>1395</v>
      </c>
    </row>
    <row r="769" spans="1:31" x14ac:dyDescent="0.3">
      <c r="A769" t="s">
        <v>948</v>
      </c>
      <c r="B769" s="4">
        <v>45493.314583333333</v>
      </c>
      <c r="C769" t="s">
        <v>124</v>
      </c>
      <c r="D769" t="s">
        <v>1153</v>
      </c>
      <c r="E769" t="s">
        <v>1191</v>
      </c>
      <c r="F769" t="str" cm="1">
        <f t="array" ref="F769">_xlfn.IFS(
E769="Ahmedabad","Gujarat",
E769="Bengaluru","Karnataka",
E769="Bhopal","Madhya Pradesh",
E769="Bhubaneswar","Odisha",
E769="Chandigarh","Chandigarh",
E769="Chennai","Tamil Nadu",
E769="Delhi","Delhi",
E769="Guwahati","Assam",
E769="Hyderabad","Telangana",
E769="Indore","Madhya Pradesh",
E769="Jaipur","Rajasthan",
E769="Kochi","Kerala",
E769="Kolkata","West Bengal",
E769="Lucknow","Uttar Pradesh",
E769="Mumbai","Maharashtra",
E769="Nagpur","Maharashtra",
E769="Patna","Bihar",
E769="Pune","Maharashtra",
E769="Raipur","Chhattisgarh",
E769="Surat","Gujarat",
TRUE,"Not Found"
)</f>
        <v>Madhya Pradesh</v>
      </c>
      <c r="G769" t="s">
        <v>1187</v>
      </c>
      <c r="H769" t="s">
        <v>1163</v>
      </c>
      <c r="I769" t="s">
        <v>1224</v>
      </c>
      <c r="J769" t="s">
        <v>1225</v>
      </c>
      <c r="K769" t="s">
        <v>1226</v>
      </c>
      <c r="L769">
        <v>3</v>
      </c>
      <c r="M769">
        <v>1041</v>
      </c>
      <c r="N769">
        <v>0</v>
      </c>
      <c r="O769">
        <v>1041</v>
      </c>
      <c r="P769">
        <v>0.18</v>
      </c>
      <c r="Q769">
        <v>3123</v>
      </c>
      <c r="R769">
        <v>562.14</v>
      </c>
      <c r="S769">
        <v>3685.14</v>
      </c>
      <c r="T769">
        <f>ROUND(Table2[[#This Row],[TotalAmount]],0)</f>
        <v>3685</v>
      </c>
      <c r="U769" t="s">
        <v>1363</v>
      </c>
      <c r="V769" t="s">
        <v>1361</v>
      </c>
      <c r="W769" s="4">
        <v>45494</v>
      </c>
      <c r="X769" s="4">
        <v>45495</v>
      </c>
      <c r="Y769" t="b">
        <v>0</v>
      </c>
      <c r="Z769" t="s">
        <v>1412</v>
      </c>
      <c r="AA769" t="s">
        <v>1412</v>
      </c>
      <c r="AB769" t="s">
        <v>1412</v>
      </c>
      <c r="AC769" t="s">
        <v>1386</v>
      </c>
      <c r="AD769" t="s">
        <v>1394</v>
      </c>
      <c r="AE769" t="s">
        <v>1389</v>
      </c>
    </row>
    <row r="770" spans="1:31" x14ac:dyDescent="0.3">
      <c r="A770" t="s">
        <v>949</v>
      </c>
      <c r="B770" s="4">
        <v>45550.520138888889</v>
      </c>
      <c r="C770" t="s">
        <v>98</v>
      </c>
      <c r="D770" t="s">
        <v>1148</v>
      </c>
      <c r="E770" t="s">
        <v>1171</v>
      </c>
      <c r="F770" t="str" cm="1">
        <f t="array" ref="F770">_xlfn.IFS(
E770="Ahmedabad","Gujarat",
E770="Bengaluru","Karnataka",
E770="Bhopal","Madhya Pradesh",
E770="Bhubaneswar","Odisha",
E770="Chandigarh","Chandigarh",
E770="Chennai","Tamil Nadu",
E770="Delhi","Delhi",
E770="Guwahati","Assam",
E770="Hyderabad","Telangana",
E770="Indore","Madhya Pradesh",
E770="Jaipur","Rajasthan",
E770="Kochi","Kerala",
E770="Kolkata","West Bengal",
E770="Lucknow","Uttar Pradesh",
E770="Mumbai","Maharashtra",
E770="Nagpur","Maharashtra",
E770="Patna","Bihar",
E770="Pune","Maharashtra",
E770="Raipur","Chhattisgarh",
E770="Surat","Gujarat",
TRUE,"Not Found"
)</f>
        <v>Chandigarh</v>
      </c>
      <c r="G770" t="s">
        <v>1143</v>
      </c>
      <c r="H770" t="s">
        <v>1144</v>
      </c>
      <c r="I770" t="s">
        <v>1159</v>
      </c>
      <c r="J770" t="s">
        <v>1272</v>
      </c>
      <c r="K770" t="s">
        <v>1273</v>
      </c>
      <c r="L770">
        <v>1</v>
      </c>
      <c r="M770">
        <v>11072</v>
      </c>
      <c r="N770">
        <v>0</v>
      </c>
      <c r="O770">
        <v>11072</v>
      </c>
      <c r="P770">
        <v>0.12</v>
      </c>
      <c r="Q770">
        <v>11072</v>
      </c>
      <c r="R770">
        <v>1328.64</v>
      </c>
      <c r="S770">
        <v>12400.64</v>
      </c>
      <c r="T770">
        <f>ROUND(Table2[[#This Row],[TotalAmount]],0)</f>
        <v>12401</v>
      </c>
      <c r="U770" t="s">
        <v>1363</v>
      </c>
      <c r="V770" t="s">
        <v>1361</v>
      </c>
      <c r="W770" s="4">
        <v>45551</v>
      </c>
      <c r="X770" s="4">
        <v>45556</v>
      </c>
      <c r="Y770" t="b">
        <v>0</v>
      </c>
      <c r="Z770" t="s">
        <v>1412</v>
      </c>
      <c r="AA770" t="s">
        <v>1412</v>
      </c>
      <c r="AB770" t="s">
        <v>1412</v>
      </c>
      <c r="AC770" t="s">
        <v>1384</v>
      </c>
      <c r="AD770" t="s">
        <v>1399</v>
      </c>
      <c r="AE770" t="s">
        <v>1393</v>
      </c>
    </row>
    <row r="771" spans="1:31" x14ac:dyDescent="0.3">
      <c r="A771" t="s">
        <v>950</v>
      </c>
      <c r="B771" s="4">
        <v>45591.386805555558</v>
      </c>
      <c r="C771" t="s">
        <v>128</v>
      </c>
      <c r="D771" t="s">
        <v>1182</v>
      </c>
      <c r="E771" t="s">
        <v>1183</v>
      </c>
      <c r="F771" t="str" cm="1">
        <f t="array" ref="F771">_xlfn.IFS(
E771="Ahmedabad","Gujarat",
E771="Bengaluru","Karnataka",
E771="Bhopal","Madhya Pradesh",
E771="Bhubaneswar","Odisha",
E771="Chandigarh","Chandigarh",
E771="Chennai","Tamil Nadu",
E771="Delhi","Delhi",
E771="Guwahati","Assam",
E771="Hyderabad","Telangana",
E771="Indore","Madhya Pradesh",
E771="Jaipur","Rajasthan",
E771="Kochi","Kerala",
E771="Kolkata","West Bengal",
E771="Lucknow","Uttar Pradesh",
E771="Mumbai","Maharashtra",
E771="Nagpur","Maharashtra",
E771="Patna","Bihar",
E771="Pune","Maharashtra",
E771="Raipur","Chhattisgarh",
E771="Surat","Gujarat",
TRUE,"Not Found"
)</f>
        <v>Telangana</v>
      </c>
      <c r="G771" t="s">
        <v>1143</v>
      </c>
      <c r="H771" t="s">
        <v>1144</v>
      </c>
      <c r="I771" t="s">
        <v>1159</v>
      </c>
      <c r="J771" t="s">
        <v>1272</v>
      </c>
      <c r="K771" t="s">
        <v>1273</v>
      </c>
      <c r="L771">
        <v>1</v>
      </c>
      <c r="M771">
        <v>10537</v>
      </c>
      <c r="N771">
        <v>0.15</v>
      </c>
      <c r="O771">
        <v>8956.4499999999989</v>
      </c>
      <c r="P771">
        <v>0.05</v>
      </c>
      <c r="Q771">
        <v>8956.4499999999989</v>
      </c>
      <c r="R771">
        <v>447.82249999999999</v>
      </c>
      <c r="S771">
        <v>9404.2724999999991</v>
      </c>
      <c r="T771">
        <f>ROUND(Table2[[#This Row],[TotalAmount]],0)</f>
        <v>9404</v>
      </c>
      <c r="U771" t="s">
        <v>1366</v>
      </c>
      <c r="V771" t="s">
        <v>1361</v>
      </c>
      <c r="W771" s="4">
        <v>45592</v>
      </c>
      <c r="X771" s="4">
        <v>45596</v>
      </c>
      <c r="Y771" t="b">
        <v>0</v>
      </c>
      <c r="Z771" t="s">
        <v>1412</v>
      </c>
      <c r="AA771" t="s">
        <v>1412</v>
      </c>
      <c r="AB771" t="s">
        <v>1412</v>
      </c>
      <c r="AC771" t="s">
        <v>1384</v>
      </c>
      <c r="AD771" t="s">
        <v>1397</v>
      </c>
      <c r="AE771" t="s">
        <v>1393</v>
      </c>
    </row>
    <row r="772" spans="1:31" x14ac:dyDescent="0.3">
      <c r="A772" t="s">
        <v>951</v>
      </c>
      <c r="B772" s="4">
        <v>45536.494444444441</v>
      </c>
      <c r="C772" t="s">
        <v>16</v>
      </c>
      <c r="D772" t="s">
        <v>1148</v>
      </c>
      <c r="E772" t="s">
        <v>1171</v>
      </c>
      <c r="F772" t="str" cm="1">
        <f t="array" ref="F772">_xlfn.IFS(
E772="Ahmedabad","Gujarat",
E772="Bengaluru","Karnataka",
E772="Bhopal","Madhya Pradesh",
E772="Bhubaneswar","Odisha",
E772="Chandigarh","Chandigarh",
E772="Chennai","Tamil Nadu",
E772="Delhi","Delhi",
E772="Guwahati","Assam",
E772="Hyderabad","Telangana",
E772="Indore","Madhya Pradesh",
E772="Jaipur","Rajasthan",
E772="Kochi","Kerala",
E772="Kolkata","West Bengal",
E772="Lucknow","Uttar Pradesh",
E772="Mumbai","Maharashtra",
E772="Nagpur","Maharashtra",
E772="Patna","Bihar",
E772="Pune","Maharashtra",
E772="Raipur","Chhattisgarh",
E772="Surat","Gujarat",
TRUE,"Not Found"
)</f>
        <v>Chandigarh</v>
      </c>
      <c r="G772" t="s">
        <v>1143</v>
      </c>
      <c r="H772" t="s">
        <v>1177</v>
      </c>
      <c r="I772" t="s">
        <v>1178</v>
      </c>
      <c r="J772" t="s">
        <v>1220</v>
      </c>
      <c r="K772" t="s">
        <v>1221</v>
      </c>
      <c r="L772">
        <v>2</v>
      </c>
      <c r="M772">
        <v>2277</v>
      </c>
      <c r="N772">
        <v>0</v>
      </c>
      <c r="O772">
        <v>2277</v>
      </c>
      <c r="P772">
        <v>0.12</v>
      </c>
      <c r="Q772">
        <v>4554</v>
      </c>
      <c r="R772">
        <v>546.48</v>
      </c>
      <c r="S772">
        <v>5100.4799999999996</v>
      </c>
      <c r="T772">
        <f>ROUND(Table2[[#This Row],[TotalAmount]],0)</f>
        <v>5100</v>
      </c>
      <c r="U772" t="s">
        <v>1360</v>
      </c>
      <c r="V772" t="s">
        <v>1361</v>
      </c>
      <c r="W772" s="4">
        <v>45538</v>
      </c>
      <c r="X772" s="4">
        <v>45543</v>
      </c>
      <c r="Y772" t="b">
        <v>0</v>
      </c>
      <c r="Z772" t="s">
        <v>1412</v>
      </c>
      <c r="AA772" t="s">
        <v>1412</v>
      </c>
      <c r="AB772" t="s">
        <v>1412</v>
      </c>
      <c r="AC772" t="s">
        <v>1382</v>
      </c>
      <c r="AD772" t="s">
        <v>1400</v>
      </c>
      <c r="AE772" t="s">
        <v>1378</v>
      </c>
    </row>
    <row r="773" spans="1:31" x14ac:dyDescent="0.3">
      <c r="A773" t="s">
        <v>952</v>
      </c>
      <c r="B773" s="4">
        <v>45357.42291666667</v>
      </c>
      <c r="C773" t="s">
        <v>183</v>
      </c>
      <c r="D773" t="s">
        <v>1182</v>
      </c>
      <c r="E773" t="s">
        <v>1256</v>
      </c>
      <c r="F773" t="str" cm="1">
        <f t="array" ref="F773">_xlfn.IFS(
E773="Ahmedabad","Gujarat",
E773="Bengaluru","Karnataka",
E773="Bhopal","Madhya Pradesh",
E773="Bhubaneswar","Odisha",
E773="Chandigarh","Chandigarh",
E773="Chennai","Tamil Nadu",
E773="Delhi","Delhi",
E773="Guwahati","Assam",
E773="Hyderabad","Telangana",
E773="Indore","Madhya Pradesh",
E773="Jaipur","Rajasthan",
E773="Kochi","Kerala",
E773="Kolkata","West Bengal",
E773="Lucknow","Uttar Pradesh",
E773="Mumbai","Maharashtra",
E773="Nagpur","Maharashtra",
E773="Patna","Bihar",
E773="Pune","Maharashtra",
E773="Raipur","Chhattisgarh",
E773="Surat","Gujarat",
TRUE,"Not Found"
)</f>
        <v>Karnataka</v>
      </c>
      <c r="G773" t="s">
        <v>1187</v>
      </c>
      <c r="H773" t="s">
        <v>1172</v>
      </c>
      <c r="I773" t="s">
        <v>1173</v>
      </c>
      <c r="J773" t="s">
        <v>1174</v>
      </c>
      <c r="K773" t="s">
        <v>1175</v>
      </c>
      <c r="L773">
        <v>1</v>
      </c>
      <c r="M773">
        <v>5124</v>
      </c>
      <c r="N773">
        <v>0</v>
      </c>
      <c r="O773">
        <v>5124</v>
      </c>
      <c r="P773">
        <v>0.05</v>
      </c>
      <c r="Q773">
        <v>5124</v>
      </c>
      <c r="R773">
        <v>256.2</v>
      </c>
      <c r="S773">
        <v>5380.2</v>
      </c>
      <c r="T773">
        <f>ROUND(Table2[[#This Row],[TotalAmount]],0)</f>
        <v>5380</v>
      </c>
      <c r="U773" t="s">
        <v>1363</v>
      </c>
      <c r="V773" t="s">
        <v>1361</v>
      </c>
      <c r="W773" s="4">
        <v>45359</v>
      </c>
      <c r="X773" s="4">
        <v>45361</v>
      </c>
      <c r="Y773" t="b">
        <v>0</v>
      </c>
      <c r="Z773" t="s">
        <v>1412</v>
      </c>
      <c r="AA773" t="s">
        <v>1412</v>
      </c>
      <c r="AB773" t="s">
        <v>1412</v>
      </c>
      <c r="AC773" t="s">
        <v>1392</v>
      </c>
      <c r="AD773" t="s">
        <v>1385</v>
      </c>
      <c r="AE773" t="s">
        <v>1391</v>
      </c>
    </row>
    <row r="774" spans="1:31" x14ac:dyDescent="0.3">
      <c r="A774" t="s">
        <v>953</v>
      </c>
      <c r="B774" s="4">
        <v>45754.595833333333</v>
      </c>
      <c r="C774" t="s">
        <v>421</v>
      </c>
      <c r="D774" t="s">
        <v>1182</v>
      </c>
      <c r="E774" t="s">
        <v>1207</v>
      </c>
      <c r="F774" t="str" cm="1">
        <f t="array" ref="F774">_xlfn.IFS(
E774="Ahmedabad","Gujarat",
E774="Bengaluru","Karnataka",
E774="Bhopal","Madhya Pradesh",
E774="Bhubaneswar","Odisha",
E774="Chandigarh","Chandigarh",
E774="Chennai","Tamil Nadu",
E774="Delhi","Delhi",
E774="Guwahati","Assam",
E774="Hyderabad","Telangana",
E774="Indore","Madhya Pradesh",
E774="Jaipur","Rajasthan",
E774="Kochi","Kerala",
E774="Kolkata","West Bengal",
E774="Lucknow","Uttar Pradesh",
E774="Mumbai","Maharashtra",
E774="Nagpur","Maharashtra",
E774="Patna","Bihar",
E774="Pune","Maharashtra",
E774="Raipur","Chhattisgarh",
E774="Surat","Gujarat",
TRUE,"Not Found"
)</f>
        <v>Tamil Nadu</v>
      </c>
      <c r="G774" t="s">
        <v>1143</v>
      </c>
      <c r="H774" t="s">
        <v>1167</v>
      </c>
      <c r="I774" t="s">
        <v>1263</v>
      </c>
      <c r="J774" t="s">
        <v>1346</v>
      </c>
      <c r="K774" t="s">
        <v>1347</v>
      </c>
      <c r="L774">
        <v>1</v>
      </c>
      <c r="M774">
        <v>45657</v>
      </c>
      <c r="N774">
        <v>0.05</v>
      </c>
      <c r="O774">
        <v>43374.15</v>
      </c>
      <c r="P774">
        <v>0.12</v>
      </c>
      <c r="Q774">
        <v>43374.15</v>
      </c>
      <c r="R774">
        <v>5204.8980000000001</v>
      </c>
      <c r="S774">
        <v>48579.048000000003</v>
      </c>
      <c r="T774">
        <f>ROUND(Table2[[#This Row],[TotalAmount]],0)</f>
        <v>48579</v>
      </c>
      <c r="U774" t="s">
        <v>1362</v>
      </c>
      <c r="V774" t="s">
        <v>1361</v>
      </c>
      <c r="W774" s="4">
        <v>45754</v>
      </c>
      <c r="X774" s="4">
        <v>45757</v>
      </c>
      <c r="Y774" t="b">
        <v>0</v>
      </c>
      <c r="Z774" t="s">
        <v>1412</v>
      </c>
      <c r="AA774" t="s">
        <v>1412</v>
      </c>
      <c r="AB774" t="s">
        <v>1412</v>
      </c>
      <c r="AC774" t="s">
        <v>1390</v>
      </c>
      <c r="AD774" t="s">
        <v>1397</v>
      </c>
      <c r="AE774" t="s">
        <v>1380</v>
      </c>
    </row>
    <row r="775" spans="1:31" x14ac:dyDescent="0.3">
      <c r="A775" t="s">
        <v>954</v>
      </c>
      <c r="B775" s="4">
        <v>45631.487500000003</v>
      </c>
      <c r="C775" t="s">
        <v>18</v>
      </c>
      <c r="D775" t="s">
        <v>1153</v>
      </c>
      <c r="E775" t="s">
        <v>1176</v>
      </c>
      <c r="F775" t="str" cm="1">
        <f t="array" ref="F775">_xlfn.IFS(
E775="Ahmedabad","Gujarat",
E775="Bengaluru","Karnataka",
E775="Bhopal","Madhya Pradesh",
E775="Bhubaneswar","Odisha",
E775="Chandigarh","Chandigarh",
E775="Chennai","Tamil Nadu",
E775="Delhi","Delhi",
E775="Guwahati","Assam",
E775="Hyderabad","Telangana",
E775="Indore","Madhya Pradesh",
E775="Jaipur","Rajasthan",
E775="Kochi","Kerala",
E775="Kolkata","West Bengal",
E775="Lucknow","Uttar Pradesh",
E775="Mumbai","Maharashtra",
E775="Nagpur","Maharashtra",
E775="Patna","Bihar",
E775="Pune","Maharashtra",
E775="Raipur","Chhattisgarh",
E775="Surat","Gujarat",
TRUE,"Not Found"
)</f>
        <v>Chhattisgarh</v>
      </c>
      <c r="G775" t="s">
        <v>1143</v>
      </c>
      <c r="H775" t="s">
        <v>1144</v>
      </c>
      <c r="I775" t="s">
        <v>1145</v>
      </c>
      <c r="J775" t="s">
        <v>1155</v>
      </c>
      <c r="K775" t="s">
        <v>1156</v>
      </c>
      <c r="L775">
        <v>2</v>
      </c>
      <c r="M775">
        <v>5466</v>
      </c>
      <c r="N775">
        <v>0</v>
      </c>
      <c r="O775">
        <v>5466</v>
      </c>
      <c r="P775">
        <v>0.12</v>
      </c>
      <c r="Q775">
        <v>10932</v>
      </c>
      <c r="R775">
        <v>1311.84</v>
      </c>
      <c r="S775">
        <v>12243.84</v>
      </c>
      <c r="T775">
        <f>ROUND(Table2[[#This Row],[TotalAmount]],0)</f>
        <v>12244</v>
      </c>
      <c r="U775" t="s">
        <v>1363</v>
      </c>
      <c r="V775" t="s">
        <v>1361</v>
      </c>
      <c r="W775" s="4">
        <v>45631</v>
      </c>
      <c r="X775" s="4">
        <v>45635</v>
      </c>
      <c r="Y775" t="b">
        <v>0</v>
      </c>
      <c r="Z775" t="s">
        <v>1412</v>
      </c>
      <c r="AA775" t="s">
        <v>1412</v>
      </c>
      <c r="AB775" t="s">
        <v>1412</v>
      </c>
      <c r="AC775" t="s">
        <v>1376</v>
      </c>
      <c r="AD775" t="s">
        <v>1400</v>
      </c>
      <c r="AE775" t="s">
        <v>1380</v>
      </c>
    </row>
    <row r="776" spans="1:31" x14ac:dyDescent="0.3">
      <c r="A776" t="s">
        <v>955</v>
      </c>
      <c r="B776" s="4">
        <v>45715.591666666667</v>
      </c>
      <c r="C776" t="s">
        <v>45</v>
      </c>
      <c r="D776" t="s">
        <v>1141</v>
      </c>
      <c r="E776" t="s">
        <v>1142</v>
      </c>
      <c r="F776" t="str" cm="1">
        <f t="array" ref="F776">_xlfn.IFS(
E776="Ahmedabad","Gujarat",
E776="Bengaluru","Karnataka",
E776="Bhopal","Madhya Pradesh",
E776="Bhubaneswar","Odisha",
E776="Chandigarh","Chandigarh",
E776="Chennai","Tamil Nadu",
E776="Delhi","Delhi",
E776="Guwahati","Assam",
E776="Hyderabad","Telangana",
E776="Indore","Madhya Pradesh",
E776="Jaipur","Rajasthan",
E776="Kochi","Kerala",
E776="Kolkata","West Bengal",
E776="Lucknow","Uttar Pradesh",
E776="Mumbai","Maharashtra",
E776="Nagpur","Maharashtra",
E776="Patna","Bihar",
E776="Pune","Maharashtra",
E776="Raipur","Chhattisgarh",
E776="Surat","Gujarat",
TRUE,"Not Found"
)</f>
        <v>West Bengal</v>
      </c>
      <c r="G776" t="s">
        <v>1143</v>
      </c>
      <c r="H776" t="s">
        <v>1177</v>
      </c>
      <c r="I776" t="s">
        <v>1192</v>
      </c>
      <c r="J776" t="s">
        <v>1344</v>
      </c>
      <c r="K776" t="s">
        <v>1345</v>
      </c>
      <c r="L776">
        <v>2</v>
      </c>
      <c r="M776">
        <v>707</v>
      </c>
      <c r="N776">
        <v>0</v>
      </c>
      <c r="O776">
        <v>707</v>
      </c>
      <c r="P776">
        <v>0.12</v>
      </c>
      <c r="Q776">
        <v>1414</v>
      </c>
      <c r="R776">
        <v>169.68</v>
      </c>
      <c r="S776">
        <v>1583.68</v>
      </c>
      <c r="T776">
        <f>ROUND(Table2[[#This Row],[TotalAmount]],0)</f>
        <v>1584</v>
      </c>
      <c r="U776" t="s">
        <v>1365</v>
      </c>
      <c r="V776" t="s">
        <v>1364</v>
      </c>
      <c r="W776" s="4">
        <v>45717</v>
      </c>
      <c r="X776" s="4" t="s">
        <v>1412</v>
      </c>
      <c r="Y776" t="b">
        <v>1</v>
      </c>
      <c r="Z776" s="1">
        <v>45728</v>
      </c>
      <c r="AA776" s="1">
        <v>45728</v>
      </c>
      <c r="AB776" t="s">
        <v>1404</v>
      </c>
      <c r="AC776" t="s">
        <v>1376</v>
      </c>
      <c r="AD776" t="s">
        <v>1397</v>
      </c>
      <c r="AE776" t="s">
        <v>1393</v>
      </c>
    </row>
    <row r="777" spans="1:31" x14ac:dyDescent="0.3">
      <c r="A777" t="s">
        <v>956</v>
      </c>
      <c r="B777" s="4">
        <v>45454.745138888888</v>
      </c>
      <c r="C777" t="s">
        <v>185</v>
      </c>
      <c r="D777" t="s">
        <v>1153</v>
      </c>
      <c r="E777" t="s">
        <v>1154</v>
      </c>
      <c r="F777" t="str" cm="1">
        <f t="array" ref="F777">_xlfn.IFS(
E777="Ahmedabad","Gujarat",
E777="Bengaluru","Karnataka",
E777="Bhopal","Madhya Pradesh",
E777="Bhubaneswar","Odisha",
E777="Chandigarh","Chandigarh",
E777="Chennai","Tamil Nadu",
E777="Delhi","Delhi",
E777="Guwahati","Assam",
E777="Hyderabad","Telangana",
E777="Indore","Madhya Pradesh",
E777="Jaipur","Rajasthan",
E777="Kochi","Kerala",
E777="Kolkata","West Bengal",
E777="Lucknow","Uttar Pradesh",
E777="Mumbai","Maharashtra",
E777="Nagpur","Maharashtra",
E777="Patna","Bihar",
E777="Pune","Maharashtra",
E777="Raipur","Chhattisgarh",
E777="Surat","Gujarat",
TRUE,"Not Found"
)</f>
        <v>Maharashtra</v>
      </c>
      <c r="G777" t="s">
        <v>1150</v>
      </c>
      <c r="H777" t="s">
        <v>1172</v>
      </c>
      <c r="I777" t="s">
        <v>1188</v>
      </c>
      <c r="J777" t="s">
        <v>1232</v>
      </c>
      <c r="K777" t="s">
        <v>1233</v>
      </c>
      <c r="L777">
        <v>4</v>
      </c>
      <c r="M777">
        <v>5088</v>
      </c>
      <c r="N777">
        <v>0.2</v>
      </c>
      <c r="O777">
        <v>4070.4</v>
      </c>
      <c r="P777">
        <v>0.18</v>
      </c>
      <c r="Q777">
        <v>16281.6</v>
      </c>
      <c r="R777">
        <v>2930.6880000000001</v>
      </c>
      <c r="S777">
        <v>19212.288</v>
      </c>
      <c r="T777">
        <f>ROUND(Table2[[#This Row],[TotalAmount]],0)</f>
        <v>19212</v>
      </c>
      <c r="U777" t="s">
        <v>1360</v>
      </c>
      <c r="V777" t="s">
        <v>1361</v>
      </c>
      <c r="W777" s="4">
        <v>45456</v>
      </c>
      <c r="X777" s="4">
        <v>45460</v>
      </c>
      <c r="Y777" t="b">
        <v>0</v>
      </c>
      <c r="Z777" t="s">
        <v>1412</v>
      </c>
      <c r="AA777" t="s">
        <v>1412</v>
      </c>
      <c r="AB777" t="s">
        <v>1412</v>
      </c>
      <c r="AC777" t="s">
        <v>1379</v>
      </c>
      <c r="AD777" t="s">
        <v>1385</v>
      </c>
      <c r="AE777" t="s">
        <v>1395</v>
      </c>
    </row>
    <row r="778" spans="1:31" x14ac:dyDescent="0.3">
      <c r="A778" t="s">
        <v>957</v>
      </c>
      <c r="B778" s="4">
        <v>45345.318749999999</v>
      </c>
      <c r="C778" t="s">
        <v>155</v>
      </c>
      <c r="D778" t="s">
        <v>1157</v>
      </c>
      <c r="E778" t="s">
        <v>1158</v>
      </c>
      <c r="F778" t="str" cm="1">
        <f t="array" ref="F778">_xlfn.IFS(
E778="Ahmedabad","Gujarat",
E778="Bengaluru","Karnataka",
E778="Bhopal","Madhya Pradesh",
E778="Bhubaneswar","Odisha",
E778="Chandigarh","Chandigarh",
E778="Chennai","Tamil Nadu",
E778="Delhi","Delhi",
E778="Guwahati","Assam",
E778="Hyderabad","Telangana",
E778="Indore","Madhya Pradesh",
E778="Jaipur","Rajasthan",
E778="Kochi","Kerala",
E778="Kolkata","West Bengal",
E778="Lucknow","Uttar Pradesh",
E778="Mumbai","Maharashtra",
E778="Nagpur","Maharashtra",
E778="Patna","Bihar",
E778="Pune","Maharashtra",
E778="Raipur","Chhattisgarh",
E778="Surat","Gujarat",
TRUE,"Not Found"
)</f>
        <v>Gujarat</v>
      </c>
      <c r="G778" t="s">
        <v>1150</v>
      </c>
      <c r="H778" t="s">
        <v>1177</v>
      </c>
      <c r="I778" t="s">
        <v>1195</v>
      </c>
      <c r="J778" t="s">
        <v>1202</v>
      </c>
      <c r="K778" t="s">
        <v>1203</v>
      </c>
      <c r="L778">
        <v>1</v>
      </c>
      <c r="M778">
        <v>2324</v>
      </c>
      <c r="N778">
        <v>0.05</v>
      </c>
      <c r="O778">
        <v>2207.8000000000002</v>
      </c>
      <c r="P778">
        <v>0.12</v>
      </c>
      <c r="Q778">
        <v>2207.8000000000002</v>
      </c>
      <c r="R778">
        <v>264.93599999999998</v>
      </c>
      <c r="S778">
        <v>2472.7359999999999</v>
      </c>
      <c r="T778">
        <f>ROUND(Table2[[#This Row],[TotalAmount]],0)</f>
        <v>2473</v>
      </c>
      <c r="U778" t="s">
        <v>1360</v>
      </c>
      <c r="V778" t="s">
        <v>1368</v>
      </c>
      <c r="W778" s="4">
        <v>45347</v>
      </c>
      <c r="X778" s="4" t="s">
        <v>1412</v>
      </c>
      <c r="Y778" t="b">
        <v>0</v>
      </c>
      <c r="Z778" t="s">
        <v>1412</v>
      </c>
      <c r="AA778" t="s">
        <v>1412</v>
      </c>
      <c r="AB778" t="s">
        <v>1412</v>
      </c>
      <c r="AC778" t="s">
        <v>1376</v>
      </c>
      <c r="AD778" t="s">
        <v>1400</v>
      </c>
      <c r="AE778" t="s">
        <v>1383</v>
      </c>
    </row>
    <row r="779" spans="1:31" x14ac:dyDescent="0.3">
      <c r="A779" t="s">
        <v>958</v>
      </c>
      <c r="B779" s="4">
        <v>45693.605555555558</v>
      </c>
      <c r="C779" t="s">
        <v>4</v>
      </c>
      <c r="D779" t="s">
        <v>1141</v>
      </c>
      <c r="E779" t="s">
        <v>1142</v>
      </c>
      <c r="F779" t="str" cm="1">
        <f t="array" ref="F779">_xlfn.IFS(
E779="Ahmedabad","Gujarat",
E779="Bengaluru","Karnataka",
E779="Bhopal","Madhya Pradesh",
E779="Bhubaneswar","Odisha",
E779="Chandigarh","Chandigarh",
E779="Chennai","Tamil Nadu",
E779="Delhi","Delhi",
E779="Guwahati","Assam",
E779="Hyderabad","Telangana",
E779="Indore","Madhya Pradesh",
E779="Jaipur","Rajasthan",
E779="Kochi","Kerala",
E779="Kolkata","West Bengal",
E779="Lucknow","Uttar Pradesh",
E779="Mumbai","Maharashtra",
E779="Nagpur","Maharashtra",
E779="Patna","Bihar",
E779="Pune","Maharashtra",
E779="Raipur","Chhattisgarh",
E779="Surat","Gujarat",
TRUE,"Not Found"
)</f>
        <v>West Bengal</v>
      </c>
      <c r="G779" t="s">
        <v>1187</v>
      </c>
      <c r="H779" t="s">
        <v>1167</v>
      </c>
      <c r="I779" t="s">
        <v>1288</v>
      </c>
      <c r="J779" t="s">
        <v>1336</v>
      </c>
      <c r="K779" t="s">
        <v>1337</v>
      </c>
      <c r="L779">
        <v>1</v>
      </c>
      <c r="M779">
        <v>47543</v>
      </c>
      <c r="N779">
        <v>0.1</v>
      </c>
      <c r="O779">
        <v>42788.7</v>
      </c>
      <c r="P779">
        <v>0.12</v>
      </c>
      <c r="Q779">
        <v>42788.7</v>
      </c>
      <c r="R779">
        <v>5134.6440000000002</v>
      </c>
      <c r="S779">
        <v>47923.343999999997</v>
      </c>
      <c r="T779">
        <f>ROUND(Table2[[#This Row],[TotalAmount]],0)</f>
        <v>47923</v>
      </c>
      <c r="U779" t="s">
        <v>1360</v>
      </c>
      <c r="V779" t="s">
        <v>1361</v>
      </c>
      <c r="W779" s="4">
        <v>45695</v>
      </c>
      <c r="X779" s="4">
        <v>45699</v>
      </c>
      <c r="Y779" t="b">
        <v>0</v>
      </c>
      <c r="Z779" t="s">
        <v>1412</v>
      </c>
      <c r="AA779" t="s">
        <v>1412</v>
      </c>
      <c r="AB779" t="s">
        <v>1412</v>
      </c>
      <c r="AC779" t="s">
        <v>1376</v>
      </c>
      <c r="AD779" t="s">
        <v>1387</v>
      </c>
      <c r="AE779" t="s">
        <v>1380</v>
      </c>
    </row>
    <row r="780" spans="1:31" x14ac:dyDescent="0.3">
      <c r="A780" t="s">
        <v>959</v>
      </c>
      <c r="B780" s="4">
        <v>45472.45</v>
      </c>
      <c r="C780" t="s">
        <v>30</v>
      </c>
      <c r="D780" t="s">
        <v>1153</v>
      </c>
      <c r="E780" t="s">
        <v>1162</v>
      </c>
      <c r="F780" t="str" cm="1">
        <f t="array" ref="F780">_xlfn.IFS(
E780="Ahmedabad","Gujarat",
E780="Bengaluru","Karnataka",
E780="Bhopal","Madhya Pradesh",
E780="Bhubaneswar","Odisha",
E780="Chandigarh","Chandigarh",
E780="Chennai","Tamil Nadu",
E780="Delhi","Delhi",
E780="Guwahati","Assam",
E780="Hyderabad","Telangana",
E780="Indore","Madhya Pradesh",
E780="Jaipur","Rajasthan",
E780="Kochi","Kerala",
E780="Kolkata","West Bengal",
E780="Lucknow","Uttar Pradesh",
E780="Mumbai","Maharashtra",
E780="Nagpur","Maharashtra",
E780="Patna","Bihar",
E780="Pune","Maharashtra",
E780="Raipur","Chhattisgarh",
E780="Surat","Gujarat",
TRUE,"Not Found"
)</f>
        <v>Madhya Pradesh</v>
      </c>
      <c r="G780" t="s">
        <v>1143</v>
      </c>
      <c r="H780" t="s">
        <v>1163</v>
      </c>
      <c r="I780" t="s">
        <v>1266</v>
      </c>
      <c r="J780" t="s">
        <v>1348</v>
      </c>
      <c r="K780" t="s">
        <v>1349</v>
      </c>
      <c r="L780">
        <v>1</v>
      </c>
      <c r="M780">
        <v>139</v>
      </c>
      <c r="N780">
        <v>0.2</v>
      </c>
      <c r="O780">
        <v>111.2</v>
      </c>
      <c r="P780">
        <v>0.12</v>
      </c>
      <c r="Q780">
        <v>111.2</v>
      </c>
      <c r="R780">
        <v>13.343999999999999</v>
      </c>
      <c r="S780">
        <v>124.544</v>
      </c>
      <c r="T780">
        <f>ROUND(Table2[[#This Row],[TotalAmount]],0)</f>
        <v>125</v>
      </c>
      <c r="U780" t="s">
        <v>1366</v>
      </c>
      <c r="V780" t="s">
        <v>1361</v>
      </c>
      <c r="W780" s="4">
        <v>45474</v>
      </c>
      <c r="X780" s="4">
        <v>45477</v>
      </c>
      <c r="Y780" t="b">
        <v>0</v>
      </c>
      <c r="Z780" t="s">
        <v>1412</v>
      </c>
      <c r="AA780" t="s">
        <v>1412</v>
      </c>
      <c r="AB780" t="s">
        <v>1412</v>
      </c>
      <c r="AC780" t="s">
        <v>1386</v>
      </c>
      <c r="AD780" t="s">
        <v>1387</v>
      </c>
      <c r="AE780" t="s">
        <v>1380</v>
      </c>
    </row>
    <row r="781" spans="1:31" x14ac:dyDescent="0.3">
      <c r="A781" t="s">
        <v>960</v>
      </c>
      <c r="B781" s="4">
        <v>45495.520138888889</v>
      </c>
      <c r="C781" t="s">
        <v>267</v>
      </c>
      <c r="D781" t="s">
        <v>1148</v>
      </c>
      <c r="E781" t="s">
        <v>1217</v>
      </c>
      <c r="F781" t="str" cm="1">
        <f t="array" ref="F781">_xlfn.IFS(
E781="Ahmedabad","Gujarat",
E781="Bengaluru","Karnataka",
E781="Bhopal","Madhya Pradesh",
E781="Bhubaneswar","Odisha",
E781="Chandigarh","Chandigarh",
E781="Chennai","Tamil Nadu",
E781="Delhi","Delhi",
E781="Guwahati","Assam",
E781="Hyderabad","Telangana",
E781="Indore","Madhya Pradesh",
E781="Jaipur","Rajasthan",
E781="Kochi","Kerala",
E781="Kolkata","West Bengal",
E781="Lucknow","Uttar Pradesh",
E781="Mumbai","Maharashtra",
E781="Nagpur","Maharashtra",
E781="Patna","Bihar",
E781="Pune","Maharashtra",
E781="Raipur","Chhattisgarh",
E781="Surat","Gujarat",
TRUE,"Not Found"
)</f>
        <v>Delhi</v>
      </c>
      <c r="G781" t="s">
        <v>1228</v>
      </c>
      <c r="H781" t="s">
        <v>1167</v>
      </c>
      <c r="I781" t="s">
        <v>1211</v>
      </c>
      <c r="J781" t="s">
        <v>1279</v>
      </c>
      <c r="K781" t="s">
        <v>1280</v>
      </c>
      <c r="L781">
        <v>1</v>
      </c>
      <c r="M781">
        <v>44036</v>
      </c>
      <c r="N781">
        <v>0.15</v>
      </c>
      <c r="O781">
        <v>37430.6</v>
      </c>
      <c r="P781">
        <v>0.18</v>
      </c>
      <c r="Q781">
        <v>37430.6</v>
      </c>
      <c r="R781">
        <v>6737.5079999999998</v>
      </c>
      <c r="S781">
        <v>44168.108</v>
      </c>
      <c r="T781">
        <f>ROUND(Table2[[#This Row],[TotalAmount]],0)</f>
        <v>44168</v>
      </c>
      <c r="U781" t="s">
        <v>1365</v>
      </c>
      <c r="V781" t="s">
        <v>1364</v>
      </c>
      <c r="W781" s="4">
        <v>45497</v>
      </c>
      <c r="X781" s="4" t="s">
        <v>1412</v>
      </c>
      <c r="Y781" t="b">
        <v>1</v>
      </c>
      <c r="Z781" s="1">
        <v>45510</v>
      </c>
      <c r="AA781" s="1">
        <v>45510</v>
      </c>
      <c r="AB781" t="s">
        <v>1402</v>
      </c>
      <c r="AC781" t="s">
        <v>1388</v>
      </c>
      <c r="AD781" t="s">
        <v>1397</v>
      </c>
      <c r="AE781" t="s">
        <v>1393</v>
      </c>
    </row>
    <row r="782" spans="1:31" x14ac:dyDescent="0.3">
      <c r="A782" t="s">
        <v>961</v>
      </c>
      <c r="B782" s="4">
        <v>45314.49722222222</v>
      </c>
      <c r="C782" t="s">
        <v>235</v>
      </c>
      <c r="D782" t="s">
        <v>1157</v>
      </c>
      <c r="E782" t="s">
        <v>1158</v>
      </c>
      <c r="F782" t="str" cm="1">
        <f t="array" ref="F782">_xlfn.IFS(
E782="Ahmedabad","Gujarat",
E782="Bengaluru","Karnataka",
E782="Bhopal","Madhya Pradesh",
E782="Bhubaneswar","Odisha",
E782="Chandigarh","Chandigarh",
E782="Chennai","Tamil Nadu",
E782="Delhi","Delhi",
E782="Guwahati","Assam",
E782="Hyderabad","Telangana",
E782="Indore","Madhya Pradesh",
E782="Jaipur","Rajasthan",
E782="Kochi","Kerala",
E782="Kolkata","West Bengal",
E782="Lucknow","Uttar Pradesh",
E782="Mumbai","Maharashtra",
E782="Nagpur","Maharashtra",
E782="Patna","Bihar",
E782="Pune","Maharashtra",
E782="Raipur","Chhattisgarh",
E782="Surat","Gujarat",
TRUE,"Not Found"
)</f>
        <v>Gujarat</v>
      </c>
      <c r="G782" t="s">
        <v>1143</v>
      </c>
      <c r="H782" t="s">
        <v>1167</v>
      </c>
      <c r="I782" t="s">
        <v>1211</v>
      </c>
      <c r="J782" t="s">
        <v>1279</v>
      </c>
      <c r="K782" t="s">
        <v>1280</v>
      </c>
      <c r="L782">
        <v>3</v>
      </c>
      <c r="M782">
        <v>13845</v>
      </c>
      <c r="N782">
        <v>0.15</v>
      </c>
      <c r="O782">
        <v>11768.25</v>
      </c>
      <c r="P782">
        <v>0.18</v>
      </c>
      <c r="Q782">
        <v>35304.75</v>
      </c>
      <c r="R782">
        <v>6354.8549999999996</v>
      </c>
      <c r="S782">
        <v>41659.605000000003</v>
      </c>
      <c r="T782">
        <f>ROUND(Table2[[#This Row],[TotalAmount]],0)</f>
        <v>41660</v>
      </c>
      <c r="U782" t="s">
        <v>1362</v>
      </c>
      <c r="V782" t="s">
        <v>1361</v>
      </c>
      <c r="W782" s="4">
        <v>45314</v>
      </c>
      <c r="X782" s="4">
        <v>45318</v>
      </c>
      <c r="Y782" t="b">
        <v>0</v>
      </c>
      <c r="Z782" t="s">
        <v>1412</v>
      </c>
      <c r="AA782" t="s">
        <v>1412</v>
      </c>
      <c r="AB782" t="s">
        <v>1412</v>
      </c>
      <c r="AC782" t="s">
        <v>1392</v>
      </c>
      <c r="AD782" t="s">
        <v>1400</v>
      </c>
      <c r="AE782" t="s">
        <v>1389</v>
      </c>
    </row>
    <row r="783" spans="1:31" x14ac:dyDescent="0.3">
      <c r="A783" t="s">
        <v>962</v>
      </c>
      <c r="B783" s="4">
        <v>45477.515972222223</v>
      </c>
      <c r="C783" t="s">
        <v>179</v>
      </c>
      <c r="D783" t="s">
        <v>1141</v>
      </c>
      <c r="E783" t="s">
        <v>1239</v>
      </c>
      <c r="F783" t="str" cm="1">
        <f t="array" ref="F783">_xlfn.IFS(
E783="Ahmedabad","Gujarat",
E783="Bengaluru","Karnataka",
E783="Bhopal","Madhya Pradesh",
E783="Bhubaneswar","Odisha",
E783="Chandigarh","Chandigarh",
E783="Chennai","Tamil Nadu",
E783="Delhi","Delhi",
E783="Guwahati","Assam",
E783="Hyderabad","Telangana",
E783="Indore","Madhya Pradesh",
E783="Jaipur","Rajasthan",
E783="Kochi","Kerala",
E783="Kolkata","West Bengal",
E783="Lucknow","Uttar Pradesh",
E783="Mumbai","Maharashtra",
E783="Nagpur","Maharashtra",
E783="Patna","Bihar",
E783="Pune","Maharashtra",
E783="Raipur","Chhattisgarh",
E783="Surat","Gujarat",
TRUE,"Not Found"
)</f>
        <v>Odisha</v>
      </c>
      <c r="G783" t="s">
        <v>1143</v>
      </c>
      <c r="H783" t="s">
        <v>1172</v>
      </c>
      <c r="I783" t="s">
        <v>1173</v>
      </c>
      <c r="J783" t="s">
        <v>1222</v>
      </c>
      <c r="K783" t="s">
        <v>1223</v>
      </c>
      <c r="L783">
        <v>4</v>
      </c>
      <c r="M783">
        <v>4983</v>
      </c>
      <c r="N783">
        <v>0.05</v>
      </c>
      <c r="O783">
        <v>4733.8499999999995</v>
      </c>
      <c r="P783">
        <v>0.12</v>
      </c>
      <c r="Q783">
        <v>18935.400000000001</v>
      </c>
      <c r="R783">
        <v>2272.248</v>
      </c>
      <c r="S783">
        <v>21207.648000000001</v>
      </c>
      <c r="T783">
        <f>ROUND(Table2[[#This Row],[TotalAmount]],0)</f>
        <v>21208</v>
      </c>
      <c r="U783" t="s">
        <v>1360</v>
      </c>
      <c r="V783" t="s">
        <v>1361</v>
      </c>
      <c r="W783" s="4">
        <v>45477</v>
      </c>
      <c r="X783" s="4">
        <v>45478</v>
      </c>
      <c r="Y783" t="b">
        <v>0</v>
      </c>
      <c r="Z783" t="s">
        <v>1412</v>
      </c>
      <c r="AA783" t="s">
        <v>1412</v>
      </c>
      <c r="AB783" t="s">
        <v>1412</v>
      </c>
      <c r="AC783" t="s">
        <v>1392</v>
      </c>
      <c r="AD783" t="s">
        <v>1400</v>
      </c>
      <c r="AE783" t="s">
        <v>1383</v>
      </c>
    </row>
    <row r="784" spans="1:31" x14ac:dyDescent="0.3">
      <c r="A784" t="s">
        <v>963</v>
      </c>
      <c r="B784" s="4">
        <v>45754.72152777778</v>
      </c>
      <c r="C784" t="s">
        <v>346</v>
      </c>
      <c r="D784" t="s">
        <v>1153</v>
      </c>
      <c r="E784" t="s">
        <v>1162</v>
      </c>
      <c r="F784" t="str" cm="1">
        <f t="array" ref="F784">_xlfn.IFS(
E784="Ahmedabad","Gujarat",
E784="Bengaluru","Karnataka",
E784="Bhopal","Madhya Pradesh",
E784="Bhubaneswar","Odisha",
E784="Chandigarh","Chandigarh",
E784="Chennai","Tamil Nadu",
E784="Delhi","Delhi",
E784="Guwahati","Assam",
E784="Hyderabad","Telangana",
E784="Indore","Madhya Pradesh",
E784="Jaipur","Rajasthan",
E784="Kochi","Kerala",
E784="Kolkata","West Bengal",
E784="Lucknow","Uttar Pradesh",
E784="Mumbai","Maharashtra",
E784="Nagpur","Maharashtra",
E784="Patna","Bihar",
E784="Pune","Maharashtra",
E784="Raipur","Chhattisgarh",
E784="Surat","Gujarat",
TRUE,"Not Found"
)</f>
        <v>Madhya Pradesh</v>
      </c>
      <c r="G784" t="s">
        <v>1150</v>
      </c>
      <c r="H784" t="s">
        <v>1144</v>
      </c>
      <c r="I784" t="s">
        <v>1269</v>
      </c>
      <c r="J784" t="s">
        <v>1270</v>
      </c>
      <c r="K784" t="s">
        <v>1271</v>
      </c>
      <c r="L784">
        <v>1</v>
      </c>
      <c r="M784">
        <v>3030</v>
      </c>
      <c r="N784">
        <v>0.15</v>
      </c>
      <c r="O784">
        <v>2575.5</v>
      </c>
      <c r="P784">
        <v>0.18</v>
      </c>
      <c r="Q784">
        <v>2575.5</v>
      </c>
      <c r="R784">
        <v>463.59</v>
      </c>
      <c r="S784">
        <v>3039.09</v>
      </c>
      <c r="T784">
        <f>ROUND(Table2[[#This Row],[TotalAmount]],0)</f>
        <v>3039</v>
      </c>
      <c r="U784" t="s">
        <v>1365</v>
      </c>
      <c r="V784" t="s">
        <v>1361</v>
      </c>
      <c r="W784" s="4">
        <v>45754</v>
      </c>
      <c r="X784" s="4">
        <v>45756</v>
      </c>
      <c r="Y784" t="b">
        <v>0</v>
      </c>
      <c r="Z784" t="s">
        <v>1412</v>
      </c>
      <c r="AA784" t="s">
        <v>1412</v>
      </c>
      <c r="AB784" t="s">
        <v>1412</v>
      </c>
      <c r="AC784" t="s">
        <v>1386</v>
      </c>
      <c r="AD784" t="s">
        <v>1400</v>
      </c>
      <c r="AE784" t="s">
        <v>1383</v>
      </c>
    </row>
    <row r="785" spans="1:31" x14ac:dyDescent="0.3">
      <c r="A785" t="s">
        <v>964</v>
      </c>
      <c r="B785" s="4">
        <v>45618.619444444441</v>
      </c>
      <c r="C785" t="s">
        <v>498</v>
      </c>
      <c r="D785" t="s">
        <v>1141</v>
      </c>
      <c r="E785" t="s">
        <v>1285</v>
      </c>
      <c r="F785" t="str" cm="1">
        <f t="array" ref="F785">_xlfn.IFS(
E785="Ahmedabad","Gujarat",
E785="Bengaluru","Karnataka",
E785="Bhopal","Madhya Pradesh",
E785="Bhubaneswar","Odisha",
E785="Chandigarh","Chandigarh",
E785="Chennai","Tamil Nadu",
E785="Delhi","Delhi",
E785="Guwahati","Assam",
E785="Hyderabad","Telangana",
E785="Indore","Madhya Pradesh",
E785="Jaipur","Rajasthan",
E785="Kochi","Kerala",
E785="Kolkata","West Bengal",
E785="Lucknow","Uttar Pradesh",
E785="Mumbai","Maharashtra",
E785="Nagpur","Maharashtra",
E785="Patna","Bihar",
E785="Pune","Maharashtra",
E785="Raipur","Chhattisgarh",
E785="Surat","Gujarat",
TRUE,"Not Found"
)</f>
        <v>Assam</v>
      </c>
      <c r="G785" t="s">
        <v>1143</v>
      </c>
      <c r="H785" t="s">
        <v>1144</v>
      </c>
      <c r="I785" t="s">
        <v>1145</v>
      </c>
      <c r="J785" t="s">
        <v>1146</v>
      </c>
      <c r="K785" t="s">
        <v>1147</v>
      </c>
      <c r="L785">
        <v>2</v>
      </c>
      <c r="M785">
        <v>5053</v>
      </c>
      <c r="N785">
        <v>0.05</v>
      </c>
      <c r="O785">
        <v>4800.3499999999995</v>
      </c>
      <c r="P785">
        <v>0.12</v>
      </c>
      <c r="Q785">
        <v>9600.6999999999989</v>
      </c>
      <c r="R785">
        <v>1152.0840000000001</v>
      </c>
      <c r="S785">
        <v>10752.784</v>
      </c>
      <c r="T785">
        <f>ROUND(Table2[[#This Row],[TotalAmount]],0)</f>
        <v>10753</v>
      </c>
      <c r="U785" t="s">
        <v>1363</v>
      </c>
      <c r="V785" t="s">
        <v>1361</v>
      </c>
      <c r="W785" s="4">
        <v>45618</v>
      </c>
      <c r="X785" s="4">
        <v>45621</v>
      </c>
      <c r="Y785" t="b">
        <v>0</v>
      </c>
      <c r="Z785" t="s">
        <v>1412</v>
      </c>
      <c r="AA785" t="s">
        <v>1412</v>
      </c>
      <c r="AB785" t="s">
        <v>1412</v>
      </c>
      <c r="AC785" t="s">
        <v>1382</v>
      </c>
      <c r="AD785" t="s">
        <v>1387</v>
      </c>
      <c r="AE785" t="s">
        <v>1380</v>
      </c>
    </row>
    <row r="786" spans="1:31" x14ac:dyDescent="0.3">
      <c r="A786" t="s">
        <v>965</v>
      </c>
      <c r="B786" s="4">
        <v>45655.520833333343</v>
      </c>
      <c r="C786" t="s">
        <v>115</v>
      </c>
      <c r="D786" t="s">
        <v>1157</v>
      </c>
      <c r="E786" t="s">
        <v>1249</v>
      </c>
      <c r="F786" t="str" cm="1">
        <f t="array" ref="F786">_xlfn.IFS(
E786="Ahmedabad","Gujarat",
E786="Bengaluru","Karnataka",
E786="Bhopal","Madhya Pradesh",
E786="Bhubaneswar","Odisha",
E786="Chandigarh","Chandigarh",
E786="Chennai","Tamil Nadu",
E786="Delhi","Delhi",
E786="Guwahati","Assam",
E786="Hyderabad","Telangana",
E786="Indore","Madhya Pradesh",
E786="Jaipur","Rajasthan",
E786="Kochi","Kerala",
E786="Kolkata","West Bengal",
E786="Lucknow","Uttar Pradesh",
E786="Mumbai","Maharashtra",
E786="Nagpur","Maharashtra",
E786="Patna","Bihar",
E786="Pune","Maharashtra",
E786="Raipur","Chhattisgarh",
E786="Surat","Gujarat",
TRUE,"Not Found"
)</f>
        <v>Maharashtra</v>
      </c>
      <c r="G786" t="s">
        <v>1150</v>
      </c>
      <c r="H786" t="s">
        <v>1163</v>
      </c>
      <c r="I786" t="s">
        <v>1164</v>
      </c>
      <c r="J786" t="s">
        <v>1324</v>
      </c>
      <c r="K786" t="s">
        <v>1325</v>
      </c>
      <c r="L786">
        <v>1</v>
      </c>
      <c r="M786">
        <v>542</v>
      </c>
      <c r="N786">
        <v>0</v>
      </c>
      <c r="O786">
        <v>542</v>
      </c>
      <c r="P786">
        <v>0.12</v>
      </c>
      <c r="Q786">
        <v>542</v>
      </c>
      <c r="R786">
        <v>65.039999999999992</v>
      </c>
      <c r="S786">
        <v>607.04</v>
      </c>
      <c r="T786">
        <f>ROUND(Table2[[#This Row],[TotalAmount]],0)</f>
        <v>607</v>
      </c>
      <c r="U786" t="s">
        <v>1360</v>
      </c>
      <c r="V786" t="s">
        <v>1361</v>
      </c>
      <c r="W786" s="4">
        <v>45657</v>
      </c>
      <c r="X786" s="4">
        <v>45662</v>
      </c>
      <c r="Y786" t="b">
        <v>0</v>
      </c>
      <c r="Z786" t="s">
        <v>1412</v>
      </c>
      <c r="AA786" t="s">
        <v>1412</v>
      </c>
      <c r="AB786" t="s">
        <v>1412</v>
      </c>
      <c r="AC786" t="s">
        <v>1382</v>
      </c>
      <c r="AD786" t="s">
        <v>1400</v>
      </c>
      <c r="AE786" t="s">
        <v>1378</v>
      </c>
    </row>
    <row r="787" spans="1:31" x14ac:dyDescent="0.3">
      <c r="A787" t="s">
        <v>966</v>
      </c>
      <c r="B787" s="4">
        <v>45519.661805555559</v>
      </c>
      <c r="C787" t="s">
        <v>505</v>
      </c>
      <c r="D787" t="s">
        <v>1157</v>
      </c>
      <c r="E787" t="s">
        <v>1158</v>
      </c>
      <c r="F787" t="str" cm="1">
        <f t="array" ref="F787">_xlfn.IFS(
E787="Ahmedabad","Gujarat",
E787="Bengaluru","Karnataka",
E787="Bhopal","Madhya Pradesh",
E787="Bhubaneswar","Odisha",
E787="Chandigarh","Chandigarh",
E787="Chennai","Tamil Nadu",
E787="Delhi","Delhi",
E787="Guwahati","Assam",
E787="Hyderabad","Telangana",
E787="Indore","Madhya Pradesh",
E787="Jaipur","Rajasthan",
E787="Kochi","Kerala",
E787="Kolkata","West Bengal",
E787="Lucknow","Uttar Pradesh",
E787="Mumbai","Maharashtra",
E787="Nagpur","Maharashtra",
E787="Patna","Bihar",
E787="Pune","Maharashtra",
E787="Raipur","Chhattisgarh",
E787="Surat","Gujarat",
TRUE,"Not Found"
)</f>
        <v>Gujarat</v>
      </c>
      <c r="G787" t="s">
        <v>1143</v>
      </c>
      <c r="H787" t="s">
        <v>1163</v>
      </c>
      <c r="I787" t="s">
        <v>1240</v>
      </c>
      <c r="J787" t="s">
        <v>1241</v>
      </c>
      <c r="K787" t="s">
        <v>1242</v>
      </c>
      <c r="L787">
        <v>3</v>
      </c>
      <c r="M787">
        <v>155</v>
      </c>
      <c r="N787">
        <v>0.05</v>
      </c>
      <c r="O787">
        <v>147.25</v>
      </c>
      <c r="P787">
        <v>0.18</v>
      </c>
      <c r="Q787">
        <v>441.75</v>
      </c>
      <c r="R787">
        <v>79.515000000000001</v>
      </c>
      <c r="S787">
        <v>521.26499999999999</v>
      </c>
      <c r="T787">
        <f>ROUND(Table2[[#This Row],[TotalAmount]],0)</f>
        <v>521</v>
      </c>
      <c r="U787" t="s">
        <v>1366</v>
      </c>
      <c r="V787" t="s">
        <v>1361</v>
      </c>
      <c r="W787" s="4">
        <v>45520</v>
      </c>
      <c r="X787" s="4">
        <v>45524</v>
      </c>
      <c r="Y787" t="b">
        <v>0</v>
      </c>
      <c r="Z787" t="s">
        <v>1412</v>
      </c>
      <c r="AA787" t="s">
        <v>1412</v>
      </c>
      <c r="AB787" t="s">
        <v>1412</v>
      </c>
      <c r="AC787" t="s">
        <v>1392</v>
      </c>
      <c r="AD787" t="s">
        <v>1394</v>
      </c>
      <c r="AE787" t="s">
        <v>1383</v>
      </c>
    </row>
    <row r="788" spans="1:31" x14ac:dyDescent="0.3">
      <c r="A788" t="s">
        <v>967</v>
      </c>
      <c r="B788" s="4">
        <v>45567.705555555563</v>
      </c>
      <c r="C788" t="s">
        <v>768</v>
      </c>
      <c r="D788" t="s">
        <v>1182</v>
      </c>
      <c r="E788" t="s">
        <v>1256</v>
      </c>
      <c r="F788" t="str" cm="1">
        <f t="array" ref="F788">_xlfn.IFS(
E788="Ahmedabad","Gujarat",
E788="Bengaluru","Karnataka",
E788="Bhopal","Madhya Pradesh",
E788="Bhubaneswar","Odisha",
E788="Chandigarh","Chandigarh",
E788="Chennai","Tamil Nadu",
E788="Delhi","Delhi",
E788="Guwahati","Assam",
E788="Hyderabad","Telangana",
E788="Indore","Madhya Pradesh",
E788="Jaipur","Rajasthan",
E788="Kochi","Kerala",
E788="Kolkata","West Bengal",
E788="Lucknow","Uttar Pradesh",
E788="Mumbai","Maharashtra",
E788="Nagpur","Maharashtra",
E788="Patna","Bihar",
E788="Pune","Maharashtra",
E788="Raipur","Chhattisgarh",
E788="Surat","Gujarat",
TRUE,"Not Found"
)</f>
        <v>Karnataka</v>
      </c>
      <c r="G788" t="s">
        <v>1143</v>
      </c>
      <c r="H788" t="s">
        <v>1144</v>
      </c>
      <c r="I788" t="s">
        <v>1145</v>
      </c>
      <c r="J788" t="s">
        <v>1151</v>
      </c>
      <c r="K788" t="s">
        <v>1152</v>
      </c>
      <c r="L788">
        <v>1</v>
      </c>
      <c r="M788">
        <v>5368</v>
      </c>
      <c r="N788">
        <v>0.2</v>
      </c>
      <c r="O788">
        <v>4294.4000000000005</v>
      </c>
      <c r="P788">
        <v>0.05</v>
      </c>
      <c r="Q788">
        <v>4294.4000000000005</v>
      </c>
      <c r="R788">
        <v>214.72</v>
      </c>
      <c r="S788">
        <v>4509.1200000000008</v>
      </c>
      <c r="T788">
        <f>ROUND(Table2[[#This Row],[TotalAmount]],0)</f>
        <v>4509</v>
      </c>
      <c r="U788" t="s">
        <v>1360</v>
      </c>
      <c r="V788" t="s">
        <v>1361</v>
      </c>
      <c r="W788" s="4">
        <v>45568</v>
      </c>
      <c r="X788" s="4">
        <v>45570</v>
      </c>
      <c r="Y788" t="b">
        <v>0</v>
      </c>
      <c r="Z788" t="s">
        <v>1412</v>
      </c>
      <c r="AA788" t="s">
        <v>1412</v>
      </c>
      <c r="AB788" t="s">
        <v>1412</v>
      </c>
      <c r="AC788" t="s">
        <v>1398</v>
      </c>
      <c r="AD788" t="s">
        <v>1377</v>
      </c>
      <c r="AE788" t="s">
        <v>1391</v>
      </c>
    </row>
    <row r="789" spans="1:31" x14ac:dyDescent="0.3">
      <c r="A789" t="s">
        <v>968</v>
      </c>
      <c r="B789" s="4">
        <v>45350.552777777782</v>
      </c>
      <c r="C789" t="s">
        <v>128</v>
      </c>
      <c r="D789" t="s">
        <v>1182</v>
      </c>
      <c r="E789" t="s">
        <v>1183</v>
      </c>
      <c r="F789" t="str" cm="1">
        <f t="array" ref="F789">_xlfn.IFS(
E789="Ahmedabad","Gujarat",
E789="Bengaluru","Karnataka",
E789="Bhopal","Madhya Pradesh",
E789="Bhubaneswar","Odisha",
E789="Chandigarh","Chandigarh",
E789="Chennai","Tamil Nadu",
E789="Delhi","Delhi",
E789="Guwahati","Assam",
E789="Hyderabad","Telangana",
E789="Indore","Madhya Pradesh",
E789="Jaipur","Rajasthan",
E789="Kochi","Kerala",
E789="Kolkata","West Bengal",
E789="Lucknow","Uttar Pradesh",
E789="Mumbai","Maharashtra",
E789="Nagpur","Maharashtra",
E789="Patna","Bihar",
E789="Pune","Maharashtra",
E789="Raipur","Chhattisgarh",
E789="Surat","Gujarat",
TRUE,"Not Found"
)</f>
        <v>Telangana</v>
      </c>
      <c r="G789" t="s">
        <v>1143</v>
      </c>
      <c r="H789" t="s">
        <v>1177</v>
      </c>
      <c r="I789" t="s">
        <v>1178</v>
      </c>
      <c r="J789" t="s">
        <v>1179</v>
      </c>
      <c r="K789" t="s">
        <v>1180</v>
      </c>
      <c r="L789">
        <v>2</v>
      </c>
      <c r="M789">
        <v>1343</v>
      </c>
      <c r="N789">
        <v>0</v>
      </c>
      <c r="O789">
        <v>1343</v>
      </c>
      <c r="P789">
        <v>0.18</v>
      </c>
      <c r="Q789">
        <v>2686</v>
      </c>
      <c r="R789">
        <v>483.48</v>
      </c>
      <c r="S789">
        <v>3169.48</v>
      </c>
      <c r="T789">
        <f>ROUND(Table2[[#This Row],[TotalAmount]],0)</f>
        <v>3169</v>
      </c>
      <c r="U789" t="s">
        <v>1366</v>
      </c>
      <c r="V789" t="s">
        <v>1361</v>
      </c>
      <c r="W789" s="4">
        <v>45351</v>
      </c>
      <c r="X789" s="4">
        <v>45353</v>
      </c>
      <c r="Y789" t="b">
        <v>0</v>
      </c>
      <c r="Z789" t="s">
        <v>1412</v>
      </c>
      <c r="AA789" t="s">
        <v>1412</v>
      </c>
      <c r="AB789" t="s">
        <v>1412</v>
      </c>
      <c r="AC789" t="s">
        <v>1376</v>
      </c>
      <c r="AD789" t="s">
        <v>1394</v>
      </c>
      <c r="AE789" t="s">
        <v>1389</v>
      </c>
    </row>
    <row r="790" spans="1:31" x14ac:dyDescent="0.3">
      <c r="A790" t="s">
        <v>969</v>
      </c>
      <c r="B790" s="4">
        <v>45645.56527777778</v>
      </c>
      <c r="C790" t="s">
        <v>117</v>
      </c>
      <c r="D790" t="s">
        <v>1141</v>
      </c>
      <c r="E790" t="s">
        <v>1285</v>
      </c>
      <c r="F790" t="str" cm="1">
        <f t="array" ref="F790">_xlfn.IFS(
E790="Ahmedabad","Gujarat",
E790="Bengaluru","Karnataka",
E790="Bhopal","Madhya Pradesh",
E790="Bhubaneswar","Odisha",
E790="Chandigarh","Chandigarh",
E790="Chennai","Tamil Nadu",
E790="Delhi","Delhi",
E790="Guwahati","Assam",
E790="Hyderabad","Telangana",
E790="Indore","Madhya Pradesh",
E790="Jaipur","Rajasthan",
E790="Kochi","Kerala",
E790="Kolkata","West Bengal",
E790="Lucknow","Uttar Pradesh",
E790="Mumbai","Maharashtra",
E790="Nagpur","Maharashtra",
E790="Patna","Bihar",
E790="Pune","Maharashtra",
E790="Raipur","Chhattisgarh",
E790="Surat","Gujarat",
TRUE,"Not Found"
)</f>
        <v>Assam</v>
      </c>
      <c r="G790" t="s">
        <v>1143</v>
      </c>
      <c r="H790" t="s">
        <v>1167</v>
      </c>
      <c r="I790" t="s">
        <v>1168</v>
      </c>
      <c r="J790" t="s">
        <v>1314</v>
      </c>
      <c r="K790" t="s">
        <v>1315</v>
      </c>
      <c r="L790">
        <v>1</v>
      </c>
      <c r="M790">
        <v>49018</v>
      </c>
      <c r="N790">
        <v>0</v>
      </c>
      <c r="O790">
        <v>49018</v>
      </c>
      <c r="P790">
        <v>0.18</v>
      </c>
      <c r="Q790">
        <v>49018</v>
      </c>
      <c r="R790">
        <v>8823.24</v>
      </c>
      <c r="S790">
        <v>57841.24</v>
      </c>
      <c r="T790">
        <f>ROUND(Table2[[#This Row],[TotalAmount]],0)</f>
        <v>57841</v>
      </c>
      <c r="U790" t="s">
        <v>1366</v>
      </c>
      <c r="V790" t="s">
        <v>1368</v>
      </c>
      <c r="W790" s="4">
        <v>45647</v>
      </c>
      <c r="X790" s="4" t="s">
        <v>1412</v>
      </c>
      <c r="Y790" t="b">
        <v>0</v>
      </c>
      <c r="Z790" t="s">
        <v>1412</v>
      </c>
      <c r="AA790" t="s">
        <v>1412</v>
      </c>
      <c r="AB790" t="s">
        <v>1412</v>
      </c>
      <c r="AC790" t="s">
        <v>1376</v>
      </c>
      <c r="AD790" t="s">
        <v>1394</v>
      </c>
      <c r="AE790" t="s">
        <v>1391</v>
      </c>
    </row>
    <row r="791" spans="1:31" x14ac:dyDescent="0.3">
      <c r="A791" t="s">
        <v>970</v>
      </c>
      <c r="B791" s="4">
        <v>45457.569444444453</v>
      </c>
      <c r="C791" t="s">
        <v>197</v>
      </c>
      <c r="D791" t="s">
        <v>1148</v>
      </c>
      <c r="E791" t="s">
        <v>1262</v>
      </c>
      <c r="F791" t="str" cm="1">
        <f t="array" ref="F791">_xlfn.IFS(
E791="Ahmedabad","Gujarat",
E791="Bengaluru","Karnataka",
E791="Bhopal","Madhya Pradesh",
E791="Bhubaneswar","Odisha",
E791="Chandigarh","Chandigarh",
E791="Chennai","Tamil Nadu",
E791="Delhi","Delhi",
E791="Guwahati","Assam",
E791="Hyderabad","Telangana",
E791="Indore","Madhya Pradesh",
E791="Jaipur","Rajasthan",
E791="Kochi","Kerala",
E791="Kolkata","West Bengal",
E791="Lucknow","Uttar Pradesh",
E791="Mumbai","Maharashtra",
E791="Nagpur","Maharashtra",
E791="Patna","Bihar",
E791="Pune","Maharashtra",
E791="Raipur","Chhattisgarh",
E791="Surat","Gujarat",
TRUE,"Not Found"
)</f>
        <v>Rajasthan</v>
      </c>
      <c r="G791" t="s">
        <v>1143</v>
      </c>
      <c r="H791" t="s">
        <v>1172</v>
      </c>
      <c r="I791" t="s">
        <v>1173</v>
      </c>
      <c r="J791" t="s">
        <v>1174</v>
      </c>
      <c r="K791" t="s">
        <v>1175</v>
      </c>
      <c r="L791">
        <v>2</v>
      </c>
      <c r="M791">
        <v>9993</v>
      </c>
      <c r="N791">
        <v>0</v>
      </c>
      <c r="O791">
        <v>9993</v>
      </c>
      <c r="P791">
        <v>0.18</v>
      </c>
      <c r="Q791">
        <v>19986</v>
      </c>
      <c r="R791">
        <v>3597.48</v>
      </c>
      <c r="S791">
        <v>23583.48</v>
      </c>
      <c r="T791">
        <f>ROUND(Table2[[#This Row],[TotalAmount]],0)</f>
        <v>23583</v>
      </c>
      <c r="U791" t="s">
        <v>1360</v>
      </c>
      <c r="V791" t="s">
        <v>1361</v>
      </c>
      <c r="W791" s="4">
        <v>45457</v>
      </c>
      <c r="X791" s="4">
        <v>45461</v>
      </c>
      <c r="Y791" t="b">
        <v>0</v>
      </c>
      <c r="Z791" t="s">
        <v>1412</v>
      </c>
      <c r="AA791" t="s">
        <v>1412</v>
      </c>
      <c r="AB791" t="s">
        <v>1412</v>
      </c>
      <c r="AC791" t="s">
        <v>1398</v>
      </c>
      <c r="AD791" t="s">
        <v>1400</v>
      </c>
      <c r="AE791" t="s">
        <v>1378</v>
      </c>
    </row>
    <row r="792" spans="1:31" x14ac:dyDescent="0.3">
      <c r="A792" t="s">
        <v>971</v>
      </c>
      <c r="B792" s="4">
        <v>45611.751388888893</v>
      </c>
      <c r="C792" t="s">
        <v>407</v>
      </c>
      <c r="D792" t="s">
        <v>1157</v>
      </c>
      <c r="E792" t="s">
        <v>1158</v>
      </c>
      <c r="F792" t="str" cm="1">
        <f t="array" ref="F792">_xlfn.IFS(
E792="Ahmedabad","Gujarat",
E792="Bengaluru","Karnataka",
E792="Bhopal","Madhya Pradesh",
E792="Bhubaneswar","Odisha",
E792="Chandigarh","Chandigarh",
E792="Chennai","Tamil Nadu",
E792="Delhi","Delhi",
E792="Guwahati","Assam",
E792="Hyderabad","Telangana",
E792="Indore","Madhya Pradesh",
E792="Jaipur","Rajasthan",
E792="Kochi","Kerala",
E792="Kolkata","West Bengal",
E792="Lucknow","Uttar Pradesh",
E792="Mumbai","Maharashtra",
E792="Nagpur","Maharashtra",
E792="Patna","Bihar",
E792="Pune","Maharashtra",
E792="Raipur","Chhattisgarh",
E792="Surat","Gujarat",
TRUE,"Not Found"
)</f>
        <v>Gujarat</v>
      </c>
      <c r="G792" t="s">
        <v>1143</v>
      </c>
      <c r="H792" t="s">
        <v>1144</v>
      </c>
      <c r="I792" t="s">
        <v>1159</v>
      </c>
      <c r="J792" t="s">
        <v>1272</v>
      </c>
      <c r="K792" t="s">
        <v>1273</v>
      </c>
      <c r="L792">
        <v>2</v>
      </c>
      <c r="M792">
        <v>9017</v>
      </c>
      <c r="N792">
        <v>0.2</v>
      </c>
      <c r="O792">
        <v>7213.6</v>
      </c>
      <c r="P792">
        <v>0.12</v>
      </c>
      <c r="Q792">
        <v>14427.2</v>
      </c>
      <c r="R792">
        <v>1731.2639999999999</v>
      </c>
      <c r="S792">
        <v>16158.464</v>
      </c>
      <c r="T792">
        <f>ROUND(Table2[[#This Row],[TotalAmount]],0)</f>
        <v>16158</v>
      </c>
      <c r="U792" t="s">
        <v>1363</v>
      </c>
      <c r="V792" t="s">
        <v>1361</v>
      </c>
      <c r="W792" s="4">
        <v>45612</v>
      </c>
      <c r="X792" s="4">
        <v>45613</v>
      </c>
      <c r="Y792" t="b">
        <v>0</v>
      </c>
      <c r="Z792" t="s">
        <v>1412</v>
      </c>
      <c r="AA792" t="s">
        <v>1412</v>
      </c>
      <c r="AB792" t="s">
        <v>1412</v>
      </c>
      <c r="AC792" t="s">
        <v>1386</v>
      </c>
      <c r="AD792" t="s">
        <v>1400</v>
      </c>
      <c r="AE792" t="s">
        <v>1378</v>
      </c>
    </row>
    <row r="793" spans="1:31" x14ac:dyDescent="0.3">
      <c r="A793" t="s">
        <v>972</v>
      </c>
      <c r="B793" s="4">
        <v>45391.604166666657</v>
      </c>
      <c r="C793" t="s">
        <v>69</v>
      </c>
      <c r="D793" t="s">
        <v>1153</v>
      </c>
      <c r="E793" t="s">
        <v>1191</v>
      </c>
      <c r="F793" t="str" cm="1">
        <f t="array" ref="F793">_xlfn.IFS(
E793="Ahmedabad","Gujarat",
E793="Bengaluru","Karnataka",
E793="Bhopal","Madhya Pradesh",
E793="Bhubaneswar","Odisha",
E793="Chandigarh","Chandigarh",
E793="Chennai","Tamil Nadu",
E793="Delhi","Delhi",
E793="Guwahati","Assam",
E793="Hyderabad","Telangana",
E793="Indore","Madhya Pradesh",
E793="Jaipur","Rajasthan",
E793="Kochi","Kerala",
E793="Kolkata","West Bengal",
E793="Lucknow","Uttar Pradesh",
E793="Mumbai","Maharashtra",
E793="Nagpur","Maharashtra",
E793="Patna","Bihar",
E793="Pune","Maharashtra",
E793="Raipur","Chhattisgarh",
E793="Surat","Gujarat",
TRUE,"Not Found"
)</f>
        <v>Madhya Pradesh</v>
      </c>
      <c r="G793" t="s">
        <v>1150</v>
      </c>
      <c r="H793" t="s">
        <v>1167</v>
      </c>
      <c r="I793" t="s">
        <v>1263</v>
      </c>
      <c r="J793" t="s">
        <v>1274</v>
      </c>
      <c r="K793" t="s">
        <v>1275</v>
      </c>
      <c r="L793">
        <v>1</v>
      </c>
      <c r="M793">
        <v>17056</v>
      </c>
      <c r="N793">
        <v>0</v>
      </c>
      <c r="O793">
        <v>17056</v>
      </c>
      <c r="P793">
        <v>0.18</v>
      </c>
      <c r="Q793">
        <v>17056</v>
      </c>
      <c r="R793">
        <v>3070.08</v>
      </c>
      <c r="S793">
        <v>20126.080000000002</v>
      </c>
      <c r="T793">
        <f>ROUND(Table2[[#This Row],[TotalAmount]],0)</f>
        <v>20126</v>
      </c>
      <c r="U793" t="s">
        <v>1360</v>
      </c>
      <c r="V793" t="s">
        <v>1361</v>
      </c>
      <c r="W793" s="4">
        <v>45392</v>
      </c>
      <c r="X793" s="4">
        <v>45395</v>
      </c>
      <c r="Y793" t="b">
        <v>0</v>
      </c>
      <c r="Z793" t="s">
        <v>1412</v>
      </c>
      <c r="AA793" t="s">
        <v>1412</v>
      </c>
      <c r="AB793" t="s">
        <v>1412</v>
      </c>
      <c r="AC793" t="s">
        <v>1388</v>
      </c>
      <c r="AD793" t="s">
        <v>1397</v>
      </c>
      <c r="AE793" t="s">
        <v>1391</v>
      </c>
    </row>
    <row r="794" spans="1:31" x14ac:dyDescent="0.3">
      <c r="A794" t="s">
        <v>973</v>
      </c>
      <c r="B794" s="4">
        <v>45354.615277777782</v>
      </c>
      <c r="C794" t="s">
        <v>42</v>
      </c>
      <c r="D794" t="s">
        <v>1148</v>
      </c>
      <c r="E794" t="s">
        <v>1217</v>
      </c>
      <c r="F794" t="str" cm="1">
        <f t="array" ref="F794">_xlfn.IFS(
E794="Ahmedabad","Gujarat",
E794="Bengaluru","Karnataka",
E794="Bhopal","Madhya Pradesh",
E794="Bhubaneswar","Odisha",
E794="Chandigarh","Chandigarh",
E794="Chennai","Tamil Nadu",
E794="Delhi","Delhi",
E794="Guwahati","Assam",
E794="Hyderabad","Telangana",
E794="Indore","Madhya Pradesh",
E794="Jaipur","Rajasthan",
E794="Kochi","Kerala",
E794="Kolkata","West Bengal",
E794="Lucknow","Uttar Pradesh",
E794="Mumbai","Maharashtra",
E794="Nagpur","Maharashtra",
E794="Patna","Bihar",
E794="Pune","Maharashtra",
E794="Raipur","Chhattisgarh",
E794="Surat","Gujarat",
TRUE,"Not Found"
)</f>
        <v>Delhi</v>
      </c>
      <c r="G794" t="s">
        <v>1143</v>
      </c>
      <c r="H794" t="s">
        <v>1177</v>
      </c>
      <c r="I794" t="s">
        <v>1178</v>
      </c>
      <c r="J794" t="s">
        <v>1220</v>
      </c>
      <c r="K794" t="s">
        <v>1221</v>
      </c>
      <c r="L794">
        <v>4</v>
      </c>
      <c r="M794">
        <v>2012</v>
      </c>
      <c r="N794">
        <v>0.05</v>
      </c>
      <c r="O794">
        <v>1911.4</v>
      </c>
      <c r="P794">
        <v>0.18</v>
      </c>
      <c r="Q794">
        <v>7645.5999999999995</v>
      </c>
      <c r="R794">
        <v>1376.2080000000001</v>
      </c>
      <c r="S794">
        <v>9021.8079999999991</v>
      </c>
      <c r="T794">
        <f>ROUND(Table2[[#This Row],[TotalAmount]],0)</f>
        <v>9022</v>
      </c>
      <c r="U794" t="s">
        <v>1362</v>
      </c>
      <c r="V794" t="s">
        <v>1361</v>
      </c>
      <c r="W794" s="4">
        <v>45356</v>
      </c>
      <c r="X794" s="4">
        <v>45359</v>
      </c>
      <c r="Y794" t="b">
        <v>0</v>
      </c>
      <c r="Z794" t="s">
        <v>1412</v>
      </c>
      <c r="AA794" t="s">
        <v>1412</v>
      </c>
      <c r="AB794" t="s">
        <v>1412</v>
      </c>
      <c r="AC794" t="s">
        <v>1384</v>
      </c>
      <c r="AD794" t="s">
        <v>1377</v>
      </c>
      <c r="AE794" t="s">
        <v>1391</v>
      </c>
    </row>
    <row r="795" spans="1:31" x14ac:dyDescent="0.3">
      <c r="A795" t="s">
        <v>974</v>
      </c>
      <c r="B795" s="4">
        <v>45433.484722222223</v>
      </c>
      <c r="C795" t="s">
        <v>179</v>
      </c>
      <c r="D795" t="s">
        <v>1141</v>
      </c>
      <c r="E795" t="s">
        <v>1239</v>
      </c>
      <c r="F795" t="str" cm="1">
        <f t="array" ref="F795">_xlfn.IFS(
E795="Ahmedabad","Gujarat",
E795="Bengaluru","Karnataka",
E795="Bhopal","Madhya Pradesh",
E795="Bhubaneswar","Odisha",
E795="Chandigarh","Chandigarh",
E795="Chennai","Tamil Nadu",
E795="Delhi","Delhi",
E795="Guwahati","Assam",
E795="Hyderabad","Telangana",
E795="Indore","Madhya Pradesh",
E795="Jaipur","Rajasthan",
E795="Kochi","Kerala",
E795="Kolkata","West Bengal",
E795="Lucknow","Uttar Pradesh",
E795="Mumbai","Maharashtra",
E795="Nagpur","Maharashtra",
E795="Patna","Bihar",
E795="Pune","Maharashtra",
E795="Raipur","Chhattisgarh",
E795="Surat","Gujarat",
TRUE,"Not Found"
)</f>
        <v>Odisha</v>
      </c>
      <c r="G795" t="s">
        <v>1228</v>
      </c>
      <c r="H795" t="s">
        <v>1167</v>
      </c>
      <c r="I795" t="s">
        <v>1211</v>
      </c>
      <c r="J795" t="s">
        <v>1299</v>
      </c>
      <c r="K795" t="s">
        <v>1300</v>
      </c>
      <c r="L795">
        <v>2</v>
      </c>
      <c r="M795">
        <v>30970</v>
      </c>
      <c r="N795">
        <v>0.15</v>
      </c>
      <c r="O795">
        <v>26324.5</v>
      </c>
      <c r="P795">
        <v>0.12</v>
      </c>
      <c r="Q795">
        <v>52649</v>
      </c>
      <c r="R795">
        <v>6317.88</v>
      </c>
      <c r="S795">
        <v>58966.879999999997</v>
      </c>
      <c r="T795">
        <f>ROUND(Table2[[#This Row],[TotalAmount]],0)</f>
        <v>58967</v>
      </c>
      <c r="U795" t="s">
        <v>1360</v>
      </c>
      <c r="V795" t="s">
        <v>1361</v>
      </c>
      <c r="W795" s="4">
        <v>45435</v>
      </c>
      <c r="X795" s="4">
        <v>45440</v>
      </c>
      <c r="Y795" t="b">
        <v>0</v>
      </c>
      <c r="Z795" t="s">
        <v>1412</v>
      </c>
      <c r="AA795" t="s">
        <v>1412</v>
      </c>
      <c r="AB795" t="s">
        <v>1412</v>
      </c>
      <c r="AC795" t="s">
        <v>1382</v>
      </c>
      <c r="AD795" t="s">
        <v>1394</v>
      </c>
      <c r="AE795" t="s">
        <v>1391</v>
      </c>
    </row>
    <row r="796" spans="1:31" x14ac:dyDescent="0.3">
      <c r="A796" t="s">
        <v>975</v>
      </c>
      <c r="B796" s="4">
        <v>45292.711111111108</v>
      </c>
      <c r="C796" t="s">
        <v>290</v>
      </c>
      <c r="D796" t="s">
        <v>1141</v>
      </c>
      <c r="E796" t="s">
        <v>1227</v>
      </c>
      <c r="F796" t="str" cm="1">
        <f t="array" ref="F796">_xlfn.IFS(
E796="Ahmedabad","Gujarat",
E796="Bengaluru","Karnataka",
E796="Bhopal","Madhya Pradesh",
E796="Bhubaneswar","Odisha",
E796="Chandigarh","Chandigarh",
E796="Chennai","Tamil Nadu",
E796="Delhi","Delhi",
E796="Guwahati","Assam",
E796="Hyderabad","Telangana",
E796="Indore","Madhya Pradesh",
E796="Jaipur","Rajasthan",
E796="Kochi","Kerala",
E796="Kolkata","West Bengal",
E796="Lucknow","Uttar Pradesh",
E796="Mumbai","Maharashtra",
E796="Nagpur","Maharashtra",
E796="Patna","Bihar",
E796="Pune","Maharashtra",
E796="Raipur","Chhattisgarh",
E796="Surat","Gujarat",
TRUE,"Not Found"
)</f>
        <v>Bihar</v>
      </c>
      <c r="G796" t="s">
        <v>1143</v>
      </c>
      <c r="H796" t="s">
        <v>1167</v>
      </c>
      <c r="I796" t="s">
        <v>1211</v>
      </c>
      <c r="J796" t="s">
        <v>1212</v>
      </c>
      <c r="K796" t="s">
        <v>1213</v>
      </c>
      <c r="L796">
        <v>2</v>
      </c>
      <c r="M796">
        <v>49376</v>
      </c>
      <c r="N796">
        <v>0.05</v>
      </c>
      <c r="O796">
        <v>46907.199999999997</v>
      </c>
      <c r="P796">
        <v>0.12</v>
      </c>
      <c r="Q796">
        <v>93814.399999999994</v>
      </c>
      <c r="R796">
        <v>11257.727999999999</v>
      </c>
      <c r="S796">
        <v>105072.128</v>
      </c>
      <c r="T796">
        <f>ROUND(Table2[[#This Row],[TotalAmount]],0)</f>
        <v>105072</v>
      </c>
      <c r="U796" t="s">
        <v>1363</v>
      </c>
      <c r="V796" t="s">
        <v>1361</v>
      </c>
      <c r="W796" s="4">
        <v>45294</v>
      </c>
      <c r="X796" s="4">
        <v>45297</v>
      </c>
      <c r="Y796" t="b">
        <v>0</v>
      </c>
      <c r="Z796" t="s">
        <v>1412</v>
      </c>
      <c r="AA796" t="s">
        <v>1412</v>
      </c>
      <c r="AB796" t="s">
        <v>1412</v>
      </c>
      <c r="AC796" t="s">
        <v>1382</v>
      </c>
      <c r="AD796" t="s">
        <v>1400</v>
      </c>
      <c r="AE796" t="s">
        <v>1389</v>
      </c>
    </row>
    <row r="797" spans="1:31" x14ac:dyDescent="0.3">
      <c r="A797" t="s">
        <v>976</v>
      </c>
      <c r="B797" s="4">
        <v>45655.48541666667</v>
      </c>
      <c r="C797" t="s">
        <v>86</v>
      </c>
      <c r="D797" t="s">
        <v>1182</v>
      </c>
      <c r="E797" t="s">
        <v>1207</v>
      </c>
      <c r="F797" t="str" cm="1">
        <f t="array" ref="F797">_xlfn.IFS(
E797="Ahmedabad","Gujarat",
E797="Bengaluru","Karnataka",
E797="Bhopal","Madhya Pradesh",
E797="Bhubaneswar","Odisha",
E797="Chandigarh","Chandigarh",
E797="Chennai","Tamil Nadu",
E797="Delhi","Delhi",
E797="Guwahati","Assam",
E797="Hyderabad","Telangana",
E797="Indore","Madhya Pradesh",
E797="Jaipur","Rajasthan",
E797="Kochi","Kerala",
E797="Kolkata","West Bengal",
E797="Lucknow","Uttar Pradesh",
E797="Mumbai","Maharashtra",
E797="Nagpur","Maharashtra",
E797="Patna","Bihar",
E797="Pune","Maharashtra",
E797="Raipur","Chhattisgarh",
E797="Surat","Gujarat",
TRUE,"Not Found"
)</f>
        <v>Tamil Nadu</v>
      </c>
      <c r="G797" t="s">
        <v>1228</v>
      </c>
      <c r="H797" t="s">
        <v>1177</v>
      </c>
      <c r="I797" t="s">
        <v>1236</v>
      </c>
      <c r="J797" t="s">
        <v>1237</v>
      </c>
      <c r="K797" t="s">
        <v>1238</v>
      </c>
      <c r="L797">
        <v>2</v>
      </c>
      <c r="M797">
        <v>1159</v>
      </c>
      <c r="N797">
        <v>0.2</v>
      </c>
      <c r="O797">
        <v>927.2</v>
      </c>
      <c r="P797">
        <v>0.12</v>
      </c>
      <c r="Q797">
        <v>1854.4</v>
      </c>
      <c r="R797">
        <v>222.52799999999999</v>
      </c>
      <c r="S797">
        <v>2076.9279999999999</v>
      </c>
      <c r="T797">
        <f>ROUND(Table2[[#This Row],[TotalAmount]],0)</f>
        <v>2077</v>
      </c>
      <c r="U797" t="s">
        <v>1363</v>
      </c>
      <c r="V797" t="s">
        <v>1361</v>
      </c>
      <c r="W797" s="4">
        <v>45657</v>
      </c>
      <c r="X797" s="4">
        <v>45660</v>
      </c>
      <c r="Y797" t="b">
        <v>0</v>
      </c>
      <c r="Z797" t="s">
        <v>1412</v>
      </c>
      <c r="AA797" t="s">
        <v>1412</v>
      </c>
      <c r="AB797" t="s">
        <v>1412</v>
      </c>
      <c r="AC797" t="s">
        <v>1398</v>
      </c>
      <c r="AD797" t="s">
        <v>1397</v>
      </c>
      <c r="AE797" t="s">
        <v>1378</v>
      </c>
    </row>
    <row r="798" spans="1:31" x14ac:dyDescent="0.3">
      <c r="A798" t="s">
        <v>977</v>
      </c>
      <c r="B798" s="4">
        <v>45337.484722222223</v>
      </c>
      <c r="C798" t="s">
        <v>462</v>
      </c>
      <c r="D798" t="s">
        <v>1148</v>
      </c>
      <c r="E798" t="s">
        <v>1149</v>
      </c>
      <c r="F798" t="str" cm="1">
        <f t="array" ref="F798">_xlfn.IFS(
E798="Ahmedabad","Gujarat",
E798="Bengaluru","Karnataka",
E798="Bhopal","Madhya Pradesh",
E798="Bhubaneswar","Odisha",
E798="Chandigarh","Chandigarh",
E798="Chennai","Tamil Nadu",
E798="Delhi","Delhi",
E798="Guwahati","Assam",
E798="Hyderabad","Telangana",
E798="Indore","Madhya Pradesh",
E798="Jaipur","Rajasthan",
E798="Kochi","Kerala",
E798="Kolkata","West Bengal",
E798="Lucknow","Uttar Pradesh",
E798="Mumbai","Maharashtra",
E798="Nagpur","Maharashtra",
E798="Patna","Bihar",
E798="Pune","Maharashtra",
E798="Raipur","Chhattisgarh",
E798="Surat","Gujarat",
TRUE,"Not Found"
)</f>
        <v>Uttar Pradesh</v>
      </c>
      <c r="G798" t="s">
        <v>1228</v>
      </c>
      <c r="H798" t="s">
        <v>1167</v>
      </c>
      <c r="I798" t="s">
        <v>1263</v>
      </c>
      <c r="J798" t="s">
        <v>1346</v>
      </c>
      <c r="K798" t="s">
        <v>1347</v>
      </c>
      <c r="L798">
        <v>1</v>
      </c>
      <c r="M798">
        <v>59378</v>
      </c>
      <c r="N798">
        <v>0</v>
      </c>
      <c r="O798">
        <v>59378</v>
      </c>
      <c r="P798">
        <v>0.12</v>
      </c>
      <c r="Q798">
        <v>59378</v>
      </c>
      <c r="R798">
        <v>7125.36</v>
      </c>
      <c r="S798">
        <v>66503.360000000001</v>
      </c>
      <c r="T798">
        <f>ROUND(Table2[[#This Row],[TotalAmount]],0)</f>
        <v>66503</v>
      </c>
      <c r="U798" t="s">
        <v>1360</v>
      </c>
      <c r="V798" t="s">
        <v>1367</v>
      </c>
      <c r="W798" s="4">
        <v>45337</v>
      </c>
      <c r="X798" s="4" t="s">
        <v>1412</v>
      </c>
      <c r="Y798" t="b">
        <v>0</v>
      </c>
      <c r="Z798" t="s">
        <v>1412</v>
      </c>
      <c r="AA798" t="s">
        <v>1412</v>
      </c>
      <c r="AB798" t="s">
        <v>1412</v>
      </c>
      <c r="AC798" t="s">
        <v>1396</v>
      </c>
      <c r="AD798" t="s">
        <v>1399</v>
      </c>
      <c r="AE798" t="s">
        <v>1378</v>
      </c>
    </row>
    <row r="799" spans="1:31" x14ac:dyDescent="0.3">
      <c r="A799" t="s">
        <v>978</v>
      </c>
      <c r="B799" s="4">
        <v>45539.525694444441</v>
      </c>
      <c r="C799" t="s">
        <v>14</v>
      </c>
      <c r="D799" t="s">
        <v>1153</v>
      </c>
      <c r="E799" t="s">
        <v>1162</v>
      </c>
      <c r="F799" t="str" cm="1">
        <f t="array" ref="F799">_xlfn.IFS(
E799="Ahmedabad","Gujarat",
E799="Bengaluru","Karnataka",
E799="Bhopal","Madhya Pradesh",
E799="Bhubaneswar","Odisha",
E799="Chandigarh","Chandigarh",
E799="Chennai","Tamil Nadu",
E799="Delhi","Delhi",
E799="Guwahati","Assam",
E799="Hyderabad","Telangana",
E799="Indore","Madhya Pradesh",
E799="Jaipur","Rajasthan",
E799="Kochi","Kerala",
E799="Kolkata","West Bengal",
E799="Lucknow","Uttar Pradesh",
E799="Mumbai","Maharashtra",
E799="Nagpur","Maharashtra",
E799="Patna","Bihar",
E799="Pune","Maharashtra",
E799="Raipur","Chhattisgarh",
E799="Surat","Gujarat",
TRUE,"Not Found"
)</f>
        <v>Madhya Pradesh</v>
      </c>
      <c r="G799" t="s">
        <v>1143</v>
      </c>
      <c r="H799" t="s">
        <v>1144</v>
      </c>
      <c r="I799" t="s">
        <v>1159</v>
      </c>
      <c r="J799" t="s">
        <v>1160</v>
      </c>
      <c r="K799" t="s">
        <v>1161</v>
      </c>
      <c r="L799">
        <v>1</v>
      </c>
      <c r="M799">
        <v>13283</v>
      </c>
      <c r="N799">
        <v>0.2</v>
      </c>
      <c r="O799">
        <v>10626.4</v>
      </c>
      <c r="P799">
        <v>0.12</v>
      </c>
      <c r="Q799">
        <v>10626.4</v>
      </c>
      <c r="R799">
        <v>1275.1679999999999</v>
      </c>
      <c r="S799">
        <v>11901.567999999999</v>
      </c>
      <c r="T799">
        <f>ROUND(Table2[[#This Row],[TotalAmount]],0)</f>
        <v>11902</v>
      </c>
      <c r="U799" t="s">
        <v>1365</v>
      </c>
      <c r="V799" t="s">
        <v>1361</v>
      </c>
      <c r="W799" s="4">
        <v>45541</v>
      </c>
      <c r="X799" s="4">
        <v>45545</v>
      </c>
      <c r="Y799" t="b">
        <v>0</v>
      </c>
      <c r="Z799" t="s">
        <v>1412</v>
      </c>
      <c r="AA799" t="s">
        <v>1412</v>
      </c>
      <c r="AB799" t="s">
        <v>1412</v>
      </c>
      <c r="AC799" t="s">
        <v>1388</v>
      </c>
      <c r="AD799" t="s">
        <v>1397</v>
      </c>
      <c r="AE799" t="s">
        <v>1393</v>
      </c>
    </row>
    <row r="800" spans="1:31" x14ac:dyDescent="0.3">
      <c r="A800" t="s">
        <v>979</v>
      </c>
      <c r="B800" s="4">
        <v>45692.64166666667</v>
      </c>
      <c r="C800" t="s">
        <v>200</v>
      </c>
      <c r="D800" t="s">
        <v>1182</v>
      </c>
      <c r="E800" t="s">
        <v>1183</v>
      </c>
      <c r="F800" t="str" cm="1">
        <f t="array" ref="F800">_xlfn.IFS(
E800="Ahmedabad","Gujarat",
E800="Bengaluru","Karnataka",
E800="Bhopal","Madhya Pradesh",
E800="Bhubaneswar","Odisha",
E800="Chandigarh","Chandigarh",
E800="Chennai","Tamil Nadu",
E800="Delhi","Delhi",
E800="Guwahati","Assam",
E800="Hyderabad","Telangana",
E800="Indore","Madhya Pradesh",
E800="Jaipur","Rajasthan",
E800="Kochi","Kerala",
E800="Kolkata","West Bengal",
E800="Lucknow","Uttar Pradesh",
E800="Mumbai","Maharashtra",
E800="Nagpur","Maharashtra",
E800="Patna","Bihar",
E800="Pune","Maharashtra",
E800="Raipur","Chhattisgarh",
E800="Surat","Gujarat",
TRUE,"Not Found"
)</f>
        <v>Telangana</v>
      </c>
      <c r="G800" t="s">
        <v>1150</v>
      </c>
      <c r="H800" t="s">
        <v>1172</v>
      </c>
      <c r="I800" t="s">
        <v>1229</v>
      </c>
      <c r="J800" t="s">
        <v>1340</v>
      </c>
      <c r="K800" t="s">
        <v>1341</v>
      </c>
      <c r="L800">
        <v>1</v>
      </c>
      <c r="M800">
        <v>3143</v>
      </c>
      <c r="N800">
        <v>0</v>
      </c>
      <c r="O800">
        <v>3143</v>
      </c>
      <c r="P800">
        <v>0.12</v>
      </c>
      <c r="Q800">
        <v>3143</v>
      </c>
      <c r="R800">
        <v>377.16</v>
      </c>
      <c r="S800">
        <v>3520.16</v>
      </c>
      <c r="T800">
        <f>ROUND(Table2[[#This Row],[TotalAmount]],0)</f>
        <v>3520</v>
      </c>
      <c r="U800" t="s">
        <v>1366</v>
      </c>
      <c r="V800" t="s">
        <v>1361</v>
      </c>
      <c r="W800" s="4">
        <v>45692</v>
      </c>
      <c r="X800" s="4">
        <v>45693</v>
      </c>
      <c r="Y800" t="b">
        <v>0</v>
      </c>
      <c r="Z800" t="s">
        <v>1412</v>
      </c>
      <c r="AA800" t="s">
        <v>1412</v>
      </c>
      <c r="AB800" t="s">
        <v>1412</v>
      </c>
      <c r="AC800" t="s">
        <v>1376</v>
      </c>
      <c r="AD800" t="s">
        <v>1394</v>
      </c>
      <c r="AE800" t="s">
        <v>1391</v>
      </c>
    </row>
    <row r="801" spans="1:31" x14ac:dyDescent="0.3">
      <c r="A801" t="s">
        <v>980</v>
      </c>
      <c r="B801" s="4">
        <v>45489.615972222222</v>
      </c>
      <c r="C801" t="s">
        <v>273</v>
      </c>
      <c r="D801" t="s">
        <v>1157</v>
      </c>
      <c r="E801" t="s">
        <v>1158</v>
      </c>
      <c r="F801" t="str" cm="1">
        <f t="array" ref="F801">_xlfn.IFS(
E801="Ahmedabad","Gujarat",
E801="Bengaluru","Karnataka",
E801="Bhopal","Madhya Pradesh",
E801="Bhubaneswar","Odisha",
E801="Chandigarh","Chandigarh",
E801="Chennai","Tamil Nadu",
E801="Delhi","Delhi",
E801="Guwahati","Assam",
E801="Hyderabad","Telangana",
E801="Indore","Madhya Pradesh",
E801="Jaipur","Rajasthan",
E801="Kochi","Kerala",
E801="Kolkata","West Bengal",
E801="Lucknow","Uttar Pradesh",
E801="Mumbai","Maharashtra",
E801="Nagpur","Maharashtra",
E801="Patna","Bihar",
E801="Pune","Maharashtra",
E801="Raipur","Chhattisgarh",
E801="Surat","Gujarat",
TRUE,"Not Found"
)</f>
        <v>Gujarat</v>
      </c>
      <c r="G801" t="s">
        <v>1143</v>
      </c>
      <c r="H801" t="s">
        <v>1177</v>
      </c>
      <c r="I801" t="s">
        <v>1236</v>
      </c>
      <c r="J801" t="s">
        <v>1338</v>
      </c>
      <c r="K801" t="s">
        <v>1339</v>
      </c>
      <c r="L801">
        <v>3</v>
      </c>
      <c r="M801">
        <v>1823</v>
      </c>
      <c r="N801">
        <v>0.2</v>
      </c>
      <c r="O801">
        <v>1458.4</v>
      </c>
      <c r="P801">
        <v>0.12</v>
      </c>
      <c r="Q801">
        <v>4375.2000000000007</v>
      </c>
      <c r="R801">
        <v>525.02400000000011</v>
      </c>
      <c r="S801">
        <v>4900.2240000000011</v>
      </c>
      <c r="T801">
        <f>ROUND(Table2[[#This Row],[TotalAmount]],0)</f>
        <v>4900</v>
      </c>
      <c r="U801" t="s">
        <v>1365</v>
      </c>
      <c r="V801" t="s">
        <v>1361</v>
      </c>
      <c r="W801" s="4">
        <v>45491</v>
      </c>
      <c r="X801" s="4">
        <v>45494</v>
      </c>
      <c r="Y801" t="b">
        <v>0</v>
      </c>
      <c r="Z801" t="s">
        <v>1412</v>
      </c>
      <c r="AA801" t="s">
        <v>1412</v>
      </c>
      <c r="AB801" t="s">
        <v>1412</v>
      </c>
      <c r="AC801" t="s">
        <v>1396</v>
      </c>
      <c r="AD801" t="s">
        <v>1377</v>
      </c>
      <c r="AE801" t="s">
        <v>1395</v>
      </c>
    </row>
    <row r="802" spans="1:31" x14ac:dyDescent="0.3">
      <c r="A802" t="s">
        <v>981</v>
      </c>
      <c r="B802" s="4">
        <v>45643.571527777778</v>
      </c>
      <c r="C802" t="s">
        <v>457</v>
      </c>
      <c r="D802" t="s">
        <v>1157</v>
      </c>
      <c r="E802" t="s">
        <v>1158</v>
      </c>
      <c r="F802" t="str" cm="1">
        <f t="array" ref="F802">_xlfn.IFS(
E802="Ahmedabad","Gujarat",
E802="Bengaluru","Karnataka",
E802="Bhopal","Madhya Pradesh",
E802="Bhubaneswar","Odisha",
E802="Chandigarh","Chandigarh",
E802="Chennai","Tamil Nadu",
E802="Delhi","Delhi",
E802="Guwahati","Assam",
E802="Hyderabad","Telangana",
E802="Indore","Madhya Pradesh",
E802="Jaipur","Rajasthan",
E802="Kochi","Kerala",
E802="Kolkata","West Bengal",
E802="Lucknow","Uttar Pradesh",
E802="Mumbai","Maharashtra",
E802="Nagpur","Maharashtra",
E802="Patna","Bihar",
E802="Pune","Maharashtra",
E802="Raipur","Chhattisgarh",
E802="Surat","Gujarat",
TRUE,"Not Found"
)</f>
        <v>Gujarat</v>
      </c>
      <c r="G802" t="s">
        <v>1228</v>
      </c>
      <c r="H802" t="s">
        <v>1167</v>
      </c>
      <c r="I802" t="s">
        <v>1168</v>
      </c>
      <c r="J802" t="s">
        <v>1169</v>
      </c>
      <c r="K802" t="s">
        <v>1170</v>
      </c>
      <c r="L802">
        <v>3</v>
      </c>
      <c r="M802">
        <v>44492</v>
      </c>
      <c r="N802">
        <v>0</v>
      </c>
      <c r="O802">
        <v>44492</v>
      </c>
      <c r="P802">
        <v>0.05</v>
      </c>
      <c r="Q802">
        <v>133476</v>
      </c>
      <c r="R802">
        <v>6673.8</v>
      </c>
      <c r="S802">
        <v>140149.79999999999</v>
      </c>
      <c r="T802">
        <f>ROUND(Table2[[#This Row],[TotalAmount]],0)</f>
        <v>140150</v>
      </c>
      <c r="U802" t="s">
        <v>1363</v>
      </c>
      <c r="V802" t="s">
        <v>1361</v>
      </c>
      <c r="W802" s="4">
        <v>45644</v>
      </c>
      <c r="X802" s="4">
        <v>45645</v>
      </c>
      <c r="Y802" t="b">
        <v>0</v>
      </c>
      <c r="Z802" t="s">
        <v>1412</v>
      </c>
      <c r="AA802" t="s">
        <v>1412</v>
      </c>
      <c r="AB802" t="s">
        <v>1412</v>
      </c>
      <c r="AC802" t="s">
        <v>1392</v>
      </c>
      <c r="AD802" t="s">
        <v>1397</v>
      </c>
      <c r="AE802" t="s">
        <v>1383</v>
      </c>
    </row>
    <row r="803" spans="1:31" x14ac:dyDescent="0.3">
      <c r="A803" t="s">
        <v>982</v>
      </c>
      <c r="B803" s="4">
        <v>45637.565972222219</v>
      </c>
      <c r="C803" t="s">
        <v>135</v>
      </c>
      <c r="D803" t="s">
        <v>1182</v>
      </c>
      <c r="E803" t="s">
        <v>1207</v>
      </c>
      <c r="F803" t="str" cm="1">
        <f t="array" ref="F803">_xlfn.IFS(
E803="Ahmedabad","Gujarat",
E803="Bengaluru","Karnataka",
E803="Bhopal","Madhya Pradesh",
E803="Bhubaneswar","Odisha",
E803="Chandigarh","Chandigarh",
E803="Chennai","Tamil Nadu",
E803="Delhi","Delhi",
E803="Guwahati","Assam",
E803="Hyderabad","Telangana",
E803="Indore","Madhya Pradesh",
E803="Jaipur","Rajasthan",
E803="Kochi","Kerala",
E803="Kolkata","West Bengal",
E803="Lucknow","Uttar Pradesh",
E803="Mumbai","Maharashtra",
E803="Nagpur","Maharashtra",
E803="Patna","Bihar",
E803="Pune","Maharashtra",
E803="Raipur","Chhattisgarh",
E803="Surat","Gujarat",
TRUE,"Not Found"
)</f>
        <v>Tamil Nadu</v>
      </c>
      <c r="G803" t="s">
        <v>1143</v>
      </c>
      <c r="H803" t="s">
        <v>1172</v>
      </c>
      <c r="I803" t="s">
        <v>1188</v>
      </c>
      <c r="J803" t="s">
        <v>1189</v>
      </c>
      <c r="K803" t="s">
        <v>1190</v>
      </c>
      <c r="L803">
        <v>1</v>
      </c>
      <c r="M803">
        <v>5836</v>
      </c>
      <c r="N803">
        <v>0</v>
      </c>
      <c r="O803">
        <v>5836</v>
      </c>
      <c r="P803">
        <v>0.12</v>
      </c>
      <c r="Q803">
        <v>5836</v>
      </c>
      <c r="R803">
        <v>700.31999999999994</v>
      </c>
      <c r="S803">
        <v>6536.32</v>
      </c>
      <c r="T803">
        <f>ROUND(Table2[[#This Row],[TotalAmount]],0)</f>
        <v>6536</v>
      </c>
      <c r="U803" t="s">
        <v>1360</v>
      </c>
      <c r="V803" t="s">
        <v>1361</v>
      </c>
      <c r="W803" s="4">
        <v>45637</v>
      </c>
      <c r="X803" s="4">
        <v>45640</v>
      </c>
      <c r="Y803" t="b">
        <v>0</v>
      </c>
      <c r="Z803" t="s">
        <v>1412</v>
      </c>
      <c r="AA803" t="s">
        <v>1412</v>
      </c>
      <c r="AB803" t="s">
        <v>1412</v>
      </c>
      <c r="AC803" t="s">
        <v>1396</v>
      </c>
      <c r="AD803" t="s">
        <v>1385</v>
      </c>
      <c r="AE803" t="s">
        <v>1395</v>
      </c>
    </row>
    <row r="804" spans="1:31" x14ac:dyDescent="0.3">
      <c r="A804" t="s">
        <v>983</v>
      </c>
      <c r="B804" s="4">
        <v>45354.688194444447</v>
      </c>
      <c r="C804" t="s">
        <v>171</v>
      </c>
      <c r="D804" t="s">
        <v>1182</v>
      </c>
      <c r="E804" t="s">
        <v>1207</v>
      </c>
      <c r="F804" t="str" cm="1">
        <f t="array" ref="F804">_xlfn.IFS(
E804="Ahmedabad","Gujarat",
E804="Bengaluru","Karnataka",
E804="Bhopal","Madhya Pradesh",
E804="Bhubaneswar","Odisha",
E804="Chandigarh","Chandigarh",
E804="Chennai","Tamil Nadu",
E804="Delhi","Delhi",
E804="Guwahati","Assam",
E804="Hyderabad","Telangana",
E804="Indore","Madhya Pradesh",
E804="Jaipur","Rajasthan",
E804="Kochi","Kerala",
E804="Kolkata","West Bengal",
E804="Lucknow","Uttar Pradesh",
E804="Mumbai","Maharashtra",
E804="Nagpur","Maharashtra",
E804="Patna","Bihar",
E804="Pune","Maharashtra",
E804="Raipur","Chhattisgarh",
E804="Surat","Gujarat",
TRUE,"Not Found"
)</f>
        <v>Tamil Nadu</v>
      </c>
      <c r="G804" t="s">
        <v>1150</v>
      </c>
      <c r="H804" t="s">
        <v>1172</v>
      </c>
      <c r="I804" t="s">
        <v>1173</v>
      </c>
      <c r="J804" t="s">
        <v>1174</v>
      </c>
      <c r="K804" t="s">
        <v>1175</v>
      </c>
      <c r="L804">
        <v>2</v>
      </c>
      <c r="M804">
        <v>5628</v>
      </c>
      <c r="N804">
        <v>0.1</v>
      </c>
      <c r="O804">
        <v>5065.2</v>
      </c>
      <c r="P804">
        <v>0.12</v>
      </c>
      <c r="Q804">
        <v>10130.4</v>
      </c>
      <c r="R804">
        <v>1215.6479999999999</v>
      </c>
      <c r="S804">
        <v>11346.048000000001</v>
      </c>
      <c r="T804">
        <f>ROUND(Table2[[#This Row],[TotalAmount]],0)</f>
        <v>11346</v>
      </c>
      <c r="U804" t="s">
        <v>1363</v>
      </c>
      <c r="V804" t="s">
        <v>1361</v>
      </c>
      <c r="W804" s="4">
        <v>45354</v>
      </c>
      <c r="X804" s="4">
        <v>45357</v>
      </c>
      <c r="Y804" t="b">
        <v>0</v>
      </c>
      <c r="Z804" t="s">
        <v>1412</v>
      </c>
      <c r="AA804" t="s">
        <v>1412</v>
      </c>
      <c r="AB804" t="s">
        <v>1412</v>
      </c>
      <c r="AC804" t="s">
        <v>1382</v>
      </c>
      <c r="AD804" t="s">
        <v>1385</v>
      </c>
      <c r="AE804" t="s">
        <v>1391</v>
      </c>
    </row>
    <row r="805" spans="1:31" x14ac:dyDescent="0.3">
      <c r="A805" t="s">
        <v>984</v>
      </c>
      <c r="B805" s="4">
        <v>45443.462500000001</v>
      </c>
      <c r="C805" t="s">
        <v>164</v>
      </c>
      <c r="D805" t="s">
        <v>1157</v>
      </c>
      <c r="E805" t="s">
        <v>1249</v>
      </c>
      <c r="F805" t="str" cm="1">
        <f t="array" ref="F805">_xlfn.IFS(
E805="Ahmedabad","Gujarat",
E805="Bengaluru","Karnataka",
E805="Bhopal","Madhya Pradesh",
E805="Bhubaneswar","Odisha",
E805="Chandigarh","Chandigarh",
E805="Chennai","Tamil Nadu",
E805="Delhi","Delhi",
E805="Guwahati","Assam",
E805="Hyderabad","Telangana",
E805="Indore","Madhya Pradesh",
E805="Jaipur","Rajasthan",
E805="Kochi","Kerala",
E805="Kolkata","West Bengal",
E805="Lucknow","Uttar Pradesh",
E805="Mumbai","Maharashtra",
E805="Nagpur","Maharashtra",
E805="Patna","Bihar",
E805="Pune","Maharashtra",
E805="Raipur","Chhattisgarh",
E805="Surat","Gujarat",
TRUE,"Not Found"
)</f>
        <v>Maharashtra</v>
      </c>
      <c r="G805" t="s">
        <v>1143</v>
      </c>
      <c r="H805" t="s">
        <v>1144</v>
      </c>
      <c r="I805" t="s">
        <v>1159</v>
      </c>
      <c r="J805" t="s">
        <v>1272</v>
      </c>
      <c r="K805" t="s">
        <v>1273</v>
      </c>
      <c r="L805">
        <v>2</v>
      </c>
      <c r="M805">
        <v>3644</v>
      </c>
      <c r="N805">
        <v>0.1</v>
      </c>
      <c r="O805">
        <v>3279.6</v>
      </c>
      <c r="P805">
        <v>0.05</v>
      </c>
      <c r="Q805">
        <v>6559.2</v>
      </c>
      <c r="R805">
        <v>327.96</v>
      </c>
      <c r="S805">
        <v>6887.16</v>
      </c>
      <c r="T805">
        <f>ROUND(Table2[[#This Row],[TotalAmount]],0)</f>
        <v>6887</v>
      </c>
      <c r="U805" t="s">
        <v>1365</v>
      </c>
      <c r="V805" t="s">
        <v>1367</v>
      </c>
      <c r="W805" s="4">
        <v>45443</v>
      </c>
      <c r="X805" s="4" t="s">
        <v>1412</v>
      </c>
      <c r="Y805" t="b">
        <v>0</v>
      </c>
      <c r="Z805" t="s">
        <v>1412</v>
      </c>
      <c r="AA805" t="s">
        <v>1412</v>
      </c>
      <c r="AB805" t="s">
        <v>1412</v>
      </c>
      <c r="AC805" t="s">
        <v>1382</v>
      </c>
      <c r="AD805" t="s">
        <v>1385</v>
      </c>
      <c r="AE805" t="s">
        <v>1393</v>
      </c>
    </row>
    <row r="806" spans="1:31" x14ac:dyDescent="0.3">
      <c r="A806" t="s">
        <v>985</v>
      </c>
      <c r="B806" s="4">
        <v>45756.576388888891</v>
      </c>
      <c r="C806" t="s">
        <v>181</v>
      </c>
      <c r="D806" t="s">
        <v>1153</v>
      </c>
      <c r="E806" t="s">
        <v>1191</v>
      </c>
      <c r="F806" t="str" cm="1">
        <f t="array" ref="F806">_xlfn.IFS(
E806="Ahmedabad","Gujarat",
E806="Bengaluru","Karnataka",
E806="Bhopal","Madhya Pradesh",
E806="Bhubaneswar","Odisha",
E806="Chandigarh","Chandigarh",
E806="Chennai","Tamil Nadu",
E806="Delhi","Delhi",
E806="Guwahati","Assam",
E806="Hyderabad","Telangana",
E806="Indore","Madhya Pradesh",
E806="Jaipur","Rajasthan",
E806="Kochi","Kerala",
E806="Kolkata","West Bengal",
E806="Lucknow","Uttar Pradesh",
E806="Mumbai","Maharashtra",
E806="Nagpur","Maharashtra",
E806="Patna","Bihar",
E806="Pune","Maharashtra",
E806="Raipur","Chhattisgarh",
E806="Surat","Gujarat",
TRUE,"Not Found"
)</f>
        <v>Madhya Pradesh</v>
      </c>
      <c r="G806" t="s">
        <v>1228</v>
      </c>
      <c r="H806" t="s">
        <v>1172</v>
      </c>
      <c r="I806" t="s">
        <v>1229</v>
      </c>
      <c r="J806" t="s">
        <v>1340</v>
      </c>
      <c r="K806" t="s">
        <v>1341</v>
      </c>
      <c r="L806">
        <v>2</v>
      </c>
      <c r="M806">
        <v>2661</v>
      </c>
      <c r="N806">
        <v>0.1</v>
      </c>
      <c r="O806">
        <v>2394.9</v>
      </c>
      <c r="P806">
        <v>0.05</v>
      </c>
      <c r="Q806">
        <v>4789.8</v>
      </c>
      <c r="R806">
        <v>239.49</v>
      </c>
      <c r="S806">
        <v>5029.29</v>
      </c>
      <c r="T806">
        <f>ROUND(Table2[[#This Row],[TotalAmount]],0)</f>
        <v>5029</v>
      </c>
      <c r="U806" t="s">
        <v>1363</v>
      </c>
      <c r="V806" t="s">
        <v>1361</v>
      </c>
      <c r="W806" s="4">
        <v>45756</v>
      </c>
      <c r="X806" s="4">
        <v>45760</v>
      </c>
      <c r="Y806" t="b">
        <v>0</v>
      </c>
      <c r="Z806" t="s">
        <v>1412</v>
      </c>
      <c r="AA806" t="s">
        <v>1412</v>
      </c>
      <c r="AB806" t="s">
        <v>1412</v>
      </c>
      <c r="AC806" t="s">
        <v>1386</v>
      </c>
      <c r="AD806" t="s">
        <v>1400</v>
      </c>
      <c r="AE806" t="s">
        <v>1393</v>
      </c>
    </row>
    <row r="807" spans="1:31" x14ac:dyDescent="0.3">
      <c r="A807" t="s">
        <v>986</v>
      </c>
      <c r="B807" s="4">
        <v>45532.431250000001</v>
      </c>
      <c r="C807" t="s">
        <v>264</v>
      </c>
      <c r="D807" t="s">
        <v>1153</v>
      </c>
      <c r="E807" t="s">
        <v>1162</v>
      </c>
      <c r="F807" t="str" cm="1">
        <f t="array" ref="F807">_xlfn.IFS(
E807="Ahmedabad","Gujarat",
E807="Bengaluru","Karnataka",
E807="Bhopal","Madhya Pradesh",
E807="Bhubaneswar","Odisha",
E807="Chandigarh","Chandigarh",
E807="Chennai","Tamil Nadu",
E807="Delhi","Delhi",
E807="Guwahati","Assam",
E807="Hyderabad","Telangana",
E807="Indore","Madhya Pradesh",
E807="Jaipur","Rajasthan",
E807="Kochi","Kerala",
E807="Kolkata","West Bengal",
E807="Lucknow","Uttar Pradesh",
E807="Mumbai","Maharashtra",
E807="Nagpur","Maharashtra",
E807="Patna","Bihar",
E807="Pune","Maharashtra",
E807="Raipur","Chhattisgarh",
E807="Surat","Gujarat",
TRUE,"Not Found"
)</f>
        <v>Madhya Pradesh</v>
      </c>
      <c r="G807" t="s">
        <v>1143</v>
      </c>
      <c r="H807" t="s">
        <v>1177</v>
      </c>
      <c r="I807" t="s">
        <v>1195</v>
      </c>
      <c r="J807" t="s">
        <v>1218</v>
      </c>
      <c r="K807" t="s">
        <v>1219</v>
      </c>
      <c r="L807">
        <v>4</v>
      </c>
      <c r="M807">
        <v>2848</v>
      </c>
      <c r="N807">
        <v>0</v>
      </c>
      <c r="O807">
        <v>2848</v>
      </c>
      <c r="P807">
        <v>0.18</v>
      </c>
      <c r="Q807">
        <v>11392</v>
      </c>
      <c r="R807">
        <v>2050.56</v>
      </c>
      <c r="S807">
        <v>13442.56</v>
      </c>
      <c r="T807">
        <f>ROUND(Table2[[#This Row],[TotalAmount]],0)</f>
        <v>13443</v>
      </c>
      <c r="U807" t="s">
        <v>1363</v>
      </c>
      <c r="V807" t="s">
        <v>1361</v>
      </c>
      <c r="W807" s="4">
        <v>45534</v>
      </c>
      <c r="X807" s="4">
        <v>45538</v>
      </c>
      <c r="Y807" t="b">
        <v>0</v>
      </c>
      <c r="Z807" t="s">
        <v>1412</v>
      </c>
      <c r="AA807" t="s">
        <v>1412</v>
      </c>
      <c r="AB807" t="s">
        <v>1412</v>
      </c>
      <c r="AC807" t="s">
        <v>1396</v>
      </c>
      <c r="AD807" t="s">
        <v>1400</v>
      </c>
      <c r="AE807" t="s">
        <v>1395</v>
      </c>
    </row>
    <row r="808" spans="1:31" x14ac:dyDescent="0.3">
      <c r="A808" t="s">
        <v>987</v>
      </c>
      <c r="B808" s="4">
        <v>45551.669444444437</v>
      </c>
      <c r="C808" t="s">
        <v>81</v>
      </c>
      <c r="D808" t="s">
        <v>1148</v>
      </c>
      <c r="E808" t="s">
        <v>1149</v>
      </c>
      <c r="F808" t="str" cm="1">
        <f t="array" ref="F808">_xlfn.IFS(
E808="Ahmedabad","Gujarat",
E808="Bengaluru","Karnataka",
E808="Bhopal","Madhya Pradesh",
E808="Bhubaneswar","Odisha",
E808="Chandigarh","Chandigarh",
E808="Chennai","Tamil Nadu",
E808="Delhi","Delhi",
E808="Guwahati","Assam",
E808="Hyderabad","Telangana",
E808="Indore","Madhya Pradesh",
E808="Jaipur","Rajasthan",
E808="Kochi","Kerala",
E808="Kolkata","West Bengal",
E808="Lucknow","Uttar Pradesh",
E808="Mumbai","Maharashtra",
E808="Nagpur","Maharashtra",
E808="Patna","Bihar",
E808="Pune","Maharashtra",
E808="Raipur","Chhattisgarh",
E808="Surat","Gujarat",
TRUE,"Not Found"
)</f>
        <v>Uttar Pradesh</v>
      </c>
      <c r="G808" t="s">
        <v>1187</v>
      </c>
      <c r="H808" t="s">
        <v>1172</v>
      </c>
      <c r="I808" t="s">
        <v>1198</v>
      </c>
      <c r="J808" t="s">
        <v>1303</v>
      </c>
      <c r="K808" t="s">
        <v>1304</v>
      </c>
      <c r="L808">
        <v>1</v>
      </c>
      <c r="M808">
        <v>2150</v>
      </c>
      <c r="N808">
        <v>0</v>
      </c>
      <c r="O808">
        <v>2150</v>
      </c>
      <c r="P808">
        <v>0.05</v>
      </c>
      <c r="Q808">
        <v>2150</v>
      </c>
      <c r="R808">
        <v>107.5</v>
      </c>
      <c r="S808">
        <v>2257.5</v>
      </c>
      <c r="T808">
        <f>ROUND(Table2[[#This Row],[TotalAmount]],0)</f>
        <v>2258</v>
      </c>
      <c r="U808" t="s">
        <v>1365</v>
      </c>
      <c r="V808" t="s">
        <v>1361</v>
      </c>
      <c r="W808" s="4">
        <v>45551</v>
      </c>
      <c r="X808" s="4">
        <v>45552</v>
      </c>
      <c r="Y808" t="b">
        <v>0</v>
      </c>
      <c r="Z808" t="s">
        <v>1412</v>
      </c>
      <c r="AA808" t="s">
        <v>1412</v>
      </c>
      <c r="AB808" t="s">
        <v>1412</v>
      </c>
      <c r="AC808" t="s">
        <v>1386</v>
      </c>
      <c r="AD808" t="s">
        <v>1397</v>
      </c>
      <c r="AE808" t="s">
        <v>1393</v>
      </c>
    </row>
    <row r="809" spans="1:31" x14ac:dyDescent="0.3">
      <c r="A809" t="s">
        <v>988</v>
      </c>
      <c r="B809" s="4">
        <v>45738.606944444437</v>
      </c>
      <c r="C809" t="s">
        <v>629</v>
      </c>
      <c r="D809" t="s">
        <v>1153</v>
      </c>
      <c r="E809" t="s">
        <v>1191</v>
      </c>
      <c r="F809" t="str" cm="1">
        <f t="array" ref="F809">_xlfn.IFS(
E809="Ahmedabad","Gujarat",
E809="Bengaluru","Karnataka",
E809="Bhopal","Madhya Pradesh",
E809="Bhubaneswar","Odisha",
E809="Chandigarh","Chandigarh",
E809="Chennai","Tamil Nadu",
E809="Delhi","Delhi",
E809="Guwahati","Assam",
E809="Hyderabad","Telangana",
E809="Indore","Madhya Pradesh",
E809="Jaipur","Rajasthan",
E809="Kochi","Kerala",
E809="Kolkata","West Bengal",
E809="Lucknow","Uttar Pradesh",
E809="Mumbai","Maharashtra",
E809="Nagpur","Maharashtra",
E809="Patna","Bihar",
E809="Pune","Maharashtra",
E809="Raipur","Chhattisgarh",
E809="Surat","Gujarat",
TRUE,"Not Found"
)</f>
        <v>Madhya Pradesh</v>
      </c>
      <c r="G809" t="s">
        <v>1143</v>
      </c>
      <c r="H809" t="s">
        <v>1172</v>
      </c>
      <c r="I809" t="s">
        <v>1173</v>
      </c>
      <c r="J809" t="s">
        <v>1222</v>
      </c>
      <c r="K809" t="s">
        <v>1223</v>
      </c>
      <c r="L809">
        <v>2</v>
      </c>
      <c r="M809">
        <v>9098</v>
      </c>
      <c r="N809">
        <v>0</v>
      </c>
      <c r="O809">
        <v>9098</v>
      </c>
      <c r="P809">
        <v>0.12</v>
      </c>
      <c r="Q809">
        <v>18196</v>
      </c>
      <c r="R809">
        <v>2183.52</v>
      </c>
      <c r="S809">
        <v>20379.52</v>
      </c>
      <c r="T809">
        <f>ROUND(Table2[[#This Row],[TotalAmount]],0)</f>
        <v>20380</v>
      </c>
      <c r="U809" t="s">
        <v>1362</v>
      </c>
      <c r="V809" t="s">
        <v>1361</v>
      </c>
      <c r="W809" s="4">
        <v>45739</v>
      </c>
      <c r="X809" s="4">
        <v>45740</v>
      </c>
      <c r="Y809" t="b">
        <v>0</v>
      </c>
      <c r="Z809" t="s">
        <v>1412</v>
      </c>
      <c r="AA809" t="s">
        <v>1412</v>
      </c>
      <c r="AB809" t="s">
        <v>1412</v>
      </c>
      <c r="AC809" t="s">
        <v>1398</v>
      </c>
      <c r="AD809" t="s">
        <v>1397</v>
      </c>
      <c r="AE809" t="s">
        <v>1389</v>
      </c>
    </row>
    <row r="810" spans="1:31" x14ac:dyDescent="0.3">
      <c r="A810" t="s">
        <v>989</v>
      </c>
      <c r="B810" s="4">
        <v>45315.5625</v>
      </c>
      <c r="C810" t="s">
        <v>396</v>
      </c>
      <c r="D810" t="s">
        <v>1157</v>
      </c>
      <c r="E810" t="s">
        <v>1158</v>
      </c>
      <c r="F810" t="str" cm="1">
        <f t="array" ref="F810">_xlfn.IFS(
E810="Ahmedabad","Gujarat",
E810="Bengaluru","Karnataka",
E810="Bhopal","Madhya Pradesh",
E810="Bhubaneswar","Odisha",
E810="Chandigarh","Chandigarh",
E810="Chennai","Tamil Nadu",
E810="Delhi","Delhi",
E810="Guwahati","Assam",
E810="Hyderabad","Telangana",
E810="Indore","Madhya Pradesh",
E810="Jaipur","Rajasthan",
E810="Kochi","Kerala",
E810="Kolkata","West Bengal",
E810="Lucknow","Uttar Pradesh",
E810="Mumbai","Maharashtra",
E810="Nagpur","Maharashtra",
E810="Patna","Bihar",
E810="Pune","Maharashtra",
E810="Raipur","Chhattisgarh",
E810="Surat","Gujarat",
TRUE,"Not Found"
)</f>
        <v>Gujarat</v>
      </c>
      <c r="G810" t="s">
        <v>1150</v>
      </c>
      <c r="H810" t="s">
        <v>1167</v>
      </c>
      <c r="I810" t="s">
        <v>1211</v>
      </c>
      <c r="J810" t="s">
        <v>1279</v>
      </c>
      <c r="K810" t="s">
        <v>1280</v>
      </c>
      <c r="L810">
        <v>3</v>
      </c>
      <c r="M810">
        <v>26858</v>
      </c>
      <c r="N810">
        <v>0</v>
      </c>
      <c r="O810">
        <v>26858</v>
      </c>
      <c r="P810">
        <v>0.12</v>
      </c>
      <c r="Q810">
        <v>80574</v>
      </c>
      <c r="R810">
        <v>9668.8799999999992</v>
      </c>
      <c r="S810">
        <v>90242.880000000005</v>
      </c>
      <c r="T810">
        <f>ROUND(Table2[[#This Row],[TotalAmount]],0)</f>
        <v>90243</v>
      </c>
      <c r="U810" t="s">
        <v>1365</v>
      </c>
      <c r="V810" t="s">
        <v>1361</v>
      </c>
      <c r="W810" s="4">
        <v>45317</v>
      </c>
      <c r="X810" s="4">
        <v>45321</v>
      </c>
      <c r="Y810" t="b">
        <v>0</v>
      </c>
      <c r="Z810" t="s">
        <v>1412</v>
      </c>
      <c r="AA810" t="s">
        <v>1412</v>
      </c>
      <c r="AB810" t="s">
        <v>1412</v>
      </c>
      <c r="AC810" t="s">
        <v>1384</v>
      </c>
      <c r="AD810" t="s">
        <v>1387</v>
      </c>
      <c r="AE810" t="s">
        <v>1389</v>
      </c>
    </row>
    <row r="811" spans="1:31" x14ac:dyDescent="0.3">
      <c r="A811" t="s">
        <v>990</v>
      </c>
      <c r="B811" s="4">
        <v>45383.619444444441</v>
      </c>
      <c r="C811" t="s">
        <v>320</v>
      </c>
      <c r="D811" t="s">
        <v>1153</v>
      </c>
      <c r="E811" t="s">
        <v>1162</v>
      </c>
      <c r="F811" t="str" cm="1">
        <f t="array" ref="F811">_xlfn.IFS(
E811="Ahmedabad","Gujarat",
E811="Bengaluru","Karnataka",
E811="Bhopal","Madhya Pradesh",
E811="Bhubaneswar","Odisha",
E811="Chandigarh","Chandigarh",
E811="Chennai","Tamil Nadu",
E811="Delhi","Delhi",
E811="Guwahati","Assam",
E811="Hyderabad","Telangana",
E811="Indore","Madhya Pradesh",
E811="Jaipur","Rajasthan",
E811="Kochi","Kerala",
E811="Kolkata","West Bengal",
E811="Lucknow","Uttar Pradesh",
E811="Mumbai","Maharashtra",
E811="Nagpur","Maharashtra",
E811="Patna","Bihar",
E811="Pune","Maharashtra",
E811="Raipur","Chhattisgarh",
E811="Surat","Gujarat",
TRUE,"Not Found"
)</f>
        <v>Madhya Pradesh</v>
      </c>
      <c r="G811" t="s">
        <v>1150</v>
      </c>
      <c r="H811" t="s">
        <v>1163</v>
      </c>
      <c r="I811" t="s">
        <v>1224</v>
      </c>
      <c r="J811" t="s">
        <v>1243</v>
      </c>
      <c r="K811" t="s">
        <v>1244</v>
      </c>
      <c r="L811">
        <v>2</v>
      </c>
      <c r="M811">
        <v>980</v>
      </c>
      <c r="N811">
        <v>0</v>
      </c>
      <c r="O811">
        <v>980</v>
      </c>
      <c r="P811">
        <v>0.05</v>
      </c>
      <c r="Q811">
        <v>1960</v>
      </c>
      <c r="R811">
        <v>98</v>
      </c>
      <c r="S811">
        <v>2058</v>
      </c>
      <c r="T811">
        <f>ROUND(Table2[[#This Row],[TotalAmount]],0)</f>
        <v>2058</v>
      </c>
      <c r="U811" t="s">
        <v>1363</v>
      </c>
      <c r="V811" t="s">
        <v>1361</v>
      </c>
      <c r="W811" s="4">
        <v>45384</v>
      </c>
      <c r="X811" s="4">
        <v>45388</v>
      </c>
      <c r="Y811" t="b">
        <v>0</v>
      </c>
      <c r="Z811" t="s">
        <v>1412</v>
      </c>
      <c r="AA811" t="s">
        <v>1412</v>
      </c>
      <c r="AB811" t="s">
        <v>1412</v>
      </c>
      <c r="AC811" t="s">
        <v>1386</v>
      </c>
      <c r="AD811" t="s">
        <v>1385</v>
      </c>
      <c r="AE811" t="s">
        <v>1383</v>
      </c>
    </row>
    <row r="812" spans="1:31" x14ac:dyDescent="0.3">
      <c r="A812" t="s">
        <v>991</v>
      </c>
      <c r="B812" s="4">
        <v>45519.499305555553</v>
      </c>
      <c r="C812" t="s">
        <v>271</v>
      </c>
      <c r="D812" t="s">
        <v>1148</v>
      </c>
      <c r="E812" t="s">
        <v>1149</v>
      </c>
      <c r="F812" t="str" cm="1">
        <f t="array" ref="F812">_xlfn.IFS(
E812="Ahmedabad","Gujarat",
E812="Bengaluru","Karnataka",
E812="Bhopal","Madhya Pradesh",
E812="Bhubaneswar","Odisha",
E812="Chandigarh","Chandigarh",
E812="Chennai","Tamil Nadu",
E812="Delhi","Delhi",
E812="Guwahati","Assam",
E812="Hyderabad","Telangana",
E812="Indore","Madhya Pradesh",
E812="Jaipur","Rajasthan",
E812="Kochi","Kerala",
E812="Kolkata","West Bengal",
E812="Lucknow","Uttar Pradesh",
E812="Mumbai","Maharashtra",
E812="Nagpur","Maharashtra",
E812="Patna","Bihar",
E812="Pune","Maharashtra",
E812="Raipur","Chhattisgarh",
E812="Surat","Gujarat",
TRUE,"Not Found"
)</f>
        <v>Uttar Pradesh</v>
      </c>
      <c r="G812" t="s">
        <v>1143</v>
      </c>
      <c r="H812" t="s">
        <v>1172</v>
      </c>
      <c r="I812" t="s">
        <v>1204</v>
      </c>
      <c r="J812" t="s">
        <v>1297</v>
      </c>
      <c r="K812" t="s">
        <v>1298</v>
      </c>
      <c r="L812">
        <v>2</v>
      </c>
      <c r="M812">
        <v>2971</v>
      </c>
      <c r="N812">
        <v>0</v>
      </c>
      <c r="O812">
        <v>2971</v>
      </c>
      <c r="P812">
        <v>0.05</v>
      </c>
      <c r="Q812">
        <v>5942</v>
      </c>
      <c r="R812">
        <v>297.10000000000002</v>
      </c>
      <c r="S812">
        <v>6239.1</v>
      </c>
      <c r="T812">
        <f>ROUND(Table2[[#This Row],[TotalAmount]],0)</f>
        <v>6239</v>
      </c>
      <c r="U812" t="s">
        <v>1365</v>
      </c>
      <c r="V812" t="s">
        <v>1361</v>
      </c>
      <c r="W812" s="4">
        <v>45520</v>
      </c>
      <c r="X812" s="4">
        <v>45523</v>
      </c>
      <c r="Y812" t="b">
        <v>0</v>
      </c>
      <c r="Z812" t="s">
        <v>1412</v>
      </c>
      <c r="AA812" t="s">
        <v>1412</v>
      </c>
      <c r="AB812" t="s">
        <v>1412</v>
      </c>
      <c r="AC812" t="s">
        <v>1398</v>
      </c>
      <c r="AD812" t="s">
        <v>1387</v>
      </c>
      <c r="AE812" t="s">
        <v>1383</v>
      </c>
    </row>
    <row r="813" spans="1:31" x14ac:dyDescent="0.3">
      <c r="A813" t="s">
        <v>992</v>
      </c>
      <c r="B813" s="4">
        <v>45355.54583333333</v>
      </c>
      <c r="C813" t="s">
        <v>229</v>
      </c>
      <c r="D813" t="s">
        <v>1148</v>
      </c>
      <c r="E813" t="s">
        <v>1149</v>
      </c>
      <c r="F813" t="str" cm="1">
        <f t="array" ref="F813">_xlfn.IFS(
E813="Ahmedabad","Gujarat",
E813="Bengaluru","Karnataka",
E813="Bhopal","Madhya Pradesh",
E813="Bhubaneswar","Odisha",
E813="Chandigarh","Chandigarh",
E813="Chennai","Tamil Nadu",
E813="Delhi","Delhi",
E813="Guwahati","Assam",
E813="Hyderabad","Telangana",
E813="Indore","Madhya Pradesh",
E813="Jaipur","Rajasthan",
E813="Kochi","Kerala",
E813="Kolkata","West Bengal",
E813="Lucknow","Uttar Pradesh",
E813="Mumbai","Maharashtra",
E813="Nagpur","Maharashtra",
E813="Patna","Bihar",
E813="Pune","Maharashtra",
E813="Raipur","Chhattisgarh",
E813="Surat","Gujarat",
TRUE,"Not Found"
)</f>
        <v>Uttar Pradesh</v>
      </c>
      <c r="G813" t="s">
        <v>1143</v>
      </c>
      <c r="H813" t="s">
        <v>1144</v>
      </c>
      <c r="I813" t="s">
        <v>1214</v>
      </c>
      <c r="J813" t="s">
        <v>1215</v>
      </c>
      <c r="K813" t="s">
        <v>1216</v>
      </c>
      <c r="L813">
        <v>1</v>
      </c>
      <c r="M813">
        <v>14430</v>
      </c>
      <c r="N813">
        <v>0</v>
      </c>
      <c r="O813">
        <v>14430</v>
      </c>
      <c r="P813">
        <v>0.12</v>
      </c>
      <c r="Q813">
        <v>14430</v>
      </c>
      <c r="R813">
        <v>1731.6</v>
      </c>
      <c r="S813">
        <v>16161.6</v>
      </c>
      <c r="T813">
        <f>ROUND(Table2[[#This Row],[TotalAmount]],0)</f>
        <v>16162</v>
      </c>
      <c r="U813" t="s">
        <v>1363</v>
      </c>
      <c r="V813" t="s">
        <v>1361</v>
      </c>
      <c r="W813" s="4">
        <v>45355</v>
      </c>
      <c r="X813" s="4">
        <v>45360</v>
      </c>
      <c r="Y813" t="b">
        <v>0</v>
      </c>
      <c r="Z813" t="s">
        <v>1412</v>
      </c>
      <c r="AA813" t="s">
        <v>1412</v>
      </c>
      <c r="AB813" t="s">
        <v>1412</v>
      </c>
      <c r="AC813" t="s">
        <v>1376</v>
      </c>
      <c r="AD813" t="s">
        <v>1397</v>
      </c>
      <c r="AE813" t="s">
        <v>1383</v>
      </c>
    </row>
    <row r="814" spans="1:31" x14ac:dyDescent="0.3">
      <c r="A814" t="s">
        <v>993</v>
      </c>
      <c r="B814" s="4">
        <v>45759.612500000003</v>
      </c>
      <c r="C814" t="s">
        <v>346</v>
      </c>
      <c r="D814" t="s">
        <v>1153</v>
      </c>
      <c r="E814" t="s">
        <v>1162</v>
      </c>
      <c r="F814" t="str" cm="1">
        <f t="array" ref="F814">_xlfn.IFS(
E814="Ahmedabad","Gujarat",
E814="Bengaluru","Karnataka",
E814="Bhopal","Madhya Pradesh",
E814="Bhubaneswar","Odisha",
E814="Chandigarh","Chandigarh",
E814="Chennai","Tamil Nadu",
E814="Delhi","Delhi",
E814="Guwahati","Assam",
E814="Hyderabad","Telangana",
E814="Indore","Madhya Pradesh",
E814="Jaipur","Rajasthan",
E814="Kochi","Kerala",
E814="Kolkata","West Bengal",
E814="Lucknow","Uttar Pradesh",
E814="Mumbai","Maharashtra",
E814="Nagpur","Maharashtra",
E814="Patna","Bihar",
E814="Pune","Maharashtra",
E814="Raipur","Chhattisgarh",
E814="Surat","Gujarat",
TRUE,"Not Found"
)</f>
        <v>Madhya Pradesh</v>
      </c>
      <c r="G814" t="s">
        <v>1143</v>
      </c>
      <c r="H814" t="s">
        <v>1163</v>
      </c>
      <c r="I814" t="s">
        <v>1184</v>
      </c>
      <c r="J814" t="s">
        <v>1260</v>
      </c>
      <c r="K814" t="s">
        <v>1261</v>
      </c>
      <c r="L814">
        <v>2</v>
      </c>
      <c r="M814">
        <v>1014</v>
      </c>
      <c r="N814">
        <v>0.1</v>
      </c>
      <c r="O814">
        <v>912.6</v>
      </c>
      <c r="P814">
        <v>0.05</v>
      </c>
      <c r="Q814">
        <v>1825.2</v>
      </c>
      <c r="R814">
        <v>91.26</v>
      </c>
      <c r="S814">
        <v>1916.46</v>
      </c>
      <c r="T814">
        <f>ROUND(Table2[[#This Row],[TotalAmount]],0)</f>
        <v>1916</v>
      </c>
      <c r="U814" t="s">
        <v>1360</v>
      </c>
      <c r="V814" t="s">
        <v>1361</v>
      </c>
      <c r="W814" s="4">
        <v>45760</v>
      </c>
      <c r="X814" s="4">
        <v>45763</v>
      </c>
      <c r="Y814" t="b">
        <v>0</v>
      </c>
      <c r="Z814" t="s">
        <v>1412</v>
      </c>
      <c r="AA814" t="s">
        <v>1412</v>
      </c>
      <c r="AB814" t="s">
        <v>1412</v>
      </c>
      <c r="AC814" t="s">
        <v>1398</v>
      </c>
      <c r="AD814" t="s">
        <v>1399</v>
      </c>
      <c r="AE814" t="s">
        <v>1389</v>
      </c>
    </row>
    <row r="815" spans="1:31" x14ac:dyDescent="0.3">
      <c r="A815" t="s">
        <v>994</v>
      </c>
      <c r="B815" s="4">
        <v>45511.487500000003</v>
      </c>
      <c r="C815" t="s">
        <v>171</v>
      </c>
      <c r="D815" t="s">
        <v>1182</v>
      </c>
      <c r="E815" t="s">
        <v>1207</v>
      </c>
      <c r="F815" t="str" cm="1">
        <f t="array" ref="F815">_xlfn.IFS(
E815="Ahmedabad","Gujarat",
E815="Bengaluru","Karnataka",
E815="Bhopal","Madhya Pradesh",
E815="Bhubaneswar","Odisha",
E815="Chandigarh","Chandigarh",
E815="Chennai","Tamil Nadu",
E815="Delhi","Delhi",
E815="Guwahati","Assam",
E815="Hyderabad","Telangana",
E815="Indore","Madhya Pradesh",
E815="Jaipur","Rajasthan",
E815="Kochi","Kerala",
E815="Kolkata","West Bengal",
E815="Lucknow","Uttar Pradesh",
E815="Mumbai","Maharashtra",
E815="Nagpur","Maharashtra",
E815="Patna","Bihar",
E815="Pune","Maharashtra",
E815="Raipur","Chhattisgarh",
E815="Surat","Gujarat",
TRUE,"Not Found"
)</f>
        <v>Tamil Nadu</v>
      </c>
      <c r="G815" t="s">
        <v>1143</v>
      </c>
      <c r="H815" t="s">
        <v>1167</v>
      </c>
      <c r="I815" t="s">
        <v>1208</v>
      </c>
      <c r="J815" t="s">
        <v>1322</v>
      </c>
      <c r="K815" t="s">
        <v>1323</v>
      </c>
      <c r="L815">
        <v>4</v>
      </c>
      <c r="M815">
        <v>32628</v>
      </c>
      <c r="N815">
        <v>0.1</v>
      </c>
      <c r="O815">
        <v>29365.200000000001</v>
      </c>
      <c r="P815">
        <v>0.18</v>
      </c>
      <c r="Q815">
        <v>117460.8</v>
      </c>
      <c r="R815">
        <v>21142.944</v>
      </c>
      <c r="S815">
        <v>138603.74400000001</v>
      </c>
      <c r="T815">
        <f>ROUND(Table2[[#This Row],[TotalAmount]],0)</f>
        <v>138604</v>
      </c>
      <c r="U815" t="s">
        <v>1360</v>
      </c>
      <c r="V815" t="s">
        <v>1361</v>
      </c>
      <c r="W815" s="4">
        <v>45512</v>
      </c>
      <c r="X815" s="4">
        <v>45516</v>
      </c>
      <c r="Y815" t="b">
        <v>0</v>
      </c>
      <c r="Z815" t="s">
        <v>1412</v>
      </c>
      <c r="AA815" t="s">
        <v>1412</v>
      </c>
      <c r="AB815" t="s">
        <v>1412</v>
      </c>
      <c r="AC815" t="s">
        <v>1388</v>
      </c>
      <c r="AD815" t="s">
        <v>1387</v>
      </c>
      <c r="AE815" t="s">
        <v>1380</v>
      </c>
    </row>
    <row r="816" spans="1:31" x14ac:dyDescent="0.3">
      <c r="A816" t="s">
        <v>995</v>
      </c>
      <c r="B816" s="4">
        <v>45547.550694444442</v>
      </c>
      <c r="C816" t="s">
        <v>273</v>
      </c>
      <c r="D816" t="s">
        <v>1157</v>
      </c>
      <c r="E816" t="s">
        <v>1158</v>
      </c>
      <c r="F816" t="str" cm="1">
        <f t="array" ref="F816">_xlfn.IFS(
E816="Ahmedabad","Gujarat",
E816="Bengaluru","Karnataka",
E816="Bhopal","Madhya Pradesh",
E816="Bhubaneswar","Odisha",
E816="Chandigarh","Chandigarh",
E816="Chennai","Tamil Nadu",
E816="Delhi","Delhi",
E816="Guwahati","Assam",
E816="Hyderabad","Telangana",
E816="Indore","Madhya Pradesh",
E816="Jaipur","Rajasthan",
E816="Kochi","Kerala",
E816="Kolkata","West Bengal",
E816="Lucknow","Uttar Pradesh",
E816="Mumbai","Maharashtra",
E816="Nagpur","Maharashtra",
E816="Patna","Bihar",
E816="Pune","Maharashtra",
E816="Raipur","Chhattisgarh",
E816="Surat","Gujarat",
TRUE,"Not Found"
)</f>
        <v>Gujarat</v>
      </c>
      <c r="G816" t="s">
        <v>1143</v>
      </c>
      <c r="H816" t="s">
        <v>1172</v>
      </c>
      <c r="I816" t="s">
        <v>1204</v>
      </c>
      <c r="J816" t="s">
        <v>1205</v>
      </c>
      <c r="K816" t="s">
        <v>1206</v>
      </c>
      <c r="L816">
        <v>1</v>
      </c>
      <c r="M816">
        <v>1358</v>
      </c>
      <c r="N816">
        <v>0.15</v>
      </c>
      <c r="O816">
        <v>1154.3</v>
      </c>
      <c r="P816">
        <v>0.18</v>
      </c>
      <c r="Q816">
        <v>1154.3</v>
      </c>
      <c r="R816">
        <v>207.774</v>
      </c>
      <c r="S816">
        <v>1362.0740000000001</v>
      </c>
      <c r="T816">
        <f>ROUND(Table2[[#This Row],[TotalAmount]],0)</f>
        <v>1362</v>
      </c>
      <c r="U816" t="s">
        <v>1366</v>
      </c>
      <c r="V816" t="s">
        <v>1361</v>
      </c>
      <c r="W816" s="4">
        <v>45548</v>
      </c>
      <c r="X816" s="4">
        <v>45551</v>
      </c>
      <c r="Y816" t="b">
        <v>0</v>
      </c>
      <c r="Z816" t="s">
        <v>1412</v>
      </c>
      <c r="AA816" t="s">
        <v>1412</v>
      </c>
      <c r="AB816" t="s">
        <v>1412</v>
      </c>
      <c r="AC816" t="s">
        <v>1390</v>
      </c>
      <c r="AD816" t="s">
        <v>1385</v>
      </c>
      <c r="AE816" t="s">
        <v>1380</v>
      </c>
    </row>
    <row r="817" spans="1:31" x14ac:dyDescent="0.3">
      <c r="A817" t="s">
        <v>996</v>
      </c>
      <c r="B817" s="4">
        <v>45758.515277777777</v>
      </c>
      <c r="C817" t="s">
        <v>366</v>
      </c>
      <c r="D817" t="s">
        <v>1157</v>
      </c>
      <c r="E817" t="s">
        <v>1249</v>
      </c>
      <c r="F817" t="str" cm="1">
        <f t="array" ref="F817">_xlfn.IFS(
E817="Ahmedabad","Gujarat",
E817="Bengaluru","Karnataka",
E817="Bhopal","Madhya Pradesh",
E817="Bhubaneswar","Odisha",
E817="Chandigarh","Chandigarh",
E817="Chennai","Tamil Nadu",
E817="Delhi","Delhi",
E817="Guwahati","Assam",
E817="Hyderabad","Telangana",
E817="Indore","Madhya Pradesh",
E817="Jaipur","Rajasthan",
E817="Kochi","Kerala",
E817="Kolkata","West Bengal",
E817="Lucknow","Uttar Pradesh",
E817="Mumbai","Maharashtra",
E817="Nagpur","Maharashtra",
E817="Patna","Bihar",
E817="Pune","Maharashtra",
E817="Raipur","Chhattisgarh",
E817="Surat","Gujarat",
TRUE,"Not Found"
)</f>
        <v>Maharashtra</v>
      </c>
      <c r="G817" t="s">
        <v>1143</v>
      </c>
      <c r="H817" t="s">
        <v>1177</v>
      </c>
      <c r="I817" t="s">
        <v>1236</v>
      </c>
      <c r="J817" t="s">
        <v>1237</v>
      </c>
      <c r="K817" t="s">
        <v>1238</v>
      </c>
      <c r="L817">
        <v>4</v>
      </c>
      <c r="M817">
        <v>2817</v>
      </c>
      <c r="N817">
        <v>0.15</v>
      </c>
      <c r="O817">
        <v>2394.4499999999998</v>
      </c>
      <c r="P817">
        <v>0.18</v>
      </c>
      <c r="Q817">
        <v>9577.7999999999993</v>
      </c>
      <c r="R817">
        <v>1724.0039999999999</v>
      </c>
      <c r="S817">
        <v>11301.804</v>
      </c>
      <c r="T817">
        <f>ROUND(Table2[[#This Row],[TotalAmount]],0)</f>
        <v>11302</v>
      </c>
      <c r="U817" t="s">
        <v>1365</v>
      </c>
      <c r="V817" t="s">
        <v>1361</v>
      </c>
      <c r="W817" s="4">
        <v>45758</v>
      </c>
      <c r="X817" s="4">
        <v>45762</v>
      </c>
      <c r="Y817" t="b">
        <v>0</v>
      </c>
      <c r="Z817" t="s">
        <v>1412</v>
      </c>
      <c r="AA817" t="s">
        <v>1412</v>
      </c>
      <c r="AB817" t="s">
        <v>1412</v>
      </c>
      <c r="AC817" t="s">
        <v>1376</v>
      </c>
      <c r="AD817" t="s">
        <v>1387</v>
      </c>
      <c r="AE817" t="s">
        <v>1378</v>
      </c>
    </row>
    <row r="818" spans="1:31" x14ac:dyDescent="0.3">
      <c r="A818" t="s">
        <v>997</v>
      </c>
      <c r="B818" s="4">
        <v>45660.518055555563</v>
      </c>
      <c r="C818" t="s">
        <v>117</v>
      </c>
      <c r="D818" t="s">
        <v>1141</v>
      </c>
      <c r="E818" t="s">
        <v>1285</v>
      </c>
      <c r="F818" t="str" cm="1">
        <f t="array" ref="F818">_xlfn.IFS(
E818="Ahmedabad","Gujarat",
E818="Bengaluru","Karnataka",
E818="Bhopal","Madhya Pradesh",
E818="Bhubaneswar","Odisha",
E818="Chandigarh","Chandigarh",
E818="Chennai","Tamil Nadu",
E818="Delhi","Delhi",
E818="Guwahati","Assam",
E818="Hyderabad","Telangana",
E818="Indore","Madhya Pradesh",
E818="Jaipur","Rajasthan",
E818="Kochi","Kerala",
E818="Kolkata","West Bengal",
E818="Lucknow","Uttar Pradesh",
E818="Mumbai","Maharashtra",
E818="Nagpur","Maharashtra",
E818="Patna","Bihar",
E818="Pune","Maharashtra",
E818="Raipur","Chhattisgarh",
E818="Surat","Gujarat",
TRUE,"Not Found"
)</f>
        <v>Assam</v>
      </c>
      <c r="G818" t="s">
        <v>1228</v>
      </c>
      <c r="H818" t="s">
        <v>1167</v>
      </c>
      <c r="I818" t="s">
        <v>1168</v>
      </c>
      <c r="J818" t="s">
        <v>1169</v>
      </c>
      <c r="K818" t="s">
        <v>1170</v>
      </c>
      <c r="L818">
        <v>1</v>
      </c>
      <c r="M818">
        <v>15254</v>
      </c>
      <c r="N818">
        <v>0.1</v>
      </c>
      <c r="O818">
        <v>13728.6</v>
      </c>
      <c r="P818">
        <v>0.12</v>
      </c>
      <c r="Q818">
        <v>13728.6</v>
      </c>
      <c r="R818">
        <v>1647.432</v>
      </c>
      <c r="S818">
        <v>15376.031999999999</v>
      </c>
      <c r="T818">
        <f>ROUND(Table2[[#This Row],[TotalAmount]],0)</f>
        <v>15376</v>
      </c>
      <c r="U818" t="s">
        <v>1362</v>
      </c>
      <c r="V818" t="s">
        <v>1361</v>
      </c>
      <c r="W818" s="4">
        <v>45660</v>
      </c>
      <c r="X818" s="4">
        <v>45663</v>
      </c>
      <c r="Y818" t="b">
        <v>0</v>
      </c>
      <c r="Z818" t="s">
        <v>1412</v>
      </c>
      <c r="AA818" t="s">
        <v>1412</v>
      </c>
      <c r="AB818" t="s">
        <v>1412</v>
      </c>
      <c r="AC818" t="s">
        <v>1376</v>
      </c>
      <c r="AD818" t="s">
        <v>1394</v>
      </c>
      <c r="AE818" t="s">
        <v>1393</v>
      </c>
    </row>
    <row r="819" spans="1:31" x14ac:dyDescent="0.3">
      <c r="A819" t="s">
        <v>998</v>
      </c>
      <c r="B819" s="4">
        <v>45470.619444444441</v>
      </c>
      <c r="C819" t="s">
        <v>275</v>
      </c>
      <c r="D819" t="s">
        <v>1141</v>
      </c>
      <c r="E819" t="s">
        <v>1227</v>
      </c>
      <c r="F819" t="str" cm="1">
        <f t="array" ref="F819">_xlfn.IFS(
E819="Ahmedabad","Gujarat",
E819="Bengaluru","Karnataka",
E819="Bhopal","Madhya Pradesh",
E819="Bhubaneswar","Odisha",
E819="Chandigarh","Chandigarh",
E819="Chennai","Tamil Nadu",
E819="Delhi","Delhi",
E819="Guwahati","Assam",
E819="Hyderabad","Telangana",
E819="Indore","Madhya Pradesh",
E819="Jaipur","Rajasthan",
E819="Kochi","Kerala",
E819="Kolkata","West Bengal",
E819="Lucknow","Uttar Pradesh",
E819="Mumbai","Maharashtra",
E819="Nagpur","Maharashtra",
E819="Patna","Bihar",
E819="Pune","Maharashtra",
E819="Raipur","Chhattisgarh",
E819="Surat","Gujarat",
TRUE,"Not Found"
)</f>
        <v>Bihar</v>
      </c>
      <c r="G819" t="s">
        <v>1143</v>
      </c>
      <c r="H819" t="s">
        <v>1172</v>
      </c>
      <c r="I819" t="s">
        <v>1188</v>
      </c>
      <c r="J819" t="s">
        <v>1232</v>
      </c>
      <c r="K819" t="s">
        <v>1233</v>
      </c>
      <c r="L819">
        <v>2</v>
      </c>
      <c r="M819">
        <v>9326</v>
      </c>
      <c r="N819">
        <v>0.05</v>
      </c>
      <c r="O819">
        <v>8859.6999999999989</v>
      </c>
      <c r="P819">
        <v>0.12</v>
      </c>
      <c r="Q819">
        <v>17719.400000000001</v>
      </c>
      <c r="R819">
        <v>2126.328</v>
      </c>
      <c r="S819">
        <v>19845.727999999999</v>
      </c>
      <c r="T819">
        <f>ROUND(Table2[[#This Row],[TotalAmount]],0)</f>
        <v>19846</v>
      </c>
      <c r="U819" t="s">
        <v>1362</v>
      </c>
      <c r="V819" t="s">
        <v>1361</v>
      </c>
      <c r="W819" s="4">
        <v>45472</v>
      </c>
      <c r="X819" s="4">
        <v>45476</v>
      </c>
      <c r="Y819" t="b">
        <v>0</v>
      </c>
      <c r="Z819" t="s">
        <v>1412</v>
      </c>
      <c r="AA819" t="s">
        <v>1412</v>
      </c>
      <c r="AB819" t="s">
        <v>1412</v>
      </c>
      <c r="AC819" t="s">
        <v>1386</v>
      </c>
      <c r="AD819" t="s">
        <v>1397</v>
      </c>
      <c r="AE819" t="s">
        <v>1395</v>
      </c>
    </row>
    <row r="820" spans="1:31" x14ac:dyDescent="0.3">
      <c r="A820" t="s">
        <v>999</v>
      </c>
      <c r="B820" s="4">
        <v>45353.530555555553</v>
      </c>
      <c r="C820" t="s">
        <v>251</v>
      </c>
      <c r="D820" t="s">
        <v>1148</v>
      </c>
      <c r="E820" t="s">
        <v>1171</v>
      </c>
      <c r="F820" t="str" cm="1">
        <f t="array" ref="F820">_xlfn.IFS(
E820="Ahmedabad","Gujarat",
E820="Bengaluru","Karnataka",
E820="Bhopal","Madhya Pradesh",
E820="Bhubaneswar","Odisha",
E820="Chandigarh","Chandigarh",
E820="Chennai","Tamil Nadu",
E820="Delhi","Delhi",
E820="Guwahati","Assam",
E820="Hyderabad","Telangana",
E820="Indore","Madhya Pradesh",
E820="Jaipur","Rajasthan",
E820="Kochi","Kerala",
E820="Kolkata","West Bengal",
E820="Lucknow","Uttar Pradesh",
E820="Mumbai","Maharashtra",
E820="Nagpur","Maharashtra",
E820="Patna","Bihar",
E820="Pune","Maharashtra",
E820="Raipur","Chhattisgarh",
E820="Surat","Gujarat",
TRUE,"Not Found"
)</f>
        <v>Chandigarh</v>
      </c>
      <c r="G820" t="s">
        <v>1150</v>
      </c>
      <c r="H820" t="s">
        <v>1167</v>
      </c>
      <c r="I820" t="s">
        <v>1168</v>
      </c>
      <c r="J820" t="s">
        <v>1314</v>
      </c>
      <c r="K820" t="s">
        <v>1315</v>
      </c>
      <c r="L820">
        <v>4</v>
      </c>
      <c r="M820">
        <v>30271</v>
      </c>
      <c r="N820">
        <v>0.2</v>
      </c>
      <c r="O820">
        <v>24216.799999999999</v>
      </c>
      <c r="P820">
        <v>0.12</v>
      </c>
      <c r="Q820">
        <v>96867.200000000012</v>
      </c>
      <c r="R820">
        <v>11624.064</v>
      </c>
      <c r="S820">
        <v>108491.264</v>
      </c>
      <c r="T820">
        <f>ROUND(Table2[[#This Row],[TotalAmount]],0)</f>
        <v>108491</v>
      </c>
      <c r="U820" t="s">
        <v>1360</v>
      </c>
      <c r="V820" t="s">
        <v>1361</v>
      </c>
      <c r="W820" s="4">
        <v>45354</v>
      </c>
      <c r="X820" s="4">
        <v>45356</v>
      </c>
      <c r="Y820" t="b">
        <v>0</v>
      </c>
      <c r="Z820" t="s">
        <v>1412</v>
      </c>
      <c r="AA820" t="s">
        <v>1412</v>
      </c>
      <c r="AB820" t="s">
        <v>1412</v>
      </c>
      <c r="AC820" t="s">
        <v>1388</v>
      </c>
      <c r="AD820" t="s">
        <v>1394</v>
      </c>
      <c r="AE820" t="s">
        <v>1389</v>
      </c>
    </row>
    <row r="821" spans="1:31" x14ac:dyDescent="0.3">
      <c r="A821" t="s">
        <v>1000</v>
      </c>
      <c r="B821" s="4">
        <v>45559.461805555547</v>
      </c>
      <c r="C821" t="s">
        <v>128</v>
      </c>
      <c r="D821" t="s">
        <v>1182</v>
      </c>
      <c r="E821" t="s">
        <v>1183</v>
      </c>
      <c r="F821" t="str" cm="1">
        <f t="array" ref="F821">_xlfn.IFS(
E821="Ahmedabad","Gujarat",
E821="Bengaluru","Karnataka",
E821="Bhopal","Madhya Pradesh",
E821="Bhubaneswar","Odisha",
E821="Chandigarh","Chandigarh",
E821="Chennai","Tamil Nadu",
E821="Delhi","Delhi",
E821="Guwahati","Assam",
E821="Hyderabad","Telangana",
E821="Indore","Madhya Pradesh",
E821="Jaipur","Rajasthan",
E821="Kochi","Kerala",
E821="Kolkata","West Bengal",
E821="Lucknow","Uttar Pradesh",
E821="Mumbai","Maharashtra",
E821="Nagpur","Maharashtra",
E821="Patna","Bihar",
E821="Pune","Maharashtra",
E821="Raipur","Chhattisgarh",
E821="Surat","Gujarat",
TRUE,"Not Found"
)</f>
        <v>Telangana</v>
      </c>
      <c r="G821" t="s">
        <v>1150</v>
      </c>
      <c r="H821" t="s">
        <v>1144</v>
      </c>
      <c r="I821" t="s">
        <v>1269</v>
      </c>
      <c r="J821" t="s">
        <v>1326</v>
      </c>
      <c r="K821" t="s">
        <v>1327</v>
      </c>
      <c r="L821">
        <v>1</v>
      </c>
      <c r="M821">
        <v>6692</v>
      </c>
      <c r="N821">
        <v>0.1</v>
      </c>
      <c r="O821">
        <v>6022.8</v>
      </c>
      <c r="P821">
        <v>0.05</v>
      </c>
      <c r="Q821">
        <v>6022.8</v>
      </c>
      <c r="R821">
        <v>301.14</v>
      </c>
      <c r="S821">
        <v>6323.9400000000014</v>
      </c>
      <c r="T821">
        <f>ROUND(Table2[[#This Row],[TotalAmount]],0)</f>
        <v>6324</v>
      </c>
      <c r="U821" t="s">
        <v>1363</v>
      </c>
      <c r="V821" t="s">
        <v>1368</v>
      </c>
      <c r="W821" s="4">
        <v>45561</v>
      </c>
      <c r="X821" s="4" t="s">
        <v>1412</v>
      </c>
      <c r="Y821" t="b">
        <v>0</v>
      </c>
      <c r="Z821" t="s">
        <v>1412</v>
      </c>
      <c r="AA821" t="s">
        <v>1412</v>
      </c>
      <c r="AB821" t="s">
        <v>1412</v>
      </c>
      <c r="AC821" t="s">
        <v>1398</v>
      </c>
      <c r="AD821" t="s">
        <v>1397</v>
      </c>
      <c r="AE821" t="s">
        <v>1383</v>
      </c>
    </row>
    <row r="822" spans="1:31" x14ac:dyDescent="0.3">
      <c r="A822" t="s">
        <v>1001</v>
      </c>
      <c r="B822" s="4">
        <v>45440.606944444437</v>
      </c>
      <c r="C822" t="s">
        <v>494</v>
      </c>
      <c r="D822" t="s">
        <v>1153</v>
      </c>
      <c r="E822" t="s">
        <v>1191</v>
      </c>
      <c r="F822" t="str" cm="1">
        <f t="array" ref="F822">_xlfn.IFS(
E822="Ahmedabad","Gujarat",
E822="Bengaluru","Karnataka",
E822="Bhopal","Madhya Pradesh",
E822="Bhubaneswar","Odisha",
E822="Chandigarh","Chandigarh",
E822="Chennai","Tamil Nadu",
E822="Delhi","Delhi",
E822="Guwahati","Assam",
E822="Hyderabad","Telangana",
E822="Indore","Madhya Pradesh",
E822="Jaipur","Rajasthan",
E822="Kochi","Kerala",
E822="Kolkata","West Bengal",
E822="Lucknow","Uttar Pradesh",
E822="Mumbai","Maharashtra",
E822="Nagpur","Maharashtra",
E822="Patna","Bihar",
E822="Pune","Maharashtra",
E822="Raipur","Chhattisgarh",
E822="Surat","Gujarat",
TRUE,"Not Found"
)</f>
        <v>Madhya Pradesh</v>
      </c>
      <c r="G822" t="s">
        <v>1143</v>
      </c>
      <c r="H822" t="s">
        <v>1163</v>
      </c>
      <c r="I822" t="s">
        <v>1266</v>
      </c>
      <c r="J822" t="s">
        <v>1348</v>
      </c>
      <c r="K822" t="s">
        <v>1349</v>
      </c>
      <c r="L822">
        <v>1</v>
      </c>
      <c r="M822">
        <v>300</v>
      </c>
      <c r="N822">
        <v>0.1</v>
      </c>
      <c r="O822">
        <v>270</v>
      </c>
      <c r="P822">
        <v>0.18</v>
      </c>
      <c r="Q822">
        <v>270</v>
      </c>
      <c r="R822">
        <v>48.6</v>
      </c>
      <c r="S822">
        <v>318.60000000000002</v>
      </c>
      <c r="T822">
        <f>ROUND(Table2[[#This Row],[TotalAmount]],0)</f>
        <v>319</v>
      </c>
      <c r="U822" t="s">
        <v>1362</v>
      </c>
      <c r="V822" t="s">
        <v>1367</v>
      </c>
      <c r="W822" s="4">
        <v>45440</v>
      </c>
      <c r="X822" s="4" t="s">
        <v>1412</v>
      </c>
      <c r="Y822" t="b">
        <v>0</v>
      </c>
      <c r="Z822" t="s">
        <v>1412</v>
      </c>
      <c r="AA822" t="s">
        <v>1412</v>
      </c>
      <c r="AB822" t="s">
        <v>1412</v>
      </c>
      <c r="AC822" t="s">
        <v>1384</v>
      </c>
      <c r="AD822" t="s">
        <v>1377</v>
      </c>
      <c r="AE822" t="s">
        <v>1395</v>
      </c>
    </row>
    <row r="823" spans="1:31" x14ac:dyDescent="0.3">
      <c r="A823" t="s">
        <v>1002</v>
      </c>
      <c r="B823" s="4">
        <v>45491.504166666673</v>
      </c>
      <c r="C823" t="s">
        <v>105</v>
      </c>
      <c r="D823" t="s">
        <v>1182</v>
      </c>
      <c r="E823" t="s">
        <v>1207</v>
      </c>
      <c r="F823" t="str" cm="1">
        <f t="array" ref="F823">_xlfn.IFS(
E823="Ahmedabad","Gujarat",
E823="Bengaluru","Karnataka",
E823="Bhopal","Madhya Pradesh",
E823="Bhubaneswar","Odisha",
E823="Chandigarh","Chandigarh",
E823="Chennai","Tamil Nadu",
E823="Delhi","Delhi",
E823="Guwahati","Assam",
E823="Hyderabad","Telangana",
E823="Indore","Madhya Pradesh",
E823="Jaipur","Rajasthan",
E823="Kochi","Kerala",
E823="Kolkata","West Bengal",
E823="Lucknow","Uttar Pradesh",
E823="Mumbai","Maharashtra",
E823="Nagpur","Maharashtra",
E823="Patna","Bihar",
E823="Pune","Maharashtra",
E823="Raipur","Chhattisgarh",
E823="Surat","Gujarat",
TRUE,"Not Found"
)</f>
        <v>Tamil Nadu</v>
      </c>
      <c r="G823" t="s">
        <v>1143</v>
      </c>
      <c r="H823" t="s">
        <v>1172</v>
      </c>
      <c r="I823" t="s">
        <v>1229</v>
      </c>
      <c r="J823" t="s">
        <v>1230</v>
      </c>
      <c r="K823" t="s">
        <v>1231</v>
      </c>
      <c r="L823">
        <v>1</v>
      </c>
      <c r="M823">
        <v>5582</v>
      </c>
      <c r="N823">
        <v>0.15</v>
      </c>
      <c r="O823">
        <v>4744.7</v>
      </c>
      <c r="P823">
        <v>0.12</v>
      </c>
      <c r="Q823">
        <v>4744.7</v>
      </c>
      <c r="R823">
        <v>569.36399999999992</v>
      </c>
      <c r="S823">
        <v>5314.0639999999994</v>
      </c>
      <c r="T823">
        <f>ROUND(Table2[[#This Row],[TotalAmount]],0)</f>
        <v>5314</v>
      </c>
      <c r="U823" t="s">
        <v>1363</v>
      </c>
      <c r="V823" t="s">
        <v>1368</v>
      </c>
      <c r="W823" s="4">
        <v>45492</v>
      </c>
      <c r="X823" s="4" t="s">
        <v>1412</v>
      </c>
      <c r="Y823" t="b">
        <v>0</v>
      </c>
      <c r="Z823" t="s">
        <v>1412</v>
      </c>
      <c r="AA823" t="s">
        <v>1412</v>
      </c>
      <c r="AB823" t="s">
        <v>1412</v>
      </c>
      <c r="AC823" t="s">
        <v>1384</v>
      </c>
      <c r="AD823" t="s">
        <v>1377</v>
      </c>
      <c r="AE823" t="s">
        <v>1380</v>
      </c>
    </row>
    <row r="824" spans="1:31" x14ac:dyDescent="0.3">
      <c r="A824" t="s">
        <v>1003</v>
      </c>
      <c r="B824" s="4">
        <v>45306.493750000001</v>
      </c>
      <c r="C824" t="s">
        <v>200</v>
      </c>
      <c r="D824" t="s">
        <v>1182</v>
      </c>
      <c r="E824" t="s">
        <v>1183</v>
      </c>
      <c r="F824" t="str" cm="1">
        <f t="array" ref="F824">_xlfn.IFS(
E824="Ahmedabad","Gujarat",
E824="Bengaluru","Karnataka",
E824="Bhopal","Madhya Pradesh",
E824="Bhubaneswar","Odisha",
E824="Chandigarh","Chandigarh",
E824="Chennai","Tamil Nadu",
E824="Delhi","Delhi",
E824="Guwahati","Assam",
E824="Hyderabad","Telangana",
E824="Indore","Madhya Pradesh",
E824="Jaipur","Rajasthan",
E824="Kochi","Kerala",
E824="Kolkata","West Bengal",
E824="Lucknow","Uttar Pradesh",
E824="Mumbai","Maharashtra",
E824="Nagpur","Maharashtra",
E824="Patna","Bihar",
E824="Pune","Maharashtra",
E824="Raipur","Chhattisgarh",
E824="Surat","Gujarat",
TRUE,"Not Found"
)</f>
        <v>Telangana</v>
      </c>
      <c r="G824" t="s">
        <v>1187</v>
      </c>
      <c r="H824" t="s">
        <v>1167</v>
      </c>
      <c r="I824" t="s">
        <v>1208</v>
      </c>
      <c r="J824" t="s">
        <v>1209</v>
      </c>
      <c r="K824" t="s">
        <v>1210</v>
      </c>
      <c r="L824">
        <v>1</v>
      </c>
      <c r="M824">
        <v>17030</v>
      </c>
      <c r="N824">
        <v>0.05</v>
      </c>
      <c r="O824">
        <v>16178.5</v>
      </c>
      <c r="P824">
        <v>0.18</v>
      </c>
      <c r="Q824">
        <v>16178.5</v>
      </c>
      <c r="R824">
        <v>2912.13</v>
      </c>
      <c r="S824">
        <v>19090.63</v>
      </c>
      <c r="T824">
        <f>ROUND(Table2[[#This Row],[TotalAmount]],0)</f>
        <v>19091</v>
      </c>
      <c r="U824" t="s">
        <v>1363</v>
      </c>
      <c r="V824" t="s">
        <v>1361</v>
      </c>
      <c r="W824" s="4">
        <v>45306</v>
      </c>
      <c r="X824" s="4">
        <v>45308</v>
      </c>
      <c r="Y824" t="b">
        <v>0</v>
      </c>
      <c r="Z824" t="s">
        <v>1412</v>
      </c>
      <c r="AA824" t="s">
        <v>1412</v>
      </c>
      <c r="AB824" t="s">
        <v>1412</v>
      </c>
      <c r="AC824" t="s">
        <v>1379</v>
      </c>
      <c r="AD824" t="s">
        <v>1385</v>
      </c>
      <c r="AE824" t="s">
        <v>1389</v>
      </c>
    </row>
    <row r="825" spans="1:31" x14ac:dyDescent="0.3">
      <c r="A825" t="s">
        <v>1004</v>
      </c>
      <c r="B825" s="4">
        <v>45384.381249999999</v>
      </c>
      <c r="C825" t="s">
        <v>22</v>
      </c>
      <c r="D825" t="s">
        <v>1182</v>
      </c>
      <c r="E825" t="s">
        <v>1183</v>
      </c>
      <c r="F825" t="str" cm="1">
        <f t="array" ref="F825">_xlfn.IFS(
E825="Ahmedabad","Gujarat",
E825="Bengaluru","Karnataka",
E825="Bhopal","Madhya Pradesh",
E825="Bhubaneswar","Odisha",
E825="Chandigarh","Chandigarh",
E825="Chennai","Tamil Nadu",
E825="Delhi","Delhi",
E825="Guwahati","Assam",
E825="Hyderabad","Telangana",
E825="Indore","Madhya Pradesh",
E825="Jaipur","Rajasthan",
E825="Kochi","Kerala",
E825="Kolkata","West Bengal",
E825="Lucknow","Uttar Pradesh",
E825="Mumbai","Maharashtra",
E825="Nagpur","Maharashtra",
E825="Patna","Bihar",
E825="Pune","Maharashtra",
E825="Raipur","Chhattisgarh",
E825="Surat","Gujarat",
TRUE,"Not Found"
)</f>
        <v>Telangana</v>
      </c>
      <c r="G825" t="s">
        <v>1150</v>
      </c>
      <c r="H825" t="s">
        <v>1172</v>
      </c>
      <c r="I825" t="s">
        <v>1173</v>
      </c>
      <c r="J825" t="s">
        <v>1174</v>
      </c>
      <c r="K825" t="s">
        <v>1175</v>
      </c>
      <c r="L825">
        <v>1</v>
      </c>
      <c r="M825">
        <v>7304</v>
      </c>
      <c r="N825">
        <v>0</v>
      </c>
      <c r="O825">
        <v>7304</v>
      </c>
      <c r="P825">
        <v>0.18</v>
      </c>
      <c r="Q825">
        <v>7304</v>
      </c>
      <c r="R825">
        <v>1314.72</v>
      </c>
      <c r="S825">
        <v>8618.7199999999993</v>
      </c>
      <c r="T825">
        <f>ROUND(Table2[[#This Row],[TotalAmount]],0)</f>
        <v>8619</v>
      </c>
      <c r="U825" t="s">
        <v>1362</v>
      </c>
      <c r="V825" t="s">
        <v>1361</v>
      </c>
      <c r="W825" s="4">
        <v>45386</v>
      </c>
      <c r="X825" s="4">
        <v>45390</v>
      </c>
      <c r="Y825" t="b">
        <v>0</v>
      </c>
      <c r="Z825" t="s">
        <v>1412</v>
      </c>
      <c r="AA825" t="s">
        <v>1412</v>
      </c>
      <c r="AB825" t="s">
        <v>1412</v>
      </c>
      <c r="AC825" t="s">
        <v>1384</v>
      </c>
      <c r="AD825" t="s">
        <v>1377</v>
      </c>
      <c r="AE825" t="s">
        <v>1389</v>
      </c>
    </row>
    <row r="826" spans="1:31" x14ac:dyDescent="0.3">
      <c r="A826" t="s">
        <v>1005</v>
      </c>
      <c r="B826" s="4">
        <v>45584.488888888889</v>
      </c>
      <c r="C826" t="s">
        <v>107</v>
      </c>
      <c r="D826" t="s">
        <v>1153</v>
      </c>
      <c r="E826" t="s">
        <v>1176</v>
      </c>
      <c r="F826" t="str" cm="1">
        <f t="array" ref="F826">_xlfn.IFS(
E826="Ahmedabad","Gujarat",
E826="Bengaluru","Karnataka",
E826="Bhopal","Madhya Pradesh",
E826="Bhubaneswar","Odisha",
E826="Chandigarh","Chandigarh",
E826="Chennai","Tamil Nadu",
E826="Delhi","Delhi",
E826="Guwahati","Assam",
E826="Hyderabad","Telangana",
E826="Indore","Madhya Pradesh",
E826="Jaipur","Rajasthan",
E826="Kochi","Kerala",
E826="Kolkata","West Bengal",
E826="Lucknow","Uttar Pradesh",
E826="Mumbai","Maharashtra",
E826="Nagpur","Maharashtra",
E826="Patna","Bihar",
E826="Pune","Maharashtra",
E826="Raipur","Chhattisgarh",
E826="Surat","Gujarat",
TRUE,"Not Found"
)</f>
        <v>Chhattisgarh</v>
      </c>
      <c r="G826" t="s">
        <v>1143</v>
      </c>
      <c r="H826" t="s">
        <v>1167</v>
      </c>
      <c r="I826" t="s">
        <v>1211</v>
      </c>
      <c r="J826" t="s">
        <v>1212</v>
      </c>
      <c r="K826" t="s">
        <v>1213</v>
      </c>
      <c r="L826">
        <v>2</v>
      </c>
      <c r="M826">
        <v>49550</v>
      </c>
      <c r="N826">
        <v>0.05</v>
      </c>
      <c r="O826">
        <v>47072.5</v>
      </c>
      <c r="P826">
        <v>0.18</v>
      </c>
      <c r="Q826">
        <v>94145</v>
      </c>
      <c r="R826">
        <v>16946.099999999999</v>
      </c>
      <c r="S826">
        <v>111091.1</v>
      </c>
      <c r="T826">
        <f>ROUND(Table2[[#This Row],[TotalAmount]],0)</f>
        <v>111091</v>
      </c>
      <c r="U826" t="s">
        <v>1365</v>
      </c>
      <c r="V826" t="s">
        <v>1361</v>
      </c>
      <c r="W826" s="4">
        <v>45584</v>
      </c>
      <c r="X826" s="4">
        <v>45588</v>
      </c>
      <c r="Y826" t="b">
        <v>0</v>
      </c>
      <c r="Z826" t="s">
        <v>1412</v>
      </c>
      <c r="AA826" t="s">
        <v>1412</v>
      </c>
      <c r="AB826" t="s">
        <v>1412</v>
      </c>
      <c r="AC826" t="s">
        <v>1388</v>
      </c>
      <c r="AD826" t="s">
        <v>1377</v>
      </c>
      <c r="AE826" t="s">
        <v>1393</v>
      </c>
    </row>
    <row r="827" spans="1:31" x14ac:dyDescent="0.3">
      <c r="A827" t="s">
        <v>1006</v>
      </c>
      <c r="B827" s="4">
        <v>45556.45416666667</v>
      </c>
      <c r="C827" t="s">
        <v>316</v>
      </c>
      <c r="D827" t="s">
        <v>1148</v>
      </c>
      <c r="E827" t="s">
        <v>1262</v>
      </c>
      <c r="F827" t="str" cm="1">
        <f t="array" ref="F827">_xlfn.IFS(
E827="Ahmedabad","Gujarat",
E827="Bengaluru","Karnataka",
E827="Bhopal","Madhya Pradesh",
E827="Bhubaneswar","Odisha",
E827="Chandigarh","Chandigarh",
E827="Chennai","Tamil Nadu",
E827="Delhi","Delhi",
E827="Guwahati","Assam",
E827="Hyderabad","Telangana",
E827="Indore","Madhya Pradesh",
E827="Jaipur","Rajasthan",
E827="Kochi","Kerala",
E827="Kolkata","West Bengal",
E827="Lucknow","Uttar Pradesh",
E827="Mumbai","Maharashtra",
E827="Nagpur","Maharashtra",
E827="Patna","Bihar",
E827="Pune","Maharashtra",
E827="Raipur","Chhattisgarh",
E827="Surat","Gujarat",
TRUE,"Not Found"
)</f>
        <v>Rajasthan</v>
      </c>
      <c r="G827" t="s">
        <v>1143</v>
      </c>
      <c r="H827" t="s">
        <v>1163</v>
      </c>
      <c r="I827" t="s">
        <v>1266</v>
      </c>
      <c r="J827" t="s">
        <v>1267</v>
      </c>
      <c r="K827" t="s">
        <v>1268</v>
      </c>
      <c r="L827">
        <v>1</v>
      </c>
      <c r="M827">
        <v>1133</v>
      </c>
      <c r="N827">
        <v>0</v>
      </c>
      <c r="O827">
        <v>1133</v>
      </c>
      <c r="P827">
        <v>0.18</v>
      </c>
      <c r="Q827">
        <v>1133</v>
      </c>
      <c r="R827">
        <v>203.94</v>
      </c>
      <c r="S827">
        <v>1336.94</v>
      </c>
      <c r="T827">
        <f>ROUND(Table2[[#This Row],[TotalAmount]],0)</f>
        <v>1337</v>
      </c>
      <c r="U827" t="s">
        <v>1362</v>
      </c>
      <c r="V827" t="s">
        <v>1361</v>
      </c>
      <c r="W827" s="4">
        <v>45558</v>
      </c>
      <c r="X827" s="4">
        <v>45560</v>
      </c>
      <c r="Y827" t="b">
        <v>0</v>
      </c>
      <c r="Z827" t="s">
        <v>1412</v>
      </c>
      <c r="AA827" t="s">
        <v>1412</v>
      </c>
      <c r="AB827" t="s">
        <v>1412</v>
      </c>
      <c r="AC827" t="s">
        <v>1390</v>
      </c>
      <c r="AD827" t="s">
        <v>1387</v>
      </c>
      <c r="AE827" t="s">
        <v>1378</v>
      </c>
    </row>
    <row r="828" spans="1:31" x14ac:dyDescent="0.3">
      <c r="A828" t="s">
        <v>1007</v>
      </c>
      <c r="B828" s="4">
        <v>45593.509722222218</v>
      </c>
      <c r="C828" t="s">
        <v>247</v>
      </c>
      <c r="D828" t="s">
        <v>1141</v>
      </c>
      <c r="E828" t="s">
        <v>1227</v>
      </c>
      <c r="F828" t="str" cm="1">
        <f t="array" ref="F828">_xlfn.IFS(
E828="Ahmedabad","Gujarat",
E828="Bengaluru","Karnataka",
E828="Bhopal","Madhya Pradesh",
E828="Bhubaneswar","Odisha",
E828="Chandigarh","Chandigarh",
E828="Chennai","Tamil Nadu",
E828="Delhi","Delhi",
E828="Guwahati","Assam",
E828="Hyderabad","Telangana",
E828="Indore","Madhya Pradesh",
E828="Jaipur","Rajasthan",
E828="Kochi","Kerala",
E828="Kolkata","West Bengal",
E828="Lucknow","Uttar Pradesh",
E828="Mumbai","Maharashtra",
E828="Nagpur","Maharashtra",
E828="Patna","Bihar",
E828="Pune","Maharashtra",
E828="Raipur","Chhattisgarh",
E828="Surat","Gujarat",
TRUE,"Not Found"
)</f>
        <v>Bihar</v>
      </c>
      <c r="G828" t="s">
        <v>1150</v>
      </c>
      <c r="H828" t="s">
        <v>1144</v>
      </c>
      <c r="I828" t="s">
        <v>1159</v>
      </c>
      <c r="J828" t="s">
        <v>1334</v>
      </c>
      <c r="K828" t="s">
        <v>1335</v>
      </c>
      <c r="L828">
        <v>2</v>
      </c>
      <c r="M828">
        <v>14318</v>
      </c>
      <c r="N828">
        <v>0.1</v>
      </c>
      <c r="O828">
        <v>12886.2</v>
      </c>
      <c r="P828">
        <v>0.05</v>
      </c>
      <c r="Q828">
        <v>25772.400000000001</v>
      </c>
      <c r="R828">
        <v>1288.6199999999999</v>
      </c>
      <c r="S828">
        <v>27061.02</v>
      </c>
      <c r="T828">
        <f>ROUND(Table2[[#This Row],[TotalAmount]],0)</f>
        <v>27061</v>
      </c>
      <c r="U828" t="s">
        <v>1360</v>
      </c>
      <c r="V828" t="s">
        <v>1361</v>
      </c>
      <c r="W828" s="4">
        <v>45593</v>
      </c>
      <c r="X828" s="4">
        <v>45596</v>
      </c>
      <c r="Y828" t="b">
        <v>0</v>
      </c>
      <c r="Z828" t="s">
        <v>1412</v>
      </c>
      <c r="AA828" t="s">
        <v>1412</v>
      </c>
      <c r="AB828" t="s">
        <v>1412</v>
      </c>
      <c r="AC828" t="s">
        <v>1388</v>
      </c>
      <c r="AD828" t="s">
        <v>1400</v>
      </c>
      <c r="AE828" t="s">
        <v>1391</v>
      </c>
    </row>
    <row r="829" spans="1:31" x14ac:dyDescent="0.3">
      <c r="A829" t="s">
        <v>1008</v>
      </c>
      <c r="B829" s="4">
        <v>45451.480555555558</v>
      </c>
      <c r="C829" t="s">
        <v>86</v>
      </c>
      <c r="D829" t="s">
        <v>1182</v>
      </c>
      <c r="E829" t="s">
        <v>1207</v>
      </c>
      <c r="F829" t="str" cm="1">
        <f t="array" ref="F829">_xlfn.IFS(
E829="Ahmedabad","Gujarat",
E829="Bengaluru","Karnataka",
E829="Bhopal","Madhya Pradesh",
E829="Bhubaneswar","Odisha",
E829="Chandigarh","Chandigarh",
E829="Chennai","Tamil Nadu",
E829="Delhi","Delhi",
E829="Guwahati","Assam",
E829="Hyderabad","Telangana",
E829="Indore","Madhya Pradesh",
E829="Jaipur","Rajasthan",
E829="Kochi","Kerala",
E829="Kolkata","West Bengal",
E829="Lucknow","Uttar Pradesh",
E829="Mumbai","Maharashtra",
E829="Nagpur","Maharashtra",
E829="Patna","Bihar",
E829="Pune","Maharashtra",
E829="Raipur","Chhattisgarh",
E829="Surat","Gujarat",
TRUE,"Not Found"
)</f>
        <v>Tamil Nadu</v>
      </c>
      <c r="G829" t="s">
        <v>1150</v>
      </c>
      <c r="H829" t="s">
        <v>1144</v>
      </c>
      <c r="I829" t="s">
        <v>1159</v>
      </c>
      <c r="J829" t="s">
        <v>1160</v>
      </c>
      <c r="K829" t="s">
        <v>1161</v>
      </c>
      <c r="L829">
        <v>1</v>
      </c>
      <c r="M829">
        <v>4034</v>
      </c>
      <c r="N829">
        <v>0.1</v>
      </c>
      <c r="O829">
        <v>3630.6</v>
      </c>
      <c r="P829">
        <v>0.12</v>
      </c>
      <c r="Q829">
        <v>3630.6</v>
      </c>
      <c r="R829">
        <v>435.67200000000003</v>
      </c>
      <c r="S829">
        <v>4066.2719999999999</v>
      </c>
      <c r="T829">
        <f>ROUND(Table2[[#This Row],[TotalAmount]],0)</f>
        <v>4066</v>
      </c>
      <c r="U829" t="s">
        <v>1365</v>
      </c>
      <c r="V829" t="s">
        <v>1361</v>
      </c>
      <c r="W829" s="4">
        <v>45451</v>
      </c>
      <c r="X829" s="4">
        <v>45453</v>
      </c>
      <c r="Y829" t="b">
        <v>0</v>
      </c>
      <c r="Z829" t="s">
        <v>1412</v>
      </c>
      <c r="AA829" t="s">
        <v>1412</v>
      </c>
      <c r="AB829" t="s">
        <v>1412</v>
      </c>
      <c r="AC829" t="s">
        <v>1390</v>
      </c>
      <c r="AD829" t="s">
        <v>1377</v>
      </c>
      <c r="AE829" t="s">
        <v>1391</v>
      </c>
    </row>
    <row r="830" spans="1:31" x14ac:dyDescent="0.3">
      <c r="A830" t="s">
        <v>1009</v>
      </c>
      <c r="B830" s="4">
        <v>45671.592361111107</v>
      </c>
      <c r="C830" t="s">
        <v>128</v>
      </c>
      <c r="D830" t="s">
        <v>1182</v>
      </c>
      <c r="E830" t="s">
        <v>1183</v>
      </c>
      <c r="F830" t="str" cm="1">
        <f t="array" ref="F830">_xlfn.IFS(
E830="Ahmedabad","Gujarat",
E830="Bengaluru","Karnataka",
E830="Bhopal","Madhya Pradesh",
E830="Bhubaneswar","Odisha",
E830="Chandigarh","Chandigarh",
E830="Chennai","Tamil Nadu",
E830="Delhi","Delhi",
E830="Guwahati","Assam",
E830="Hyderabad","Telangana",
E830="Indore","Madhya Pradesh",
E830="Jaipur","Rajasthan",
E830="Kochi","Kerala",
E830="Kolkata","West Bengal",
E830="Lucknow","Uttar Pradesh",
E830="Mumbai","Maharashtra",
E830="Nagpur","Maharashtra",
E830="Patna","Bihar",
E830="Pune","Maharashtra",
E830="Raipur","Chhattisgarh",
E830="Surat","Gujarat",
TRUE,"Not Found"
)</f>
        <v>Telangana</v>
      </c>
      <c r="G830" t="s">
        <v>1143</v>
      </c>
      <c r="H830" t="s">
        <v>1167</v>
      </c>
      <c r="I830" t="s">
        <v>1208</v>
      </c>
      <c r="J830" t="s">
        <v>1209</v>
      </c>
      <c r="K830" t="s">
        <v>1210</v>
      </c>
      <c r="L830">
        <v>1</v>
      </c>
      <c r="M830">
        <v>49681</v>
      </c>
      <c r="N830">
        <v>0.05</v>
      </c>
      <c r="O830">
        <v>47196.95</v>
      </c>
      <c r="P830">
        <v>0.12</v>
      </c>
      <c r="Q830">
        <v>47196.95</v>
      </c>
      <c r="R830">
        <v>5663.6339999999991</v>
      </c>
      <c r="S830">
        <v>52860.584000000003</v>
      </c>
      <c r="T830">
        <f>ROUND(Table2[[#This Row],[TotalAmount]],0)</f>
        <v>52861</v>
      </c>
      <c r="U830" t="s">
        <v>1362</v>
      </c>
      <c r="V830" t="s">
        <v>1364</v>
      </c>
      <c r="W830" s="4">
        <v>45672</v>
      </c>
      <c r="X830" s="4" t="s">
        <v>1412</v>
      </c>
      <c r="Y830" t="b">
        <v>1</v>
      </c>
      <c r="Z830" s="1">
        <v>45685</v>
      </c>
      <c r="AA830" s="1">
        <v>45685</v>
      </c>
      <c r="AB830" t="s">
        <v>1401</v>
      </c>
      <c r="AC830" t="s">
        <v>1390</v>
      </c>
      <c r="AD830" t="s">
        <v>1387</v>
      </c>
      <c r="AE830" t="s">
        <v>1378</v>
      </c>
    </row>
    <row r="831" spans="1:31" x14ac:dyDescent="0.3">
      <c r="A831" t="s">
        <v>1010</v>
      </c>
      <c r="B831" s="4">
        <v>45711.518055555563</v>
      </c>
      <c r="C831" t="s">
        <v>24</v>
      </c>
      <c r="D831" t="s">
        <v>1153</v>
      </c>
      <c r="E831" t="s">
        <v>1154</v>
      </c>
      <c r="F831" t="str" cm="1">
        <f t="array" ref="F831">_xlfn.IFS(
E831="Ahmedabad","Gujarat",
E831="Bengaluru","Karnataka",
E831="Bhopal","Madhya Pradesh",
E831="Bhubaneswar","Odisha",
E831="Chandigarh","Chandigarh",
E831="Chennai","Tamil Nadu",
E831="Delhi","Delhi",
E831="Guwahati","Assam",
E831="Hyderabad","Telangana",
E831="Indore","Madhya Pradesh",
E831="Jaipur","Rajasthan",
E831="Kochi","Kerala",
E831="Kolkata","West Bengal",
E831="Lucknow","Uttar Pradesh",
E831="Mumbai","Maharashtra",
E831="Nagpur","Maharashtra",
E831="Patna","Bihar",
E831="Pune","Maharashtra",
E831="Raipur","Chhattisgarh",
E831="Surat","Gujarat",
TRUE,"Not Found"
)</f>
        <v>Maharashtra</v>
      </c>
      <c r="G831" t="s">
        <v>1143</v>
      </c>
      <c r="H831" t="s">
        <v>1167</v>
      </c>
      <c r="I831" t="s">
        <v>1208</v>
      </c>
      <c r="J831" t="s">
        <v>1322</v>
      </c>
      <c r="K831" t="s">
        <v>1323</v>
      </c>
      <c r="L831">
        <v>1</v>
      </c>
      <c r="M831">
        <v>24331</v>
      </c>
      <c r="N831">
        <v>0.05</v>
      </c>
      <c r="O831">
        <v>23114.45</v>
      </c>
      <c r="P831">
        <v>0.12</v>
      </c>
      <c r="Q831">
        <v>23114.45</v>
      </c>
      <c r="R831">
        <v>2773.7339999999999</v>
      </c>
      <c r="S831">
        <v>25888.184000000001</v>
      </c>
      <c r="T831">
        <f>ROUND(Table2[[#This Row],[TotalAmount]],0)</f>
        <v>25888</v>
      </c>
      <c r="U831" t="s">
        <v>1360</v>
      </c>
      <c r="V831" t="s">
        <v>1361</v>
      </c>
      <c r="W831" s="4">
        <v>45713</v>
      </c>
      <c r="X831" s="4">
        <v>45714</v>
      </c>
      <c r="Y831" t="b">
        <v>0</v>
      </c>
      <c r="Z831" t="s">
        <v>1412</v>
      </c>
      <c r="AA831" t="s">
        <v>1412</v>
      </c>
      <c r="AB831" t="s">
        <v>1412</v>
      </c>
      <c r="AC831" t="s">
        <v>1396</v>
      </c>
      <c r="AD831" t="s">
        <v>1394</v>
      </c>
      <c r="AE831" t="s">
        <v>1395</v>
      </c>
    </row>
    <row r="832" spans="1:31" x14ac:dyDescent="0.3">
      <c r="A832" t="s">
        <v>1011</v>
      </c>
      <c r="B832" s="4">
        <v>45442.634027777778</v>
      </c>
      <c r="C832" t="s">
        <v>206</v>
      </c>
      <c r="D832" t="s">
        <v>1153</v>
      </c>
      <c r="E832" t="s">
        <v>1191</v>
      </c>
      <c r="F832" t="str" cm="1">
        <f t="array" ref="F832">_xlfn.IFS(
E832="Ahmedabad","Gujarat",
E832="Bengaluru","Karnataka",
E832="Bhopal","Madhya Pradesh",
E832="Bhubaneswar","Odisha",
E832="Chandigarh","Chandigarh",
E832="Chennai","Tamil Nadu",
E832="Delhi","Delhi",
E832="Guwahati","Assam",
E832="Hyderabad","Telangana",
E832="Indore","Madhya Pradesh",
E832="Jaipur","Rajasthan",
E832="Kochi","Kerala",
E832="Kolkata","West Bengal",
E832="Lucknow","Uttar Pradesh",
E832="Mumbai","Maharashtra",
E832="Nagpur","Maharashtra",
E832="Patna","Bihar",
E832="Pune","Maharashtra",
E832="Raipur","Chhattisgarh",
E832="Surat","Gujarat",
TRUE,"Not Found"
)</f>
        <v>Madhya Pradesh</v>
      </c>
      <c r="G832" t="s">
        <v>1143</v>
      </c>
      <c r="H832" t="s">
        <v>1172</v>
      </c>
      <c r="I832" t="s">
        <v>1204</v>
      </c>
      <c r="J832" t="s">
        <v>1297</v>
      </c>
      <c r="K832" t="s">
        <v>1298</v>
      </c>
      <c r="L832">
        <v>3</v>
      </c>
      <c r="M832">
        <v>5803</v>
      </c>
      <c r="N832">
        <v>0</v>
      </c>
      <c r="O832">
        <v>5803</v>
      </c>
      <c r="P832">
        <v>0.12</v>
      </c>
      <c r="Q832">
        <v>17409</v>
      </c>
      <c r="R832">
        <v>2089.08</v>
      </c>
      <c r="S832">
        <v>19498.080000000002</v>
      </c>
      <c r="T832">
        <f>ROUND(Table2[[#This Row],[TotalAmount]],0)</f>
        <v>19498</v>
      </c>
      <c r="U832" t="s">
        <v>1363</v>
      </c>
      <c r="V832" t="s">
        <v>1361</v>
      </c>
      <c r="W832" s="4">
        <v>45444</v>
      </c>
      <c r="X832" s="4">
        <v>45449</v>
      </c>
      <c r="Y832" t="b">
        <v>0</v>
      </c>
      <c r="Z832" t="s">
        <v>1412</v>
      </c>
      <c r="AA832" t="s">
        <v>1412</v>
      </c>
      <c r="AB832" t="s">
        <v>1412</v>
      </c>
      <c r="AC832" t="s">
        <v>1396</v>
      </c>
      <c r="AD832" t="s">
        <v>1394</v>
      </c>
      <c r="AE832" t="s">
        <v>1389</v>
      </c>
    </row>
    <row r="833" spans="1:31" x14ac:dyDescent="0.3">
      <c r="A833" t="s">
        <v>1012</v>
      </c>
      <c r="B833" s="4">
        <v>45593.696527777778</v>
      </c>
      <c r="C833" t="s">
        <v>4</v>
      </c>
      <c r="D833" t="s">
        <v>1141</v>
      </c>
      <c r="E833" t="s">
        <v>1142</v>
      </c>
      <c r="F833" t="str" cm="1">
        <f t="array" ref="F833">_xlfn.IFS(
E833="Ahmedabad","Gujarat",
E833="Bengaluru","Karnataka",
E833="Bhopal","Madhya Pradesh",
E833="Bhubaneswar","Odisha",
E833="Chandigarh","Chandigarh",
E833="Chennai","Tamil Nadu",
E833="Delhi","Delhi",
E833="Guwahati","Assam",
E833="Hyderabad","Telangana",
E833="Indore","Madhya Pradesh",
E833="Jaipur","Rajasthan",
E833="Kochi","Kerala",
E833="Kolkata","West Bengal",
E833="Lucknow","Uttar Pradesh",
E833="Mumbai","Maharashtra",
E833="Nagpur","Maharashtra",
E833="Patna","Bihar",
E833="Pune","Maharashtra",
E833="Raipur","Chhattisgarh",
E833="Surat","Gujarat",
TRUE,"Not Found"
)</f>
        <v>West Bengal</v>
      </c>
      <c r="G833" t="s">
        <v>1150</v>
      </c>
      <c r="H833" t="s">
        <v>1172</v>
      </c>
      <c r="I833" t="s">
        <v>1229</v>
      </c>
      <c r="J833" t="s">
        <v>1295</v>
      </c>
      <c r="K833" t="s">
        <v>1296</v>
      </c>
      <c r="L833">
        <v>1</v>
      </c>
      <c r="M833">
        <v>5380</v>
      </c>
      <c r="N833">
        <v>0.15</v>
      </c>
      <c r="O833">
        <v>4573</v>
      </c>
      <c r="P833">
        <v>0.12</v>
      </c>
      <c r="Q833">
        <v>4573</v>
      </c>
      <c r="R833">
        <v>548.76</v>
      </c>
      <c r="S833">
        <v>5121.76</v>
      </c>
      <c r="T833">
        <f>ROUND(Table2[[#This Row],[TotalAmount]],0)</f>
        <v>5122</v>
      </c>
      <c r="U833" t="s">
        <v>1363</v>
      </c>
      <c r="V833" t="s">
        <v>1361</v>
      </c>
      <c r="W833" s="4">
        <v>45593</v>
      </c>
      <c r="X833" s="4">
        <v>45594</v>
      </c>
      <c r="Y833" t="b">
        <v>0</v>
      </c>
      <c r="Z833" t="s">
        <v>1412</v>
      </c>
      <c r="AA833" t="s">
        <v>1412</v>
      </c>
      <c r="AB833" t="s">
        <v>1412</v>
      </c>
      <c r="AC833" t="s">
        <v>1388</v>
      </c>
      <c r="AD833" t="s">
        <v>1397</v>
      </c>
      <c r="AE833" t="s">
        <v>1389</v>
      </c>
    </row>
    <row r="834" spans="1:31" x14ac:dyDescent="0.3">
      <c r="A834" t="s">
        <v>1013</v>
      </c>
      <c r="B834" s="4">
        <v>45363.47152777778</v>
      </c>
      <c r="C834" t="s">
        <v>75</v>
      </c>
      <c r="D834" t="s">
        <v>1182</v>
      </c>
      <c r="E834" t="s">
        <v>1183</v>
      </c>
      <c r="F834" t="str" cm="1">
        <f t="array" ref="F834">_xlfn.IFS(
E834="Ahmedabad","Gujarat",
E834="Bengaluru","Karnataka",
E834="Bhopal","Madhya Pradesh",
E834="Bhubaneswar","Odisha",
E834="Chandigarh","Chandigarh",
E834="Chennai","Tamil Nadu",
E834="Delhi","Delhi",
E834="Guwahati","Assam",
E834="Hyderabad","Telangana",
E834="Indore","Madhya Pradesh",
E834="Jaipur","Rajasthan",
E834="Kochi","Kerala",
E834="Kolkata","West Bengal",
E834="Lucknow","Uttar Pradesh",
E834="Mumbai","Maharashtra",
E834="Nagpur","Maharashtra",
E834="Patna","Bihar",
E834="Pune","Maharashtra",
E834="Raipur","Chhattisgarh",
E834="Surat","Gujarat",
TRUE,"Not Found"
)</f>
        <v>Telangana</v>
      </c>
      <c r="G834" t="s">
        <v>1187</v>
      </c>
      <c r="H834" t="s">
        <v>1163</v>
      </c>
      <c r="I834" t="s">
        <v>1266</v>
      </c>
      <c r="J834" t="s">
        <v>1348</v>
      </c>
      <c r="K834" t="s">
        <v>1349</v>
      </c>
      <c r="L834">
        <v>2</v>
      </c>
      <c r="M834">
        <v>1095</v>
      </c>
      <c r="N834">
        <v>0</v>
      </c>
      <c r="O834">
        <v>1095</v>
      </c>
      <c r="P834">
        <v>0.05</v>
      </c>
      <c r="Q834">
        <v>2190</v>
      </c>
      <c r="R834">
        <v>109.5</v>
      </c>
      <c r="S834">
        <v>2299.5</v>
      </c>
      <c r="T834">
        <f>ROUND(Table2[[#This Row],[TotalAmount]],0)</f>
        <v>2300</v>
      </c>
      <c r="U834" t="s">
        <v>1360</v>
      </c>
      <c r="V834" t="s">
        <v>1361</v>
      </c>
      <c r="W834" s="4">
        <v>45363</v>
      </c>
      <c r="X834" s="4">
        <v>45365</v>
      </c>
      <c r="Y834" t="b">
        <v>0</v>
      </c>
      <c r="Z834" t="s">
        <v>1412</v>
      </c>
      <c r="AA834" t="s">
        <v>1412</v>
      </c>
      <c r="AB834" t="s">
        <v>1412</v>
      </c>
      <c r="AC834" t="s">
        <v>1376</v>
      </c>
      <c r="AD834" t="s">
        <v>1397</v>
      </c>
      <c r="AE834" t="s">
        <v>1395</v>
      </c>
    </row>
    <row r="835" spans="1:31" x14ac:dyDescent="0.3">
      <c r="A835" t="s">
        <v>1014</v>
      </c>
      <c r="B835" s="4">
        <v>45419.490972222222</v>
      </c>
      <c r="C835" t="s">
        <v>524</v>
      </c>
      <c r="D835" t="s">
        <v>1148</v>
      </c>
      <c r="E835" t="s">
        <v>1149</v>
      </c>
      <c r="F835" t="str" cm="1">
        <f t="array" ref="F835">_xlfn.IFS(
E835="Ahmedabad","Gujarat",
E835="Bengaluru","Karnataka",
E835="Bhopal","Madhya Pradesh",
E835="Bhubaneswar","Odisha",
E835="Chandigarh","Chandigarh",
E835="Chennai","Tamil Nadu",
E835="Delhi","Delhi",
E835="Guwahati","Assam",
E835="Hyderabad","Telangana",
E835="Indore","Madhya Pradesh",
E835="Jaipur","Rajasthan",
E835="Kochi","Kerala",
E835="Kolkata","West Bengal",
E835="Lucknow","Uttar Pradesh",
E835="Mumbai","Maharashtra",
E835="Nagpur","Maharashtra",
E835="Patna","Bihar",
E835="Pune","Maharashtra",
E835="Raipur","Chhattisgarh",
E835="Surat","Gujarat",
TRUE,"Not Found"
)</f>
        <v>Uttar Pradesh</v>
      </c>
      <c r="G835" t="s">
        <v>1150</v>
      </c>
      <c r="H835" t="s">
        <v>1167</v>
      </c>
      <c r="I835" t="s">
        <v>1211</v>
      </c>
      <c r="J835" t="s">
        <v>1299</v>
      </c>
      <c r="K835" t="s">
        <v>1300</v>
      </c>
      <c r="L835">
        <v>1</v>
      </c>
      <c r="M835">
        <v>44091</v>
      </c>
      <c r="N835">
        <v>0</v>
      </c>
      <c r="O835">
        <v>44091</v>
      </c>
      <c r="P835">
        <v>0.12</v>
      </c>
      <c r="Q835">
        <v>44091</v>
      </c>
      <c r="R835">
        <v>5290.92</v>
      </c>
      <c r="S835">
        <v>49381.919999999998</v>
      </c>
      <c r="T835">
        <f>ROUND(Table2[[#This Row],[TotalAmount]],0)</f>
        <v>49382</v>
      </c>
      <c r="U835" t="s">
        <v>1365</v>
      </c>
      <c r="V835" t="s">
        <v>1361</v>
      </c>
      <c r="W835" s="4">
        <v>45419</v>
      </c>
      <c r="X835" s="4">
        <v>45423</v>
      </c>
      <c r="Y835" t="b">
        <v>0</v>
      </c>
      <c r="Z835" t="s">
        <v>1412</v>
      </c>
      <c r="AA835" t="s">
        <v>1412</v>
      </c>
      <c r="AB835" t="s">
        <v>1412</v>
      </c>
      <c r="AC835" t="s">
        <v>1398</v>
      </c>
      <c r="AD835" t="s">
        <v>1387</v>
      </c>
      <c r="AE835" t="s">
        <v>1391</v>
      </c>
    </row>
    <row r="836" spans="1:31" x14ac:dyDescent="0.3">
      <c r="A836" t="s">
        <v>1015</v>
      </c>
      <c r="B836" s="4">
        <v>45743.367361111108</v>
      </c>
      <c r="C836" t="s">
        <v>457</v>
      </c>
      <c r="D836" t="s">
        <v>1157</v>
      </c>
      <c r="E836" t="s">
        <v>1158</v>
      </c>
      <c r="F836" t="str" cm="1">
        <f t="array" ref="F836">_xlfn.IFS(
E836="Ahmedabad","Gujarat",
E836="Bengaluru","Karnataka",
E836="Bhopal","Madhya Pradesh",
E836="Bhubaneswar","Odisha",
E836="Chandigarh","Chandigarh",
E836="Chennai","Tamil Nadu",
E836="Delhi","Delhi",
E836="Guwahati","Assam",
E836="Hyderabad","Telangana",
E836="Indore","Madhya Pradesh",
E836="Jaipur","Rajasthan",
E836="Kochi","Kerala",
E836="Kolkata","West Bengal",
E836="Lucknow","Uttar Pradesh",
E836="Mumbai","Maharashtra",
E836="Nagpur","Maharashtra",
E836="Patna","Bihar",
E836="Pune","Maharashtra",
E836="Raipur","Chhattisgarh",
E836="Surat","Gujarat",
TRUE,"Not Found"
)</f>
        <v>Gujarat</v>
      </c>
      <c r="G836" t="s">
        <v>1143</v>
      </c>
      <c r="H836" t="s">
        <v>1163</v>
      </c>
      <c r="I836" t="s">
        <v>1184</v>
      </c>
      <c r="J836" t="s">
        <v>1185</v>
      </c>
      <c r="K836" t="s">
        <v>1186</v>
      </c>
      <c r="L836">
        <v>2</v>
      </c>
      <c r="M836">
        <v>220</v>
      </c>
      <c r="N836">
        <v>0</v>
      </c>
      <c r="O836">
        <v>220</v>
      </c>
      <c r="P836">
        <v>0.18</v>
      </c>
      <c r="Q836">
        <v>440</v>
      </c>
      <c r="R836">
        <v>79.2</v>
      </c>
      <c r="S836">
        <v>519.20000000000005</v>
      </c>
      <c r="T836">
        <f>ROUND(Table2[[#This Row],[TotalAmount]],0)</f>
        <v>519</v>
      </c>
      <c r="U836" t="s">
        <v>1360</v>
      </c>
      <c r="V836" t="s">
        <v>1361</v>
      </c>
      <c r="W836" s="4">
        <v>45743</v>
      </c>
      <c r="X836" s="4">
        <v>45747</v>
      </c>
      <c r="Y836" t="b">
        <v>0</v>
      </c>
      <c r="Z836" t="s">
        <v>1412</v>
      </c>
      <c r="AA836" t="s">
        <v>1412</v>
      </c>
      <c r="AB836" t="s">
        <v>1412</v>
      </c>
      <c r="AC836" t="s">
        <v>1379</v>
      </c>
      <c r="AD836" t="s">
        <v>1387</v>
      </c>
      <c r="AE836" t="s">
        <v>1380</v>
      </c>
    </row>
    <row r="837" spans="1:31" x14ac:dyDescent="0.3">
      <c r="A837" t="s">
        <v>1016</v>
      </c>
      <c r="B837" s="4">
        <v>45685.634027777778</v>
      </c>
      <c r="C837" t="s">
        <v>330</v>
      </c>
      <c r="D837" t="s">
        <v>1153</v>
      </c>
      <c r="E837" t="s">
        <v>1162</v>
      </c>
      <c r="F837" t="str" cm="1">
        <f t="array" ref="F837">_xlfn.IFS(
E837="Ahmedabad","Gujarat",
E837="Bengaluru","Karnataka",
E837="Bhopal","Madhya Pradesh",
E837="Bhubaneswar","Odisha",
E837="Chandigarh","Chandigarh",
E837="Chennai","Tamil Nadu",
E837="Delhi","Delhi",
E837="Guwahati","Assam",
E837="Hyderabad","Telangana",
E837="Indore","Madhya Pradesh",
E837="Jaipur","Rajasthan",
E837="Kochi","Kerala",
E837="Kolkata","West Bengal",
E837="Lucknow","Uttar Pradesh",
E837="Mumbai","Maharashtra",
E837="Nagpur","Maharashtra",
E837="Patna","Bihar",
E837="Pune","Maharashtra",
E837="Raipur","Chhattisgarh",
E837="Surat","Gujarat",
TRUE,"Not Found"
)</f>
        <v>Madhya Pradesh</v>
      </c>
      <c r="G837" t="s">
        <v>1143</v>
      </c>
      <c r="H837" t="s">
        <v>1177</v>
      </c>
      <c r="I837" t="s">
        <v>1236</v>
      </c>
      <c r="J837" t="s">
        <v>1338</v>
      </c>
      <c r="K837" t="s">
        <v>1339</v>
      </c>
      <c r="L837">
        <v>1</v>
      </c>
      <c r="M837">
        <v>2781</v>
      </c>
      <c r="N837">
        <v>0.05</v>
      </c>
      <c r="O837">
        <v>2641.95</v>
      </c>
      <c r="P837">
        <v>0.05</v>
      </c>
      <c r="Q837">
        <v>2641.95</v>
      </c>
      <c r="R837">
        <v>132.0975</v>
      </c>
      <c r="S837">
        <v>2774.0475000000001</v>
      </c>
      <c r="T837">
        <f>ROUND(Table2[[#This Row],[TotalAmount]],0)</f>
        <v>2774</v>
      </c>
      <c r="U837" t="s">
        <v>1360</v>
      </c>
      <c r="V837" t="s">
        <v>1361</v>
      </c>
      <c r="W837" s="4">
        <v>45685</v>
      </c>
      <c r="X837" s="4">
        <v>45687</v>
      </c>
      <c r="Y837" t="b">
        <v>0</v>
      </c>
      <c r="Z837" t="s">
        <v>1412</v>
      </c>
      <c r="AA837" t="s">
        <v>1412</v>
      </c>
      <c r="AB837" t="s">
        <v>1412</v>
      </c>
      <c r="AC837" t="s">
        <v>1396</v>
      </c>
      <c r="AD837" t="s">
        <v>1399</v>
      </c>
      <c r="AE837" t="s">
        <v>1391</v>
      </c>
    </row>
    <row r="838" spans="1:31" x14ac:dyDescent="0.3">
      <c r="A838" t="s">
        <v>1017</v>
      </c>
      <c r="B838" s="4">
        <v>45362.625</v>
      </c>
      <c r="C838" t="s">
        <v>269</v>
      </c>
      <c r="D838" t="s">
        <v>1141</v>
      </c>
      <c r="E838" t="s">
        <v>1239</v>
      </c>
      <c r="F838" t="str" cm="1">
        <f t="array" ref="F838">_xlfn.IFS(
E838="Ahmedabad","Gujarat",
E838="Bengaluru","Karnataka",
E838="Bhopal","Madhya Pradesh",
E838="Bhubaneswar","Odisha",
E838="Chandigarh","Chandigarh",
E838="Chennai","Tamil Nadu",
E838="Delhi","Delhi",
E838="Guwahati","Assam",
E838="Hyderabad","Telangana",
E838="Indore","Madhya Pradesh",
E838="Jaipur","Rajasthan",
E838="Kochi","Kerala",
E838="Kolkata","West Bengal",
E838="Lucknow","Uttar Pradesh",
E838="Mumbai","Maharashtra",
E838="Nagpur","Maharashtra",
E838="Patna","Bihar",
E838="Pune","Maharashtra",
E838="Raipur","Chhattisgarh",
E838="Surat","Gujarat",
TRUE,"Not Found"
)</f>
        <v>Odisha</v>
      </c>
      <c r="G838" t="s">
        <v>1143</v>
      </c>
      <c r="H838" t="s">
        <v>1144</v>
      </c>
      <c r="I838" t="s">
        <v>1276</v>
      </c>
      <c r="J838" t="s">
        <v>1286</v>
      </c>
      <c r="K838" t="s">
        <v>1287</v>
      </c>
      <c r="L838">
        <v>1</v>
      </c>
      <c r="M838">
        <v>3047</v>
      </c>
      <c r="N838">
        <v>0.05</v>
      </c>
      <c r="O838">
        <v>2894.65</v>
      </c>
      <c r="P838">
        <v>0.12</v>
      </c>
      <c r="Q838">
        <v>2894.65</v>
      </c>
      <c r="R838">
        <v>347.358</v>
      </c>
      <c r="S838">
        <v>3242.0079999999998</v>
      </c>
      <c r="T838">
        <f>ROUND(Table2[[#This Row],[TotalAmount]],0)</f>
        <v>3242</v>
      </c>
      <c r="U838" t="s">
        <v>1363</v>
      </c>
      <c r="V838" t="s">
        <v>1361</v>
      </c>
      <c r="W838" s="4">
        <v>45363</v>
      </c>
      <c r="X838" s="4">
        <v>45368</v>
      </c>
      <c r="Y838" t="b">
        <v>0</v>
      </c>
      <c r="Z838" t="s">
        <v>1412</v>
      </c>
      <c r="AA838" t="s">
        <v>1412</v>
      </c>
      <c r="AB838" t="s">
        <v>1412</v>
      </c>
      <c r="AC838" t="s">
        <v>1384</v>
      </c>
      <c r="AD838" t="s">
        <v>1394</v>
      </c>
      <c r="AE838" t="s">
        <v>1380</v>
      </c>
    </row>
    <row r="839" spans="1:31" x14ac:dyDescent="0.3">
      <c r="A839" t="s">
        <v>1018</v>
      </c>
      <c r="B839" s="4">
        <v>45494.544444444437</v>
      </c>
      <c r="C839" t="s">
        <v>346</v>
      </c>
      <c r="D839" t="s">
        <v>1153</v>
      </c>
      <c r="E839" t="s">
        <v>1162</v>
      </c>
      <c r="F839" t="str" cm="1">
        <f t="array" ref="F839">_xlfn.IFS(
E839="Ahmedabad","Gujarat",
E839="Bengaluru","Karnataka",
E839="Bhopal","Madhya Pradesh",
E839="Bhubaneswar","Odisha",
E839="Chandigarh","Chandigarh",
E839="Chennai","Tamil Nadu",
E839="Delhi","Delhi",
E839="Guwahati","Assam",
E839="Hyderabad","Telangana",
E839="Indore","Madhya Pradesh",
E839="Jaipur","Rajasthan",
E839="Kochi","Kerala",
E839="Kolkata","West Bengal",
E839="Lucknow","Uttar Pradesh",
E839="Mumbai","Maharashtra",
E839="Nagpur","Maharashtra",
E839="Patna","Bihar",
E839="Pune","Maharashtra",
E839="Raipur","Chhattisgarh",
E839="Surat","Gujarat",
TRUE,"Not Found"
)</f>
        <v>Madhya Pradesh</v>
      </c>
      <c r="G839" t="s">
        <v>1187</v>
      </c>
      <c r="H839" t="s">
        <v>1177</v>
      </c>
      <c r="I839" t="s">
        <v>1309</v>
      </c>
      <c r="J839" t="s">
        <v>1310</v>
      </c>
      <c r="K839" t="s">
        <v>1311</v>
      </c>
      <c r="L839">
        <v>1</v>
      </c>
      <c r="M839">
        <v>1135</v>
      </c>
      <c r="N839">
        <v>0.1</v>
      </c>
      <c r="O839">
        <v>1021.5</v>
      </c>
      <c r="P839">
        <v>0.12</v>
      </c>
      <c r="Q839">
        <v>1021.5</v>
      </c>
      <c r="R839">
        <v>122.58</v>
      </c>
      <c r="S839">
        <v>1144.08</v>
      </c>
      <c r="T839">
        <f>ROUND(Table2[[#This Row],[TotalAmount]],0)</f>
        <v>1144</v>
      </c>
      <c r="U839" t="s">
        <v>1360</v>
      </c>
      <c r="V839" t="s">
        <v>1361</v>
      </c>
      <c r="W839" s="4">
        <v>45496</v>
      </c>
      <c r="X839" s="4">
        <v>45500</v>
      </c>
      <c r="Y839" t="b">
        <v>0</v>
      </c>
      <c r="Z839" t="s">
        <v>1412</v>
      </c>
      <c r="AA839" t="s">
        <v>1412</v>
      </c>
      <c r="AB839" t="s">
        <v>1412</v>
      </c>
      <c r="AC839" t="s">
        <v>1384</v>
      </c>
      <c r="AD839" t="s">
        <v>1397</v>
      </c>
      <c r="AE839" t="s">
        <v>1378</v>
      </c>
    </row>
    <row r="840" spans="1:31" x14ac:dyDescent="0.3">
      <c r="A840" t="s">
        <v>1019</v>
      </c>
      <c r="B840" s="4">
        <v>45362.488888888889</v>
      </c>
      <c r="C840" t="s">
        <v>283</v>
      </c>
      <c r="D840" t="s">
        <v>1148</v>
      </c>
      <c r="E840" t="s">
        <v>1262</v>
      </c>
      <c r="F840" t="str" cm="1">
        <f t="array" ref="F840">_xlfn.IFS(
E840="Ahmedabad","Gujarat",
E840="Bengaluru","Karnataka",
E840="Bhopal","Madhya Pradesh",
E840="Bhubaneswar","Odisha",
E840="Chandigarh","Chandigarh",
E840="Chennai","Tamil Nadu",
E840="Delhi","Delhi",
E840="Guwahati","Assam",
E840="Hyderabad","Telangana",
E840="Indore","Madhya Pradesh",
E840="Jaipur","Rajasthan",
E840="Kochi","Kerala",
E840="Kolkata","West Bengal",
E840="Lucknow","Uttar Pradesh",
E840="Mumbai","Maharashtra",
E840="Nagpur","Maharashtra",
E840="Patna","Bihar",
E840="Pune","Maharashtra",
E840="Raipur","Chhattisgarh",
E840="Surat","Gujarat",
TRUE,"Not Found"
)</f>
        <v>Rajasthan</v>
      </c>
      <c r="G840" t="s">
        <v>1143</v>
      </c>
      <c r="H840" t="s">
        <v>1167</v>
      </c>
      <c r="I840" t="s">
        <v>1211</v>
      </c>
      <c r="J840" t="s">
        <v>1299</v>
      </c>
      <c r="K840" t="s">
        <v>1300</v>
      </c>
      <c r="L840">
        <v>2</v>
      </c>
      <c r="M840">
        <v>27795</v>
      </c>
      <c r="N840">
        <v>0.1</v>
      </c>
      <c r="O840">
        <v>25015.5</v>
      </c>
      <c r="P840">
        <v>0.18</v>
      </c>
      <c r="Q840">
        <v>50031</v>
      </c>
      <c r="R840">
        <v>9005.58</v>
      </c>
      <c r="S840">
        <v>59036.58</v>
      </c>
      <c r="T840">
        <f>ROUND(Table2[[#This Row],[TotalAmount]],0)</f>
        <v>59037</v>
      </c>
      <c r="U840" t="s">
        <v>1360</v>
      </c>
      <c r="V840" t="s">
        <v>1361</v>
      </c>
      <c r="W840" s="4">
        <v>45364</v>
      </c>
      <c r="X840" s="4">
        <v>45368</v>
      </c>
      <c r="Y840" t="b">
        <v>0</v>
      </c>
      <c r="Z840" t="s">
        <v>1412</v>
      </c>
      <c r="AA840" t="s">
        <v>1412</v>
      </c>
      <c r="AB840" t="s">
        <v>1412</v>
      </c>
      <c r="AC840" t="s">
        <v>1392</v>
      </c>
      <c r="AD840" t="s">
        <v>1397</v>
      </c>
      <c r="AE840" t="s">
        <v>1380</v>
      </c>
    </row>
    <row r="841" spans="1:31" x14ac:dyDescent="0.3">
      <c r="A841" t="s">
        <v>1020</v>
      </c>
      <c r="B841" s="4">
        <v>45745.443749999999</v>
      </c>
      <c r="C841" t="s">
        <v>160</v>
      </c>
      <c r="D841" t="s">
        <v>1157</v>
      </c>
      <c r="E841" t="s">
        <v>1201</v>
      </c>
      <c r="F841" t="str" cm="1">
        <f t="array" ref="F841">_xlfn.IFS(
E841="Ahmedabad","Gujarat",
E841="Bengaluru","Karnataka",
E841="Bhopal","Madhya Pradesh",
E841="Bhubaneswar","Odisha",
E841="Chandigarh","Chandigarh",
E841="Chennai","Tamil Nadu",
E841="Delhi","Delhi",
E841="Guwahati","Assam",
E841="Hyderabad","Telangana",
E841="Indore","Madhya Pradesh",
E841="Jaipur","Rajasthan",
E841="Kochi","Kerala",
E841="Kolkata","West Bengal",
E841="Lucknow","Uttar Pradesh",
E841="Mumbai","Maharashtra",
E841="Nagpur","Maharashtra",
E841="Patna","Bihar",
E841="Pune","Maharashtra",
E841="Raipur","Chhattisgarh",
E841="Surat","Gujarat",
TRUE,"Not Found"
)</f>
        <v>Maharashtra</v>
      </c>
      <c r="G841" t="s">
        <v>1150</v>
      </c>
      <c r="H841" t="s">
        <v>1172</v>
      </c>
      <c r="I841" t="s">
        <v>1173</v>
      </c>
      <c r="J841" t="s">
        <v>1342</v>
      </c>
      <c r="K841" t="s">
        <v>1343</v>
      </c>
      <c r="L841">
        <v>2</v>
      </c>
      <c r="M841">
        <v>4820</v>
      </c>
      <c r="N841">
        <v>0.15</v>
      </c>
      <c r="O841">
        <v>4097</v>
      </c>
      <c r="P841">
        <v>0.05</v>
      </c>
      <c r="Q841">
        <v>8194</v>
      </c>
      <c r="R841">
        <v>409.7</v>
      </c>
      <c r="S841">
        <v>8603.7000000000007</v>
      </c>
      <c r="T841">
        <f>ROUND(Table2[[#This Row],[TotalAmount]],0)</f>
        <v>8604</v>
      </c>
      <c r="U841" t="s">
        <v>1360</v>
      </c>
      <c r="V841" t="s">
        <v>1364</v>
      </c>
      <c r="W841" s="4">
        <v>45745</v>
      </c>
      <c r="X841" s="4" t="s">
        <v>1412</v>
      </c>
      <c r="Y841" t="b">
        <v>1</v>
      </c>
      <c r="Z841" s="1">
        <v>45759</v>
      </c>
      <c r="AA841" s="1">
        <v>45759</v>
      </c>
      <c r="AB841" t="s">
        <v>1401</v>
      </c>
      <c r="AC841" t="s">
        <v>1388</v>
      </c>
      <c r="AD841" t="s">
        <v>1397</v>
      </c>
      <c r="AE841" t="s">
        <v>1380</v>
      </c>
    </row>
    <row r="842" spans="1:31" x14ac:dyDescent="0.3">
      <c r="A842" t="s">
        <v>1021</v>
      </c>
      <c r="B842" s="4">
        <v>45768.511111111111</v>
      </c>
      <c r="C842" t="s">
        <v>206</v>
      </c>
      <c r="D842" t="s">
        <v>1153</v>
      </c>
      <c r="E842" t="s">
        <v>1191</v>
      </c>
      <c r="F842" t="str" cm="1">
        <f t="array" ref="F842">_xlfn.IFS(
E842="Ahmedabad","Gujarat",
E842="Bengaluru","Karnataka",
E842="Bhopal","Madhya Pradesh",
E842="Bhubaneswar","Odisha",
E842="Chandigarh","Chandigarh",
E842="Chennai","Tamil Nadu",
E842="Delhi","Delhi",
E842="Guwahati","Assam",
E842="Hyderabad","Telangana",
E842="Indore","Madhya Pradesh",
E842="Jaipur","Rajasthan",
E842="Kochi","Kerala",
E842="Kolkata","West Bengal",
E842="Lucknow","Uttar Pradesh",
E842="Mumbai","Maharashtra",
E842="Nagpur","Maharashtra",
E842="Patna","Bihar",
E842="Pune","Maharashtra",
E842="Raipur","Chhattisgarh",
E842="Surat","Gujarat",
TRUE,"Not Found"
)</f>
        <v>Madhya Pradesh</v>
      </c>
      <c r="G842" t="s">
        <v>1150</v>
      </c>
      <c r="H842" t="s">
        <v>1163</v>
      </c>
      <c r="I842" t="s">
        <v>1240</v>
      </c>
      <c r="J842" t="s">
        <v>1241</v>
      </c>
      <c r="K842" t="s">
        <v>1242</v>
      </c>
      <c r="L842">
        <v>3</v>
      </c>
      <c r="M842">
        <v>988</v>
      </c>
      <c r="N842">
        <v>0</v>
      </c>
      <c r="O842">
        <v>988</v>
      </c>
      <c r="P842">
        <v>0.05</v>
      </c>
      <c r="Q842">
        <v>2964</v>
      </c>
      <c r="R842">
        <v>148.19999999999999</v>
      </c>
      <c r="S842">
        <v>3112.2</v>
      </c>
      <c r="T842">
        <f>ROUND(Table2[[#This Row],[TotalAmount]],0)</f>
        <v>3112</v>
      </c>
      <c r="U842" t="s">
        <v>1363</v>
      </c>
      <c r="V842" t="s">
        <v>1367</v>
      </c>
      <c r="W842" s="4">
        <v>45770</v>
      </c>
      <c r="X842" s="4" t="s">
        <v>1412</v>
      </c>
      <c r="Y842" t="b">
        <v>0</v>
      </c>
      <c r="Z842" t="s">
        <v>1412</v>
      </c>
      <c r="AA842" t="s">
        <v>1412</v>
      </c>
      <c r="AB842" t="s">
        <v>1412</v>
      </c>
      <c r="AC842" t="s">
        <v>1392</v>
      </c>
      <c r="AD842" t="s">
        <v>1385</v>
      </c>
      <c r="AE842" t="s">
        <v>1378</v>
      </c>
    </row>
    <row r="843" spans="1:31" x14ac:dyDescent="0.3">
      <c r="A843" t="s">
        <v>1022</v>
      </c>
      <c r="B843" s="4">
        <v>45668.525694444441</v>
      </c>
      <c r="C843" t="s">
        <v>394</v>
      </c>
      <c r="D843" t="s">
        <v>1148</v>
      </c>
      <c r="E843" t="s">
        <v>1262</v>
      </c>
      <c r="F843" t="str" cm="1">
        <f t="array" ref="F843">_xlfn.IFS(
E843="Ahmedabad","Gujarat",
E843="Bengaluru","Karnataka",
E843="Bhopal","Madhya Pradesh",
E843="Bhubaneswar","Odisha",
E843="Chandigarh","Chandigarh",
E843="Chennai","Tamil Nadu",
E843="Delhi","Delhi",
E843="Guwahati","Assam",
E843="Hyderabad","Telangana",
E843="Indore","Madhya Pradesh",
E843="Jaipur","Rajasthan",
E843="Kochi","Kerala",
E843="Kolkata","West Bengal",
E843="Lucknow","Uttar Pradesh",
E843="Mumbai","Maharashtra",
E843="Nagpur","Maharashtra",
E843="Patna","Bihar",
E843="Pune","Maharashtra",
E843="Raipur","Chhattisgarh",
E843="Surat","Gujarat",
TRUE,"Not Found"
)</f>
        <v>Rajasthan</v>
      </c>
      <c r="G843" t="s">
        <v>1143</v>
      </c>
      <c r="H843" t="s">
        <v>1163</v>
      </c>
      <c r="I843" t="s">
        <v>1240</v>
      </c>
      <c r="J843" t="s">
        <v>1281</v>
      </c>
      <c r="K843" t="s">
        <v>1282</v>
      </c>
      <c r="L843">
        <v>1</v>
      </c>
      <c r="M843">
        <v>259</v>
      </c>
      <c r="N843">
        <v>0.2</v>
      </c>
      <c r="O843">
        <v>207.2</v>
      </c>
      <c r="P843">
        <v>0.12</v>
      </c>
      <c r="Q843">
        <v>207.2</v>
      </c>
      <c r="R843">
        <v>24.864000000000001</v>
      </c>
      <c r="S843">
        <v>232.06399999999999</v>
      </c>
      <c r="T843">
        <f>ROUND(Table2[[#This Row],[TotalAmount]],0)</f>
        <v>232</v>
      </c>
      <c r="U843" t="s">
        <v>1366</v>
      </c>
      <c r="V843" t="s">
        <v>1361</v>
      </c>
      <c r="W843" s="4">
        <v>45668</v>
      </c>
      <c r="X843" s="4">
        <v>45670</v>
      </c>
      <c r="Y843" t="b">
        <v>0</v>
      </c>
      <c r="Z843" t="s">
        <v>1412</v>
      </c>
      <c r="AA843" t="s">
        <v>1412</v>
      </c>
      <c r="AB843" t="s">
        <v>1412</v>
      </c>
      <c r="AC843" t="s">
        <v>1392</v>
      </c>
      <c r="AD843" t="s">
        <v>1387</v>
      </c>
      <c r="AE843" t="s">
        <v>1389</v>
      </c>
    </row>
    <row r="844" spans="1:31" x14ac:dyDescent="0.3">
      <c r="A844" t="s">
        <v>1023</v>
      </c>
      <c r="B844" s="4">
        <v>45734.584722222222</v>
      </c>
      <c r="C844" t="s">
        <v>339</v>
      </c>
      <c r="D844" t="s">
        <v>1157</v>
      </c>
      <c r="E844" t="s">
        <v>1249</v>
      </c>
      <c r="F844" t="str" cm="1">
        <f t="array" ref="F844">_xlfn.IFS(
E844="Ahmedabad","Gujarat",
E844="Bengaluru","Karnataka",
E844="Bhopal","Madhya Pradesh",
E844="Bhubaneswar","Odisha",
E844="Chandigarh","Chandigarh",
E844="Chennai","Tamil Nadu",
E844="Delhi","Delhi",
E844="Guwahati","Assam",
E844="Hyderabad","Telangana",
E844="Indore","Madhya Pradesh",
E844="Jaipur","Rajasthan",
E844="Kochi","Kerala",
E844="Kolkata","West Bengal",
E844="Lucknow","Uttar Pradesh",
E844="Mumbai","Maharashtra",
E844="Nagpur","Maharashtra",
E844="Patna","Bihar",
E844="Pune","Maharashtra",
E844="Raipur","Chhattisgarh",
E844="Surat","Gujarat",
TRUE,"Not Found"
)</f>
        <v>Maharashtra</v>
      </c>
      <c r="G844" t="s">
        <v>1187</v>
      </c>
      <c r="H844" t="s">
        <v>1172</v>
      </c>
      <c r="I844" t="s">
        <v>1204</v>
      </c>
      <c r="J844" t="s">
        <v>1297</v>
      </c>
      <c r="K844" t="s">
        <v>1298</v>
      </c>
      <c r="L844">
        <v>1</v>
      </c>
      <c r="M844">
        <v>5045</v>
      </c>
      <c r="N844">
        <v>0.05</v>
      </c>
      <c r="O844">
        <v>4792.75</v>
      </c>
      <c r="P844">
        <v>0.12</v>
      </c>
      <c r="Q844">
        <v>4792.75</v>
      </c>
      <c r="R844">
        <v>575.13</v>
      </c>
      <c r="S844">
        <v>5367.88</v>
      </c>
      <c r="T844">
        <f>ROUND(Table2[[#This Row],[TotalAmount]],0)</f>
        <v>5368</v>
      </c>
      <c r="U844" t="s">
        <v>1363</v>
      </c>
      <c r="V844" t="s">
        <v>1361</v>
      </c>
      <c r="W844" s="4">
        <v>45734</v>
      </c>
      <c r="X844" s="4">
        <v>45736</v>
      </c>
      <c r="Y844" t="b">
        <v>0</v>
      </c>
      <c r="Z844" t="s">
        <v>1412</v>
      </c>
      <c r="AA844" t="s">
        <v>1412</v>
      </c>
      <c r="AB844" t="s">
        <v>1412</v>
      </c>
      <c r="AC844" t="s">
        <v>1396</v>
      </c>
      <c r="AD844" t="s">
        <v>1394</v>
      </c>
      <c r="AE844" t="s">
        <v>1389</v>
      </c>
    </row>
    <row r="845" spans="1:31" x14ac:dyDescent="0.3">
      <c r="A845" t="s">
        <v>1024</v>
      </c>
      <c r="B845" s="4">
        <v>45633.448611111111</v>
      </c>
      <c r="C845" t="s">
        <v>460</v>
      </c>
      <c r="D845" t="s">
        <v>1182</v>
      </c>
      <c r="E845" t="s">
        <v>1256</v>
      </c>
      <c r="F845" t="str" cm="1">
        <f t="array" ref="F845">_xlfn.IFS(
E845="Ahmedabad","Gujarat",
E845="Bengaluru","Karnataka",
E845="Bhopal","Madhya Pradesh",
E845="Bhubaneswar","Odisha",
E845="Chandigarh","Chandigarh",
E845="Chennai","Tamil Nadu",
E845="Delhi","Delhi",
E845="Guwahati","Assam",
E845="Hyderabad","Telangana",
E845="Indore","Madhya Pradesh",
E845="Jaipur","Rajasthan",
E845="Kochi","Kerala",
E845="Kolkata","West Bengal",
E845="Lucknow","Uttar Pradesh",
E845="Mumbai","Maharashtra",
E845="Nagpur","Maharashtra",
E845="Patna","Bihar",
E845="Pune","Maharashtra",
E845="Raipur","Chhattisgarh",
E845="Surat","Gujarat",
TRUE,"Not Found"
)</f>
        <v>Karnataka</v>
      </c>
      <c r="G845" t="s">
        <v>1228</v>
      </c>
      <c r="H845" t="s">
        <v>1163</v>
      </c>
      <c r="I845" t="s">
        <v>1266</v>
      </c>
      <c r="J845" t="s">
        <v>1348</v>
      </c>
      <c r="K845" t="s">
        <v>1349</v>
      </c>
      <c r="L845">
        <v>4</v>
      </c>
      <c r="M845">
        <v>1159</v>
      </c>
      <c r="N845">
        <v>0</v>
      </c>
      <c r="O845">
        <v>1159</v>
      </c>
      <c r="P845">
        <v>0.05</v>
      </c>
      <c r="Q845">
        <v>4636</v>
      </c>
      <c r="R845">
        <v>231.8</v>
      </c>
      <c r="S845">
        <v>4867.8</v>
      </c>
      <c r="T845">
        <f>ROUND(Table2[[#This Row],[TotalAmount]],0)</f>
        <v>4868</v>
      </c>
      <c r="U845" t="s">
        <v>1365</v>
      </c>
      <c r="V845" t="s">
        <v>1361</v>
      </c>
      <c r="W845" s="4">
        <v>45635</v>
      </c>
      <c r="X845" s="4">
        <v>45639</v>
      </c>
      <c r="Y845" t="b">
        <v>0</v>
      </c>
      <c r="Z845" t="s">
        <v>1412</v>
      </c>
      <c r="AA845" t="s">
        <v>1412</v>
      </c>
      <c r="AB845" t="s">
        <v>1412</v>
      </c>
      <c r="AC845" t="s">
        <v>1388</v>
      </c>
      <c r="AD845" t="s">
        <v>1399</v>
      </c>
      <c r="AE845" t="s">
        <v>1378</v>
      </c>
    </row>
    <row r="846" spans="1:31" x14ac:dyDescent="0.3">
      <c r="A846" t="s">
        <v>1025</v>
      </c>
      <c r="B846" s="4">
        <v>45373.593055555553</v>
      </c>
      <c r="C846" t="s">
        <v>143</v>
      </c>
      <c r="D846" t="s">
        <v>1153</v>
      </c>
      <c r="E846" t="s">
        <v>1154</v>
      </c>
      <c r="F846" t="str" cm="1">
        <f t="array" ref="F846">_xlfn.IFS(
E846="Ahmedabad","Gujarat",
E846="Bengaluru","Karnataka",
E846="Bhopal","Madhya Pradesh",
E846="Bhubaneswar","Odisha",
E846="Chandigarh","Chandigarh",
E846="Chennai","Tamil Nadu",
E846="Delhi","Delhi",
E846="Guwahati","Assam",
E846="Hyderabad","Telangana",
E846="Indore","Madhya Pradesh",
E846="Jaipur","Rajasthan",
E846="Kochi","Kerala",
E846="Kolkata","West Bengal",
E846="Lucknow","Uttar Pradesh",
E846="Mumbai","Maharashtra",
E846="Nagpur","Maharashtra",
E846="Patna","Bihar",
E846="Pune","Maharashtra",
E846="Raipur","Chhattisgarh",
E846="Surat","Gujarat",
TRUE,"Not Found"
)</f>
        <v>Maharashtra</v>
      </c>
      <c r="G846" t="s">
        <v>1228</v>
      </c>
      <c r="H846" t="s">
        <v>1144</v>
      </c>
      <c r="I846" t="s">
        <v>1145</v>
      </c>
      <c r="J846" t="s">
        <v>1155</v>
      </c>
      <c r="K846" t="s">
        <v>1156</v>
      </c>
      <c r="L846">
        <v>2</v>
      </c>
      <c r="M846">
        <v>10020</v>
      </c>
      <c r="N846">
        <v>0</v>
      </c>
      <c r="O846">
        <v>10020</v>
      </c>
      <c r="P846">
        <v>0.12</v>
      </c>
      <c r="Q846">
        <v>20040</v>
      </c>
      <c r="R846">
        <v>2404.8000000000002</v>
      </c>
      <c r="S846">
        <v>22444.799999999999</v>
      </c>
      <c r="T846">
        <f>ROUND(Table2[[#This Row],[TotalAmount]],0)</f>
        <v>22445</v>
      </c>
      <c r="U846" t="s">
        <v>1362</v>
      </c>
      <c r="V846" t="s">
        <v>1361</v>
      </c>
      <c r="W846" s="4">
        <v>45373</v>
      </c>
      <c r="X846" s="4">
        <v>45375</v>
      </c>
      <c r="Y846" t="b">
        <v>0</v>
      </c>
      <c r="Z846" t="s">
        <v>1412</v>
      </c>
      <c r="AA846" t="s">
        <v>1412</v>
      </c>
      <c r="AB846" t="s">
        <v>1412</v>
      </c>
      <c r="AC846" t="s">
        <v>1384</v>
      </c>
      <c r="AD846" t="s">
        <v>1387</v>
      </c>
      <c r="AE846" t="s">
        <v>1391</v>
      </c>
    </row>
    <row r="847" spans="1:31" x14ac:dyDescent="0.3">
      <c r="A847" t="s">
        <v>1026</v>
      </c>
      <c r="B847" s="4">
        <v>45340.545138888891</v>
      </c>
      <c r="C847" t="s">
        <v>67</v>
      </c>
      <c r="D847" t="s">
        <v>1148</v>
      </c>
      <c r="E847" t="s">
        <v>1149</v>
      </c>
      <c r="F847" t="str" cm="1">
        <f t="array" ref="F847">_xlfn.IFS(
E847="Ahmedabad","Gujarat",
E847="Bengaluru","Karnataka",
E847="Bhopal","Madhya Pradesh",
E847="Bhubaneswar","Odisha",
E847="Chandigarh","Chandigarh",
E847="Chennai","Tamil Nadu",
E847="Delhi","Delhi",
E847="Guwahati","Assam",
E847="Hyderabad","Telangana",
E847="Indore","Madhya Pradesh",
E847="Jaipur","Rajasthan",
E847="Kochi","Kerala",
E847="Kolkata","West Bengal",
E847="Lucknow","Uttar Pradesh",
E847="Mumbai","Maharashtra",
E847="Nagpur","Maharashtra",
E847="Patna","Bihar",
E847="Pune","Maharashtra",
E847="Raipur","Chhattisgarh",
E847="Surat","Gujarat",
TRUE,"Not Found"
)</f>
        <v>Uttar Pradesh</v>
      </c>
      <c r="G847" t="s">
        <v>1143</v>
      </c>
      <c r="H847" t="s">
        <v>1144</v>
      </c>
      <c r="I847" t="s">
        <v>1159</v>
      </c>
      <c r="J847" t="s">
        <v>1160</v>
      </c>
      <c r="K847" t="s">
        <v>1161</v>
      </c>
      <c r="L847">
        <v>3</v>
      </c>
      <c r="M847">
        <v>1210</v>
      </c>
      <c r="N847">
        <v>0.05</v>
      </c>
      <c r="O847">
        <v>1149.5</v>
      </c>
      <c r="P847">
        <v>0.05</v>
      </c>
      <c r="Q847">
        <v>3448.5</v>
      </c>
      <c r="R847">
        <v>172.42500000000001</v>
      </c>
      <c r="S847">
        <v>3620.9250000000002</v>
      </c>
      <c r="T847">
        <f>ROUND(Table2[[#This Row],[TotalAmount]],0)</f>
        <v>3621</v>
      </c>
      <c r="U847" t="s">
        <v>1365</v>
      </c>
      <c r="V847" t="s">
        <v>1367</v>
      </c>
      <c r="W847" s="4">
        <v>45342</v>
      </c>
      <c r="X847" s="4" t="s">
        <v>1412</v>
      </c>
      <c r="Y847" t="b">
        <v>0</v>
      </c>
      <c r="Z847" t="s">
        <v>1412</v>
      </c>
      <c r="AA847" t="s">
        <v>1412</v>
      </c>
      <c r="AB847" t="s">
        <v>1412</v>
      </c>
      <c r="AC847" t="s">
        <v>1379</v>
      </c>
      <c r="AD847" t="s">
        <v>1397</v>
      </c>
      <c r="AE847" t="s">
        <v>1391</v>
      </c>
    </row>
    <row r="848" spans="1:31" x14ac:dyDescent="0.3">
      <c r="A848" t="s">
        <v>1027</v>
      </c>
      <c r="B848" s="4">
        <v>45306.470138888893</v>
      </c>
      <c r="C848" t="s">
        <v>235</v>
      </c>
      <c r="D848" t="s">
        <v>1157</v>
      </c>
      <c r="E848" t="s">
        <v>1158</v>
      </c>
      <c r="F848" t="str" cm="1">
        <f t="array" ref="F848">_xlfn.IFS(
E848="Ahmedabad","Gujarat",
E848="Bengaluru","Karnataka",
E848="Bhopal","Madhya Pradesh",
E848="Bhubaneswar","Odisha",
E848="Chandigarh","Chandigarh",
E848="Chennai","Tamil Nadu",
E848="Delhi","Delhi",
E848="Guwahati","Assam",
E848="Hyderabad","Telangana",
E848="Indore","Madhya Pradesh",
E848="Jaipur","Rajasthan",
E848="Kochi","Kerala",
E848="Kolkata","West Bengal",
E848="Lucknow","Uttar Pradesh",
E848="Mumbai","Maharashtra",
E848="Nagpur","Maharashtra",
E848="Patna","Bihar",
E848="Pune","Maharashtra",
E848="Raipur","Chhattisgarh",
E848="Surat","Gujarat",
TRUE,"Not Found"
)</f>
        <v>Gujarat</v>
      </c>
      <c r="G848" t="s">
        <v>1150</v>
      </c>
      <c r="H848" t="s">
        <v>1163</v>
      </c>
      <c r="I848" t="s">
        <v>1266</v>
      </c>
      <c r="J848" t="s">
        <v>1348</v>
      </c>
      <c r="K848" t="s">
        <v>1349</v>
      </c>
      <c r="L848">
        <v>3</v>
      </c>
      <c r="M848">
        <v>309</v>
      </c>
      <c r="N848">
        <v>0.15</v>
      </c>
      <c r="O848">
        <v>262.64999999999998</v>
      </c>
      <c r="P848">
        <v>0.18</v>
      </c>
      <c r="Q848">
        <v>787.94999999999993</v>
      </c>
      <c r="R848">
        <v>141.83099999999999</v>
      </c>
      <c r="S848">
        <v>929.78099999999995</v>
      </c>
      <c r="T848">
        <f>ROUND(Table2[[#This Row],[TotalAmount]],0)</f>
        <v>930</v>
      </c>
      <c r="U848" t="s">
        <v>1360</v>
      </c>
      <c r="V848" t="s">
        <v>1361</v>
      </c>
      <c r="W848" s="4">
        <v>45307</v>
      </c>
      <c r="X848" s="4">
        <v>45311</v>
      </c>
      <c r="Y848" t="b">
        <v>0</v>
      </c>
      <c r="Z848" t="s">
        <v>1412</v>
      </c>
      <c r="AA848" t="s">
        <v>1412</v>
      </c>
      <c r="AB848" t="s">
        <v>1412</v>
      </c>
      <c r="AC848" t="s">
        <v>1386</v>
      </c>
      <c r="AD848" t="s">
        <v>1394</v>
      </c>
      <c r="AE848" t="s">
        <v>1389</v>
      </c>
    </row>
    <row r="849" spans="1:31" x14ac:dyDescent="0.3">
      <c r="A849" t="s">
        <v>1028</v>
      </c>
      <c r="B849" s="4">
        <v>45416.568749999999</v>
      </c>
      <c r="C849" t="s">
        <v>65</v>
      </c>
      <c r="D849" t="s">
        <v>1141</v>
      </c>
      <c r="E849" t="s">
        <v>1142</v>
      </c>
      <c r="F849" t="str" cm="1">
        <f t="array" ref="F849">_xlfn.IFS(
E849="Ahmedabad","Gujarat",
E849="Bengaluru","Karnataka",
E849="Bhopal","Madhya Pradesh",
E849="Bhubaneswar","Odisha",
E849="Chandigarh","Chandigarh",
E849="Chennai","Tamil Nadu",
E849="Delhi","Delhi",
E849="Guwahati","Assam",
E849="Hyderabad","Telangana",
E849="Indore","Madhya Pradesh",
E849="Jaipur","Rajasthan",
E849="Kochi","Kerala",
E849="Kolkata","West Bengal",
E849="Lucknow","Uttar Pradesh",
E849="Mumbai","Maharashtra",
E849="Nagpur","Maharashtra",
E849="Patna","Bihar",
E849="Pune","Maharashtra",
E849="Raipur","Chhattisgarh",
E849="Surat","Gujarat",
TRUE,"Not Found"
)</f>
        <v>West Bengal</v>
      </c>
      <c r="G849" t="s">
        <v>1143</v>
      </c>
      <c r="H849" t="s">
        <v>1167</v>
      </c>
      <c r="I849" t="s">
        <v>1263</v>
      </c>
      <c r="J849" t="s">
        <v>1274</v>
      </c>
      <c r="K849" t="s">
        <v>1275</v>
      </c>
      <c r="L849">
        <v>2</v>
      </c>
      <c r="M849">
        <v>48792</v>
      </c>
      <c r="N849">
        <v>0</v>
      </c>
      <c r="O849">
        <v>48792</v>
      </c>
      <c r="P849">
        <v>0.18</v>
      </c>
      <c r="Q849">
        <v>97584</v>
      </c>
      <c r="R849">
        <v>17565.12</v>
      </c>
      <c r="S849">
        <v>115149.12</v>
      </c>
      <c r="T849">
        <f>ROUND(Table2[[#This Row],[TotalAmount]],0)</f>
        <v>115149</v>
      </c>
      <c r="U849" t="s">
        <v>1360</v>
      </c>
      <c r="V849" t="s">
        <v>1361</v>
      </c>
      <c r="W849" s="4">
        <v>45416</v>
      </c>
      <c r="X849" s="4">
        <v>45419</v>
      </c>
      <c r="Y849" t="b">
        <v>0</v>
      </c>
      <c r="Z849" t="s">
        <v>1412</v>
      </c>
      <c r="AA849" t="s">
        <v>1412</v>
      </c>
      <c r="AB849" t="s">
        <v>1412</v>
      </c>
      <c r="AC849" t="s">
        <v>1386</v>
      </c>
      <c r="AD849" t="s">
        <v>1397</v>
      </c>
      <c r="AE849" t="s">
        <v>1380</v>
      </c>
    </row>
    <row r="850" spans="1:31" x14ac:dyDescent="0.3">
      <c r="A850" t="s">
        <v>1029</v>
      </c>
      <c r="B850" s="4">
        <v>45637.552777777782</v>
      </c>
      <c r="C850" t="s">
        <v>28</v>
      </c>
      <c r="D850" t="s">
        <v>1153</v>
      </c>
      <c r="E850" t="s">
        <v>1162</v>
      </c>
      <c r="F850" t="str" cm="1">
        <f t="array" ref="F850">_xlfn.IFS(
E850="Ahmedabad","Gujarat",
E850="Bengaluru","Karnataka",
E850="Bhopal","Madhya Pradesh",
E850="Bhubaneswar","Odisha",
E850="Chandigarh","Chandigarh",
E850="Chennai","Tamil Nadu",
E850="Delhi","Delhi",
E850="Guwahati","Assam",
E850="Hyderabad","Telangana",
E850="Indore","Madhya Pradesh",
E850="Jaipur","Rajasthan",
E850="Kochi","Kerala",
E850="Kolkata","West Bengal",
E850="Lucknow","Uttar Pradesh",
E850="Mumbai","Maharashtra",
E850="Nagpur","Maharashtra",
E850="Patna","Bihar",
E850="Pune","Maharashtra",
E850="Raipur","Chhattisgarh",
E850="Surat","Gujarat",
TRUE,"Not Found"
)</f>
        <v>Madhya Pradesh</v>
      </c>
      <c r="G850" t="s">
        <v>1228</v>
      </c>
      <c r="H850" t="s">
        <v>1172</v>
      </c>
      <c r="I850" t="s">
        <v>1204</v>
      </c>
      <c r="J850" t="s">
        <v>1234</v>
      </c>
      <c r="K850" t="s">
        <v>1235</v>
      </c>
      <c r="L850">
        <v>3</v>
      </c>
      <c r="M850">
        <v>2167</v>
      </c>
      <c r="N850">
        <v>0.1</v>
      </c>
      <c r="O850">
        <v>1950.3</v>
      </c>
      <c r="P850">
        <v>0.12</v>
      </c>
      <c r="Q850">
        <v>5850.9</v>
      </c>
      <c r="R850">
        <v>702.10799999999995</v>
      </c>
      <c r="S850">
        <v>6553.0079999999998</v>
      </c>
      <c r="T850">
        <f>ROUND(Table2[[#This Row],[TotalAmount]],0)</f>
        <v>6553</v>
      </c>
      <c r="U850" t="s">
        <v>1360</v>
      </c>
      <c r="V850" t="s">
        <v>1364</v>
      </c>
      <c r="W850" s="4">
        <v>45638</v>
      </c>
      <c r="X850" s="4" t="s">
        <v>1412</v>
      </c>
      <c r="Y850" t="b">
        <v>1</v>
      </c>
      <c r="Z850" s="1">
        <v>45648</v>
      </c>
      <c r="AA850" s="1">
        <v>45648</v>
      </c>
      <c r="AB850" t="s">
        <v>1401</v>
      </c>
      <c r="AC850" t="s">
        <v>1376</v>
      </c>
      <c r="AD850" t="s">
        <v>1397</v>
      </c>
      <c r="AE850" t="s">
        <v>1395</v>
      </c>
    </row>
    <row r="851" spans="1:31" x14ac:dyDescent="0.3">
      <c r="A851" t="s">
        <v>1030</v>
      </c>
      <c r="B851" s="4">
        <v>45689.53125</v>
      </c>
      <c r="C851" t="s">
        <v>16</v>
      </c>
      <c r="D851" t="s">
        <v>1148</v>
      </c>
      <c r="E851" t="s">
        <v>1171</v>
      </c>
      <c r="F851" t="str" cm="1">
        <f t="array" ref="F851">_xlfn.IFS(
E851="Ahmedabad","Gujarat",
E851="Bengaluru","Karnataka",
E851="Bhopal","Madhya Pradesh",
E851="Bhubaneswar","Odisha",
E851="Chandigarh","Chandigarh",
E851="Chennai","Tamil Nadu",
E851="Delhi","Delhi",
E851="Guwahati","Assam",
E851="Hyderabad","Telangana",
E851="Indore","Madhya Pradesh",
E851="Jaipur","Rajasthan",
E851="Kochi","Kerala",
E851="Kolkata","West Bengal",
E851="Lucknow","Uttar Pradesh",
E851="Mumbai","Maharashtra",
E851="Nagpur","Maharashtra",
E851="Patna","Bihar",
E851="Pune","Maharashtra",
E851="Raipur","Chhattisgarh",
E851="Surat","Gujarat",
TRUE,"Not Found"
)</f>
        <v>Chandigarh</v>
      </c>
      <c r="G851" t="s">
        <v>1187</v>
      </c>
      <c r="H851" t="s">
        <v>1163</v>
      </c>
      <c r="I851" t="s">
        <v>1266</v>
      </c>
      <c r="J851" t="s">
        <v>1267</v>
      </c>
      <c r="K851" t="s">
        <v>1268</v>
      </c>
      <c r="L851">
        <v>4</v>
      </c>
      <c r="M851">
        <v>580</v>
      </c>
      <c r="N851">
        <v>0</v>
      </c>
      <c r="O851">
        <v>580</v>
      </c>
      <c r="P851">
        <v>0.05</v>
      </c>
      <c r="Q851">
        <v>2320</v>
      </c>
      <c r="R851">
        <v>116</v>
      </c>
      <c r="S851">
        <v>2436</v>
      </c>
      <c r="T851">
        <f>ROUND(Table2[[#This Row],[TotalAmount]],0)</f>
        <v>2436</v>
      </c>
      <c r="U851" t="s">
        <v>1363</v>
      </c>
      <c r="V851" t="s">
        <v>1361</v>
      </c>
      <c r="W851" s="4">
        <v>45689</v>
      </c>
      <c r="X851" s="4">
        <v>45690</v>
      </c>
      <c r="Y851" t="b">
        <v>0</v>
      </c>
      <c r="Z851" t="s">
        <v>1412</v>
      </c>
      <c r="AA851" t="s">
        <v>1412</v>
      </c>
      <c r="AB851" t="s">
        <v>1412</v>
      </c>
      <c r="AC851" t="s">
        <v>1376</v>
      </c>
      <c r="AD851" t="s">
        <v>1377</v>
      </c>
      <c r="AE851" t="s">
        <v>1380</v>
      </c>
    </row>
    <row r="852" spans="1:31" x14ac:dyDescent="0.3">
      <c r="A852" t="s">
        <v>1031</v>
      </c>
      <c r="B852" s="4">
        <v>45499.565972222219</v>
      </c>
      <c r="C852" t="s">
        <v>128</v>
      </c>
      <c r="D852" t="s">
        <v>1182</v>
      </c>
      <c r="E852" t="s">
        <v>1183</v>
      </c>
      <c r="F852" t="str" cm="1">
        <f t="array" ref="F852">_xlfn.IFS(
E852="Ahmedabad","Gujarat",
E852="Bengaluru","Karnataka",
E852="Bhopal","Madhya Pradesh",
E852="Bhubaneswar","Odisha",
E852="Chandigarh","Chandigarh",
E852="Chennai","Tamil Nadu",
E852="Delhi","Delhi",
E852="Guwahati","Assam",
E852="Hyderabad","Telangana",
E852="Indore","Madhya Pradesh",
E852="Jaipur","Rajasthan",
E852="Kochi","Kerala",
E852="Kolkata","West Bengal",
E852="Lucknow","Uttar Pradesh",
E852="Mumbai","Maharashtra",
E852="Nagpur","Maharashtra",
E852="Patna","Bihar",
E852="Pune","Maharashtra",
E852="Raipur","Chhattisgarh",
E852="Surat","Gujarat",
TRUE,"Not Found"
)</f>
        <v>Telangana</v>
      </c>
      <c r="G852" t="s">
        <v>1143</v>
      </c>
      <c r="H852" t="s">
        <v>1177</v>
      </c>
      <c r="I852" t="s">
        <v>1309</v>
      </c>
      <c r="J852" t="s">
        <v>1310</v>
      </c>
      <c r="K852" t="s">
        <v>1311</v>
      </c>
      <c r="L852">
        <v>2</v>
      </c>
      <c r="M852">
        <v>1161</v>
      </c>
      <c r="N852">
        <v>0.1</v>
      </c>
      <c r="O852">
        <v>1044.9000000000001</v>
      </c>
      <c r="P852">
        <v>0.18</v>
      </c>
      <c r="Q852">
        <v>2089.8000000000002</v>
      </c>
      <c r="R852">
        <v>376.16399999999999</v>
      </c>
      <c r="S852">
        <v>2465.9639999999999</v>
      </c>
      <c r="T852">
        <f>ROUND(Table2[[#This Row],[TotalAmount]],0)</f>
        <v>2466</v>
      </c>
      <c r="U852" t="s">
        <v>1363</v>
      </c>
      <c r="V852" t="s">
        <v>1361</v>
      </c>
      <c r="W852" s="4">
        <v>45500</v>
      </c>
      <c r="X852" s="4">
        <v>45504</v>
      </c>
      <c r="Y852" t="b">
        <v>0</v>
      </c>
      <c r="Z852" t="s">
        <v>1412</v>
      </c>
      <c r="AA852" t="s">
        <v>1412</v>
      </c>
      <c r="AB852" t="s">
        <v>1412</v>
      </c>
      <c r="AC852" t="s">
        <v>1379</v>
      </c>
      <c r="AD852" t="s">
        <v>1385</v>
      </c>
      <c r="AE852" t="s">
        <v>1393</v>
      </c>
    </row>
    <row r="853" spans="1:31" x14ac:dyDescent="0.3">
      <c r="A853" t="s">
        <v>1032</v>
      </c>
      <c r="B853" s="4">
        <v>45619.45</v>
      </c>
      <c r="C853" t="s">
        <v>143</v>
      </c>
      <c r="D853" t="s">
        <v>1153</v>
      </c>
      <c r="E853" t="s">
        <v>1154</v>
      </c>
      <c r="F853" t="str" cm="1">
        <f t="array" ref="F853">_xlfn.IFS(
E853="Ahmedabad","Gujarat",
E853="Bengaluru","Karnataka",
E853="Bhopal","Madhya Pradesh",
E853="Bhubaneswar","Odisha",
E853="Chandigarh","Chandigarh",
E853="Chennai","Tamil Nadu",
E853="Delhi","Delhi",
E853="Guwahati","Assam",
E853="Hyderabad","Telangana",
E853="Indore","Madhya Pradesh",
E853="Jaipur","Rajasthan",
E853="Kochi","Kerala",
E853="Kolkata","West Bengal",
E853="Lucknow","Uttar Pradesh",
E853="Mumbai","Maharashtra",
E853="Nagpur","Maharashtra",
E853="Patna","Bihar",
E853="Pune","Maharashtra",
E853="Raipur","Chhattisgarh",
E853="Surat","Gujarat",
TRUE,"Not Found"
)</f>
        <v>Maharashtra</v>
      </c>
      <c r="G853" t="s">
        <v>1150</v>
      </c>
      <c r="H853" t="s">
        <v>1172</v>
      </c>
      <c r="I853" t="s">
        <v>1198</v>
      </c>
      <c r="J853" t="s">
        <v>1303</v>
      </c>
      <c r="K853" t="s">
        <v>1304</v>
      </c>
      <c r="L853">
        <v>1</v>
      </c>
      <c r="M853">
        <v>4241</v>
      </c>
      <c r="N853">
        <v>0.05</v>
      </c>
      <c r="O853">
        <v>4028.95</v>
      </c>
      <c r="P853">
        <v>0.05</v>
      </c>
      <c r="Q853">
        <v>4028.95</v>
      </c>
      <c r="R853">
        <v>201.44749999999999</v>
      </c>
      <c r="S853">
        <v>4230.3975</v>
      </c>
      <c r="T853">
        <f>ROUND(Table2[[#This Row],[TotalAmount]],0)</f>
        <v>4230</v>
      </c>
      <c r="U853" t="s">
        <v>1362</v>
      </c>
      <c r="V853" t="s">
        <v>1361</v>
      </c>
      <c r="W853" s="4">
        <v>45620</v>
      </c>
      <c r="X853" s="4">
        <v>45621</v>
      </c>
      <c r="Y853" t="b">
        <v>0</v>
      </c>
      <c r="Z853" t="s">
        <v>1412</v>
      </c>
      <c r="AA853" t="s">
        <v>1412</v>
      </c>
      <c r="AB853" t="s">
        <v>1412</v>
      </c>
      <c r="AC853" t="s">
        <v>1384</v>
      </c>
      <c r="AD853" t="s">
        <v>1400</v>
      </c>
      <c r="AE853" t="s">
        <v>1378</v>
      </c>
    </row>
    <row r="854" spans="1:31" x14ac:dyDescent="0.3">
      <c r="A854" t="s">
        <v>1033</v>
      </c>
      <c r="B854" s="4">
        <v>45601.583333333343</v>
      </c>
      <c r="C854" t="s">
        <v>362</v>
      </c>
      <c r="D854" t="s">
        <v>1148</v>
      </c>
      <c r="E854" t="s">
        <v>1262</v>
      </c>
      <c r="F854" t="str" cm="1">
        <f t="array" ref="F854">_xlfn.IFS(
E854="Ahmedabad","Gujarat",
E854="Bengaluru","Karnataka",
E854="Bhopal","Madhya Pradesh",
E854="Bhubaneswar","Odisha",
E854="Chandigarh","Chandigarh",
E854="Chennai","Tamil Nadu",
E854="Delhi","Delhi",
E854="Guwahati","Assam",
E854="Hyderabad","Telangana",
E854="Indore","Madhya Pradesh",
E854="Jaipur","Rajasthan",
E854="Kochi","Kerala",
E854="Kolkata","West Bengal",
E854="Lucknow","Uttar Pradesh",
E854="Mumbai","Maharashtra",
E854="Nagpur","Maharashtra",
E854="Patna","Bihar",
E854="Pune","Maharashtra",
E854="Raipur","Chhattisgarh",
E854="Surat","Gujarat",
TRUE,"Not Found"
)</f>
        <v>Rajasthan</v>
      </c>
      <c r="G854" t="s">
        <v>1150</v>
      </c>
      <c r="H854" t="s">
        <v>1177</v>
      </c>
      <c r="I854" t="s">
        <v>1192</v>
      </c>
      <c r="J854" t="s">
        <v>1193</v>
      </c>
      <c r="K854" t="s">
        <v>1194</v>
      </c>
      <c r="L854">
        <v>5</v>
      </c>
      <c r="M854">
        <v>1689</v>
      </c>
      <c r="N854">
        <v>0.05</v>
      </c>
      <c r="O854">
        <v>1604.55</v>
      </c>
      <c r="P854">
        <v>0.05</v>
      </c>
      <c r="Q854">
        <v>8022.75</v>
      </c>
      <c r="R854">
        <v>401.13749999999999</v>
      </c>
      <c r="S854">
        <v>8423.8875000000007</v>
      </c>
      <c r="T854">
        <f>ROUND(Table2[[#This Row],[TotalAmount]],0)</f>
        <v>8424</v>
      </c>
      <c r="U854" t="s">
        <v>1363</v>
      </c>
      <c r="V854" t="s">
        <v>1361</v>
      </c>
      <c r="W854" s="4">
        <v>45602</v>
      </c>
      <c r="X854" s="4">
        <v>45606</v>
      </c>
      <c r="Y854" t="b">
        <v>0</v>
      </c>
      <c r="Z854" t="s">
        <v>1412</v>
      </c>
      <c r="AA854" t="s">
        <v>1412</v>
      </c>
      <c r="AB854" t="s">
        <v>1412</v>
      </c>
      <c r="AC854" t="s">
        <v>1398</v>
      </c>
      <c r="AD854" t="s">
        <v>1377</v>
      </c>
      <c r="AE854" t="s">
        <v>1383</v>
      </c>
    </row>
    <row r="855" spans="1:31" x14ac:dyDescent="0.3">
      <c r="A855" t="s">
        <v>1034</v>
      </c>
      <c r="B855" s="4">
        <v>45389.64166666667</v>
      </c>
      <c r="C855" t="s">
        <v>262</v>
      </c>
      <c r="D855" t="s">
        <v>1141</v>
      </c>
      <c r="E855" t="s">
        <v>1142</v>
      </c>
      <c r="F855" t="str" cm="1">
        <f t="array" ref="F855">_xlfn.IFS(
E855="Ahmedabad","Gujarat",
E855="Bengaluru","Karnataka",
E855="Bhopal","Madhya Pradesh",
E855="Bhubaneswar","Odisha",
E855="Chandigarh","Chandigarh",
E855="Chennai","Tamil Nadu",
E855="Delhi","Delhi",
E855="Guwahati","Assam",
E855="Hyderabad","Telangana",
E855="Indore","Madhya Pradesh",
E855="Jaipur","Rajasthan",
E855="Kochi","Kerala",
E855="Kolkata","West Bengal",
E855="Lucknow","Uttar Pradesh",
E855="Mumbai","Maharashtra",
E855="Nagpur","Maharashtra",
E855="Patna","Bihar",
E855="Pune","Maharashtra",
E855="Raipur","Chhattisgarh",
E855="Surat","Gujarat",
TRUE,"Not Found"
)</f>
        <v>West Bengal</v>
      </c>
      <c r="G855" t="s">
        <v>1228</v>
      </c>
      <c r="H855" t="s">
        <v>1172</v>
      </c>
      <c r="I855" t="s">
        <v>1229</v>
      </c>
      <c r="J855" t="s">
        <v>1340</v>
      </c>
      <c r="K855" t="s">
        <v>1341</v>
      </c>
      <c r="L855">
        <v>2</v>
      </c>
      <c r="M855">
        <v>9872</v>
      </c>
      <c r="N855">
        <v>0</v>
      </c>
      <c r="O855">
        <v>9872</v>
      </c>
      <c r="P855">
        <v>0.18</v>
      </c>
      <c r="Q855">
        <v>19744</v>
      </c>
      <c r="R855">
        <v>3553.92</v>
      </c>
      <c r="S855">
        <v>23297.919999999998</v>
      </c>
      <c r="T855">
        <f>ROUND(Table2[[#This Row],[TotalAmount]],0)</f>
        <v>23298</v>
      </c>
      <c r="U855" t="s">
        <v>1360</v>
      </c>
      <c r="V855" t="s">
        <v>1361</v>
      </c>
      <c r="W855" s="4">
        <v>45390</v>
      </c>
      <c r="X855" s="4">
        <v>45394</v>
      </c>
      <c r="Y855" t="b">
        <v>0</v>
      </c>
      <c r="Z855" t="s">
        <v>1412</v>
      </c>
      <c r="AA855" t="s">
        <v>1412</v>
      </c>
      <c r="AB855" t="s">
        <v>1412</v>
      </c>
      <c r="AC855" t="s">
        <v>1388</v>
      </c>
      <c r="AD855" t="s">
        <v>1399</v>
      </c>
      <c r="AE855" t="s">
        <v>1378</v>
      </c>
    </row>
    <row r="856" spans="1:31" x14ac:dyDescent="0.3">
      <c r="A856" t="s">
        <v>1035</v>
      </c>
      <c r="B856" s="4">
        <v>45473.665277777778</v>
      </c>
      <c r="C856" t="s">
        <v>10</v>
      </c>
      <c r="D856" t="s">
        <v>1157</v>
      </c>
      <c r="E856" t="s">
        <v>1158</v>
      </c>
      <c r="F856" t="str" cm="1">
        <f t="array" ref="F856">_xlfn.IFS(
E856="Ahmedabad","Gujarat",
E856="Bengaluru","Karnataka",
E856="Bhopal","Madhya Pradesh",
E856="Bhubaneswar","Odisha",
E856="Chandigarh","Chandigarh",
E856="Chennai","Tamil Nadu",
E856="Delhi","Delhi",
E856="Guwahati","Assam",
E856="Hyderabad","Telangana",
E856="Indore","Madhya Pradesh",
E856="Jaipur","Rajasthan",
E856="Kochi","Kerala",
E856="Kolkata","West Bengal",
E856="Lucknow","Uttar Pradesh",
E856="Mumbai","Maharashtra",
E856="Nagpur","Maharashtra",
E856="Patna","Bihar",
E856="Pune","Maharashtra",
E856="Raipur","Chhattisgarh",
E856="Surat","Gujarat",
TRUE,"Not Found"
)</f>
        <v>Gujarat</v>
      </c>
      <c r="G856" t="s">
        <v>1143</v>
      </c>
      <c r="H856" t="s">
        <v>1177</v>
      </c>
      <c r="I856" t="s">
        <v>1309</v>
      </c>
      <c r="J856" t="s">
        <v>1310</v>
      </c>
      <c r="K856" t="s">
        <v>1311</v>
      </c>
      <c r="L856">
        <v>1</v>
      </c>
      <c r="M856">
        <v>2342</v>
      </c>
      <c r="N856">
        <v>0</v>
      </c>
      <c r="O856">
        <v>2342</v>
      </c>
      <c r="P856">
        <v>0.18</v>
      </c>
      <c r="Q856">
        <v>2342</v>
      </c>
      <c r="R856">
        <v>421.56</v>
      </c>
      <c r="S856">
        <v>2763.56</v>
      </c>
      <c r="T856">
        <f>ROUND(Table2[[#This Row],[TotalAmount]],0)</f>
        <v>2764</v>
      </c>
      <c r="U856" t="s">
        <v>1363</v>
      </c>
      <c r="V856" t="s">
        <v>1364</v>
      </c>
      <c r="W856" s="4">
        <v>45473</v>
      </c>
      <c r="X856" s="4" t="s">
        <v>1412</v>
      </c>
      <c r="Y856" t="b">
        <v>1</v>
      </c>
      <c r="Z856" s="1">
        <v>45481</v>
      </c>
      <c r="AA856" s="1">
        <v>45481</v>
      </c>
      <c r="AB856" t="s">
        <v>1401</v>
      </c>
      <c r="AC856" t="s">
        <v>1390</v>
      </c>
      <c r="AD856" t="s">
        <v>1400</v>
      </c>
      <c r="AE856" t="s">
        <v>1393</v>
      </c>
    </row>
    <row r="857" spans="1:31" x14ac:dyDescent="0.3">
      <c r="A857" t="s">
        <v>1036</v>
      </c>
      <c r="B857" s="4">
        <v>45592.513888888891</v>
      </c>
      <c r="C857" t="s">
        <v>394</v>
      </c>
      <c r="D857" t="s">
        <v>1148</v>
      </c>
      <c r="E857" t="s">
        <v>1262</v>
      </c>
      <c r="F857" t="str" cm="1">
        <f t="array" ref="F857">_xlfn.IFS(
E857="Ahmedabad","Gujarat",
E857="Bengaluru","Karnataka",
E857="Bhopal","Madhya Pradesh",
E857="Bhubaneswar","Odisha",
E857="Chandigarh","Chandigarh",
E857="Chennai","Tamil Nadu",
E857="Delhi","Delhi",
E857="Guwahati","Assam",
E857="Hyderabad","Telangana",
E857="Indore","Madhya Pradesh",
E857="Jaipur","Rajasthan",
E857="Kochi","Kerala",
E857="Kolkata","West Bengal",
E857="Lucknow","Uttar Pradesh",
E857="Mumbai","Maharashtra",
E857="Nagpur","Maharashtra",
E857="Patna","Bihar",
E857="Pune","Maharashtra",
E857="Raipur","Chhattisgarh",
E857="Surat","Gujarat",
TRUE,"Not Found"
)</f>
        <v>Rajasthan</v>
      </c>
      <c r="G857" t="s">
        <v>1143</v>
      </c>
      <c r="H857" t="s">
        <v>1177</v>
      </c>
      <c r="I857" t="s">
        <v>1309</v>
      </c>
      <c r="J857" t="s">
        <v>1332</v>
      </c>
      <c r="K857" t="s">
        <v>1333</v>
      </c>
      <c r="L857">
        <v>1</v>
      </c>
      <c r="M857">
        <v>2930</v>
      </c>
      <c r="N857">
        <v>0.05</v>
      </c>
      <c r="O857">
        <v>2783.5</v>
      </c>
      <c r="P857">
        <v>0.12</v>
      </c>
      <c r="Q857">
        <v>2783.5</v>
      </c>
      <c r="R857">
        <v>334.02</v>
      </c>
      <c r="S857">
        <v>3117.52</v>
      </c>
      <c r="T857">
        <f>ROUND(Table2[[#This Row],[TotalAmount]],0)</f>
        <v>3118</v>
      </c>
      <c r="U857" t="s">
        <v>1363</v>
      </c>
      <c r="V857" t="s">
        <v>1361</v>
      </c>
      <c r="W857" s="4">
        <v>45594</v>
      </c>
      <c r="X857" s="4">
        <v>45595</v>
      </c>
      <c r="Y857" t="b">
        <v>0</v>
      </c>
      <c r="Z857" t="s">
        <v>1412</v>
      </c>
      <c r="AA857" t="s">
        <v>1412</v>
      </c>
      <c r="AB857" t="s">
        <v>1412</v>
      </c>
      <c r="AC857" t="s">
        <v>1392</v>
      </c>
      <c r="AD857" t="s">
        <v>1400</v>
      </c>
      <c r="AE857" t="s">
        <v>1393</v>
      </c>
    </row>
    <row r="858" spans="1:31" x14ac:dyDescent="0.3">
      <c r="A858" t="s">
        <v>1037</v>
      </c>
      <c r="B858" s="4">
        <v>45594.509722222218</v>
      </c>
      <c r="C858" t="s">
        <v>51</v>
      </c>
      <c r="D858" t="s">
        <v>1141</v>
      </c>
      <c r="E858" t="s">
        <v>1227</v>
      </c>
      <c r="F858" t="str" cm="1">
        <f t="array" ref="F858">_xlfn.IFS(
E858="Ahmedabad","Gujarat",
E858="Bengaluru","Karnataka",
E858="Bhopal","Madhya Pradesh",
E858="Bhubaneswar","Odisha",
E858="Chandigarh","Chandigarh",
E858="Chennai","Tamil Nadu",
E858="Delhi","Delhi",
E858="Guwahati","Assam",
E858="Hyderabad","Telangana",
E858="Indore","Madhya Pradesh",
E858="Jaipur","Rajasthan",
E858="Kochi","Kerala",
E858="Kolkata","West Bengal",
E858="Lucknow","Uttar Pradesh",
E858="Mumbai","Maharashtra",
E858="Nagpur","Maharashtra",
E858="Patna","Bihar",
E858="Pune","Maharashtra",
E858="Raipur","Chhattisgarh",
E858="Surat","Gujarat",
TRUE,"Not Found"
)</f>
        <v>Bihar</v>
      </c>
      <c r="G858" t="s">
        <v>1187</v>
      </c>
      <c r="H858" t="s">
        <v>1144</v>
      </c>
      <c r="I858" t="s">
        <v>1276</v>
      </c>
      <c r="J858" t="s">
        <v>1307</v>
      </c>
      <c r="K858" t="s">
        <v>1308</v>
      </c>
      <c r="L858">
        <v>2</v>
      </c>
      <c r="M858">
        <v>14321</v>
      </c>
      <c r="N858">
        <v>0</v>
      </c>
      <c r="O858">
        <v>14321</v>
      </c>
      <c r="P858">
        <v>0.12</v>
      </c>
      <c r="Q858">
        <v>28642</v>
      </c>
      <c r="R858">
        <v>3437.04</v>
      </c>
      <c r="S858">
        <v>32079.040000000001</v>
      </c>
      <c r="T858">
        <f>ROUND(Table2[[#This Row],[TotalAmount]],0)</f>
        <v>32079</v>
      </c>
      <c r="U858" t="s">
        <v>1360</v>
      </c>
      <c r="V858" t="s">
        <v>1369</v>
      </c>
      <c r="W858" s="4" t="s">
        <v>1412</v>
      </c>
      <c r="X858" s="4" t="s">
        <v>1412</v>
      </c>
      <c r="Y858" t="b">
        <v>0</v>
      </c>
      <c r="Z858" t="s">
        <v>1412</v>
      </c>
      <c r="AA858" t="s">
        <v>1412</v>
      </c>
      <c r="AB858" t="s">
        <v>1412</v>
      </c>
      <c r="AC858" t="s">
        <v>1388</v>
      </c>
      <c r="AD858" t="s">
        <v>1394</v>
      </c>
      <c r="AE858" t="s">
        <v>1380</v>
      </c>
    </row>
    <row r="859" spans="1:31" x14ac:dyDescent="0.3">
      <c r="A859" t="s">
        <v>1038</v>
      </c>
      <c r="B859" s="4">
        <v>45703.568749999999</v>
      </c>
      <c r="C859" t="s">
        <v>385</v>
      </c>
      <c r="D859" t="s">
        <v>1182</v>
      </c>
      <c r="E859" t="s">
        <v>1207</v>
      </c>
      <c r="F859" t="str" cm="1">
        <f t="array" ref="F859">_xlfn.IFS(
E859="Ahmedabad","Gujarat",
E859="Bengaluru","Karnataka",
E859="Bhopal","Madhya Pradesh",
E859="Bhubaneswar","Odisha",
E859="Chandigarh","Chandigarh",
E859="Chennai","Tamil Nadu",
E859="Delhi","Delhi",
E859="Guwahati","Assam",
E859="Hyderabad","Telangana",
E859="Indore","Madhya Pradesh",
E859="Jaipur","Rajasthan",
E859="Kochi","Kerala",
E859="Kolkata","West Bengal",
E859="Lucknow","Uttar Pradesh",
E859="Mumbai","Maharashtra",
E859="Nagpur","Maharashtra",
E859="Patna","Bihar",
E859="Pune","Maharashtra",
E859="Raipur","Chhattisgarh",
E859="Surat","Gujarat",
TRUE,"Not Found"
)</f>
        <v>Tamil Nadu</v>
      </c>
      <c r="G859" t="s">
        <v>1143</v>
      </c>
      <c r="H859" t="s">
        <v>1144</v>
      </c>
      <c r="I859" t="s">
        <v>1159</v>
      </c>
      <c r="J859" t="s">
        <v>1334</v>
      </c>
      <c r="K859" t="s">
        <v>1335</v>
      </c>
      <c r="L859">
        <v>2</v>
      </c>
      <c r="M859">
        <v>4359</v>
      </c>
      <c r="N859">
        <v>0.05</v>
      </c>
      <c r="O859">
        <v>4141.05</v>
      </c>
      <c r="P859">
        <v>0.12</v>
      </c>
      <c r="Q859">
        <v>8282.1</v>
      </c>
      <c r="R859">
        <v>993.85199999999998</v>
      </c>
      <c r="S859">
        <v>9275.9520000000011</v>
      </c>
      <c r="T859">
        <f>ROUND(Table2[[#This Row],[TotalAmount]],0)</f>
        <v>9276</v>
      </c>
      <c r="U859" t="s">
        <v>1360</v>
      </c>
      <c r="V859" t="s">
        <v>1361</v>
      </c>
      <c r="W859" s="4">
        <v>45703</v>
      </c>
      <c r="X859" s="4">
        <v>45705</v>
      </c>
      <c r="Y859" t="b">
        <v>0</v>
      </c>
      <c r="Z859" t="s">
        <v>1412</v>
      </c>
      <c r="AA859" t="s">
        <v>1412</v>
      </c>
      <c r="AB859" t="s">
        <v>1412</v>
      </c>
      <c r="AC859" t="s">
        <v>1386</v>
      </c>
      <c r="AD859" t="s">
        <v>1400</v>
      </c>
      <c r="AE859" t="s">
        <v>1389</v>
      </c>
    </row>
    <row r="860" spans="1:31" x14ac:dyDescent="0.3">
      <c r="A860" t="s">
        <v>1039</v>
      </c>
      <c r="B860" s="4">
        <v>45392.584722222222</v>
      </c>
      <c r="C860" t="s">
        <v>1040</v>
      </c>
      <c r="D860" t="s">
        <v>1182</v>
      </c>
      <c r="E860" t="s">
        <v>1257</v>
      </c>
      <c r="F860" t="str" cm="1">
        <f t="array" ref="F860">_xlfn.IFS(
E860="Ahmedabad","Gujarat",
E860="Bengaluru","Karnataka",
E860="Bhopal","Madhya Pradesh",
E860="Bhubaneswar","Odisha",
E860="Chandigarh","Chandigarh",
E860="Chennai","Tamil Nadu",
E860="Delhi","Delhi",
E860="Guwahati","Assam",
E860="Hyderabad","Telangana",
E860="Indore","Madhya Pradesh",
E860="Jaipur","Rajasthan",
E860="Kochi","Kerala",
E860="Kolkata","West Bengal",
E860="Lucknow","Uttar Pradesh",
E860="Mumbai","Maharashtra",
E860="Nagpur","Maharashtra",
E860="Patna","Bihar",
E860="Pune","Maharashtra",
E860="Raipur","Chhattisgarh",
E860="Surat","Gujarat",
TRUE,"Not Found"
)</f>
        <v>Kerala</v>
      </c>
      <c r="G860" t="s">
        <v>1143</v>
      </c>
      <c r="H860" t="s">
        <v>1172</v>
      </c>
      <c r="I860" t="s">
        <v>1198</v>
      </c>
      <c r="J860" t="s">
        <v>1250</v>
      </c>
      <c r="K860" t="s">
        <v>1251</v>
      </c>
      <c r="L860">
        <v>3</v>
      </c>
      <c r="M860">
        <v>9982</v>
      </c>
      <c r="N860">
        <v>0</v>
      </c>
      <c r="O860">
        <v>9982</v>
      </c>
      <c r="P860">
        <v>0.12</v>
      </c>
      <c r="Q860">
        <v>29946</v>
      </c>
      <c r="R860">
        <v>3593.52</v>
      </c>
      <c r="S860">
        <v>33539.519999999997</v>
      </c>
      <c r="T860">
        <f>ROUND(Table2[[#This Row],[TotalAmount]],0)</f>
        <v>33540</v>
      </c>
      <c r="U860" t="s">
        <v>1365</v>
      </c>
      <c r="V860" t="s">
        <v>1361</v>
      </c>
      <c r="W860" s="4">
        <v>45394</v>
      </c>
      <c r="X860" s="4">
        <v>45399</v>
      </c>
      <c r="Y860" t="b">
        <v>0</v>
      </c>
      <c r="Z860" t="s">
        <v>1412</v>
      </c>
      <c r="AA860" t="s">
        <v>1412</v>
      </c>
      <c r="AB860" t="s">
        <v>1412</v>
      </c>
      <c r="AC860" t="s">
        <v>1390</v>
      </c>
      <c r="AD860" t="s">
        <v>1377</v>
      </c>
      <c r="AE860" t="s">
        <v>1378</v>
      </c>
    </row>
    <row r="861" spans="1:31" x14ac:dyDescent="0.3">
      <c r="A861" t="s">
        <v>1041</v>
      </c>
      <c r="B861" s="4">
        <v>45329.623611111107</v>
      </c>
      <c r="C861" t="s">
        <v>368</v>
      </c>
      <c r="D861" t="s">
        <v>1153</v>
      </c>
      <c r="E861" t="s">
        <v>1191</v>
      </c>
      <c r="F861" t="str" cm="1">
        <f t="array" ref="F861">_xlfn.IFS(
E861="Ahmedabad","Gujarat",
E861="Bengaluru","Karnataka",
E861="Bhopal","Madhya Pradesh",
E861="Bhubaneswar","Odisha",
E861="Chandigarh","Chandigarh",
E861="Chennai","Tamil Nadu",
E861="Delhi","Delhi",
E861="Guwahati","Assam",
E861="Hyderabad","Telangana",
E861="Indore","Madhya Pradesh",
E861="Jaipur","Rajasthan",
E861="Kochi","Kerala",
E861="Kolkata","West Bengal",
E861="Lucknow","Uttar Pradesh",
E861="Mumbai","Maharashtra",
E861="Nagpur","Maharashtra",
E861="Patna","Bihar",
E861="Pune","Maharashtra",
E861="Raipur","Chhattisgarh",
E861="Surat","Gujarat",
TRUE,"Not Found"
)</f>
        <v>Madhya Pradesh</v>
      </c>
      <c r="G861" t="s">
        <v>1143</v>
      </c>
      <c r="H861" t="s">
        <v>1167</v>
      </c>
      <c r="I861" t="s">
        <v>1208</v>
      </c>
      <c r="J861" t="s">
        <v>1322</v>
      </c>
      <c r="K861" t="s">
        <v>1323</v>
      </c>
      <c r="L861">
        <v>2</v>
      </c>
      <c r="M861">
        <v>30697</v>
      </c>
      <c r="N861">
        <v>0.2</v>
      </c>
      <c r="O861">
        <v>24557.599999999999</v>
      </c>
      <c r="P861">
        <v>0.12</v>
      </c>
      <c r="Q861">
        <v>49115.199999999997</v>
      </c>
      <c r="R861">
        <v>5893.8240000000014</v>
      </c>
      <c r="S861">
        <v>55009.023999999998</v>
      </c>
      <c r="T861">
        <f>ROUND(Table2[[#This Row],[TotalAmount]],0)</f>
        <v>55009</v>
      </c>
      <c r="U861" t="s">
        <v>1362</v>
      </c>
      <c r="V861" t="s">
        <v>1368</v>
      </c>
      <c r="W861" s="4">
        <v>45331</v>
      </c>
      <c r="X861" s="4" t="s">
        <v>1412</v>
      </c>
      <c r="Y861" t="b">
        <v>0</v>
      </c>
      <c r="Z861" t="s">
        <v>1412</v>
      </c>
      <c r="AA861" t="s">
        <v>1412</v>
      </c>
      <c r="AB861" t="s">
        <v>1412</v>
      </c>
      <c r="AC861" t="s">
        <v>1384</v>
      </c>
      <c r="AD861" t="s">
        <v>1377</v>
      </c>
      <c r="AE861" t="s">
        <v>1378</v>
      </c>
    </row>
    <row r="862" spans="1:31" x14ac:dyDescent="0.3">
      <c r="A862" t="s">
        <v>1042</v>
      </c>
      <c r="B862" s="4">
        <v>45590.54791666667</v>
      </c>
      <c r="C862" t="s">
        <v>462</v>
      </c>
      <c r="D862" t="s">
        <v>1148</v>
      </c>
      <c r="E862" t="s">
        <v>1149</v>
      </c>
      <c r="F862" t="str" cm="1">
        <f t="array" ref="F862">_xlfn.IFS(
E862="Ahmedabad","Gujarat",
E862="Bengaluru","Karnataka",
E862="Bhopal","Madhya Pradesh",
E862="Bhubaneswar","Odisha",
E862="Chandigarh","Chandigarh",
E862="Chennai","Tamil Nadu",
E862="Delhi","Delhi",
E862="Guwahati","Assam",
E862="Hyderabad","Telangana",
E862="Indore","Madhya Pradesh",
E862="Jaipur","Rajasthan",
E862="Kochi","Kerala",
E862="Kolkata","West Bengal",
E862="Lucknow","Uttar Pradesh",
E862="Mumbai","Maharashtra",
E862="Nagpur","Maharashtra",
E862="Patna","Bihar",
E862="Pune","Maharashtra",
E862="Raipur","Chhattisgarh",
E862="Surat","Gujarat",
TRUE,"Not Found"
)</f>
        <v>Uttar Pradesh</v>
      </c>
      <c r="G862" t="s">
        <v>1187</v>
      </c>
      <c r="H862" t="s">
        <v>1144</v>
      </c>
      <c r="I862" t="s">
        <v>1276</v>
      </c>
      <c r="J862" t="s">
        <v>1307</v>
      </c>
      <c r="K862" t="s">
        <v>1308</v>
      </c>
      <c r="L862">
        <v>2</v>
      </c>
      <c r="M862">
        <v>9886</v>
      </c>
      <c r="N862">
        <v>0</v>
      </c>
      <c r="O862">
        <v>9886</v>
      </c>
      <c r="P862">
        <v>0.05</v>
      </c>
      <c r="Q862">
        <v>19772</v>
      </c>
      <c r="R862">
        <v>988.6</v>
      </c>
      <c r="S862">
        <v>20760.599999999999</v>
      </c>
      <c r="T862">
        <f>ROUND(Table2[[#This Row],[TotalAmount]],0)</f>
        <v>20761</v>
      </c>
      <c r="U862" t="s">
        <v>1366</v>
      </c>
      <c r="V862" t="s">
        <v>1361</v>
      </c>
      <c r="W862" s="4">
        <v>45591</v>
      </c>
      <c r="X862" s="4">
        <v>45596</v>
      </c>
      <c r="Y862" t="b">
        <v>0</v>
      </c>
      <c r="Z862" t="s">
        <v>1412</v>
      </c>
      <c r="AA862" t="s">
        <v>1412</v>
      </c>
      <c r="AB862" t="s">
        <v>1412</v>
      </c>
      <c r="AC862" t="s">
        <v>1388</v>
      </c>
      <c r="AD862" t="s">
        <v>1397</v>
      </c>
      <c r="AE862" t="s">
        <v>1395</v>
      </c>
    </row>
    <row r="863" spans="1:31" x14ac:dyDescent="0.3">
      <c r="A863" t="s">
        <v>1043</v>
      </c>
      <c r="B863" s="4">
        <v>45341.547222222223</v>
      </c>
      <c r="C863" t="s">
        <v>227</v>
      </c>
      <c r="D863" t="s">
        <v>1153</v>
      </c>
      <c r="E863" t="s">
        <v>1154</v>
      </c>
      <c r="F863" t="str" cm="1">
        <f t="array" ref="F863">_xlfn.IFS(
E863="Ahmedabad","Gujarat",
E863="Bengaluru","Karnataka",
E863="Bhopal","Madhya Pradesh",
E863="Bhubaneswar","Odisha",
E863="Chandigarh","Chandigarh",
E863="Chennai","Tamil Nadu",
E863="Delhi","Delhi",
E863="Guwahati","Assam",
E863="Hyderabad","Telangana",
E863="Indore","Madhya Pradesh",
E863="Jaipur","Rajasthan",
E863="Kochi","Kerala",
E863="Kolkata","West Bengal",
E863="Lucknow","Uttar Pradesh",
E863="Mumbai","Maharashtra",
E863="Nagpur","Maharashtra",
E863="Patna","Bihar",
E863="Pune","Maharashtra",
E863="Raipur","Chhattisgarh",
E863="Surat","Gujarat",
TRUE,"Not Found"
)</f>
        <v>Maharashtra</v>
      </c>
      <c r="G863" t="s">
        <v>1150</v>
      </c>
      <c r="H863" t="s">
        <v>1172</v>
      </c>
      <c r="I863" t="s">
        <v>1188</v>
      </c>
      <c r="J863" t="s">
        <v>1232</v>
      </c>
      <c r="K863" t="s">
        <v>1233</v>
      </c>
      <c r="L863">
        <v>1</v>
      </c>
      <c r="M863">
        <v>5005</v>
      </c>
      <c r="N863">
        <v>0</v>
      </c>
      <c r="O863">
        <v>5005</v>
      </c>
      <c r="P863">
        <v>0.12</v>
      </c>
      <c r="Q863">
        <v>5005</v>
      </c>
      <c r="R863">
        <v>600.6</v>
      </c>
      <c r="S863">
        <v>5605.6</v>
      </c>
      <c r="T863">
        <f>ROUND(Table2[[#This Row],[TotalAmount]],0)</f>
        <v>5606</v>
      </c>
      <c r="U863" t="s">
        <v>1363</v>
      </c>
      <c r="V863" t="s">
        <v>1361</v>
      </c>
      <c r="W863" s="4">
        <v>45342</v>
      </c>
      <c r="X863" s="4">
        <v>45344</v>
      </c>
      <c r="Y863" t="b">
        <v>0</v>
      </c>
      <c r="Z863" t="s">
        <v>1412</v>
      </c>
      <c r="AA863" t="s">
        <v>1412</v>
      </c>
      <c r="AB863" t="s">
        <v>1412</v>
      </c>
      <c r="AC863" t="s">
        <v>1390</v>
      </c>
      <c r="AD863" t="s">
        <v>1400</v>
      </c>
      <c r="AE863" t="s">
        <v>1393</v>
      </c>
    </row>
    <row r="864" spans="1:31" x14ac:dyDescent="0.3">
      <c r="A864" t="s">
        <v>1044</v>
      </c>
      <c r="B864" s="4">
        <v>45747.554166666669</v>
      </c>
      <c r="C864" t="s">
        <v>296</v>
      </c>
      <c r="D864" t="s">
        <v>1157</v>
      </c>
      <c r="E864" t="s">
        <v>1181</v>
      </c>
      <c r="F864" t="str" cm="1">
        <f t="array" ref="F864">_xlfn.IFS(
E864="Ahmedabad","Gujarat",
E864="Bengaluru","Karnataka",
E864="Bhopal","Madhya Pradesh",
E864="Bhubaneswar","Odisha",
E864="Chandigarh","Chandigarh",
E864="Chennai","Tamil Nadu",
E864="Delhi","Delhi",
E864="Guwahati","Assam",
E864="Hyderabad","Telangana",
E864="Indore","Madhya Pradesh",
E864="Jaipur","Rajasthan",
E864="Kochi","Kerala",
E864="Kolkata","West Bengal",
E864="Lucknow","Uttar Pradesh",
E864="Mumbai","Maharashtra",
E864="Nagpur","Maharashtra",
E864="Patna","Bihar",
E864="Pune","Maharashtra",
E864="Raipur","Chhattisgarh",
E864="Surat","Gujarat",
TRUE,"Not Found"
)</f>
        <v>Gujarat</v>
      </c>
      <c r="G864" t="s">
        <v>1150</v>
      </c>
      <c r="H864" t="s">
        <v>1172</v>
      </c>
      <c r="I864" t="s">
        <v>1198</v>
      </c>
      <c r="J864" t="s">
        <v>1199</v>
      </c>
      <c r="K864" t="s">
        <v>1200</v>
      </c>
      <c r="L864">
        <v>4</v>
      </c>
      <c r="M864">
        <v>7098</v>
      </c>
      <c r="N864">
        <v>0.05</v>
      </c>
      <c r="O864">
        <v>6743.0999999999995</v>
      </c>
      <c r="P864">
        <v>0.12</v>
      </c>
      <c r="Q864">
        <v>26972.400000000001</v>
      </c>
      <c r="R864">
        <v>3236.6880000000001</v>
      </c>
      <c r="S864">
        <v>30209.088</v>
      </c>
      <c r="T864">
        <f>ROUND(Table2[[#This Row],[TotalAmount]],0)</f>
        <v>30209</v>
      </c>
      <c r="U864" t="s">
        <v>1365</v>
      </c>
      <c r="V864" t="s">
        <v>1361</v>
      </c>
      <c r="W864" s="4">
        <v>45747</v>
      </c>
      <c r="X864" s="4">
        <v>45752</v>
      </c>
      <c r="Y864" t="b">
        <v>0</v>
      </c>
      <c r="Z864" t="s">
        <v>1412</v>
      </c>
      <c r="AA864" t="s">
        <v>1412</v>
      </c>
      <c r="AB864" t="s">
        <v>1412</v>
      </c>
      <c r="AC864" t="s">
        <v>1390</v>
      </c>
      <c r="AD864" t="s">
        <v>1394</v>
      </c>
      <c r="AE864" t="s">
        <v>1389</v>
      </c>
    </row>
    <row r="865" spans="1:31" x14ac:dyDescent="0.3">
      <c r="A865" t="s">
        <v>1045</v>
      </c>
      <c r="B865" s="4">
        <v>45668.519444444442</v>
      </c>
      <c r="C865" t="s">
        <v>407</v>
      </c>
      <c r="D865" t="s">
        <v>1157</v>
      </c>
      <c r="E865" t="s">
        <v>1158</v>
      </c>
      <c r="F865" t="str" cm="1">
        <f t="array" ref="F865">_xlfn.IFS(
E865="Ahmedabad","Gujarat",
E865="Bengaluru","Karnataka",
E865="Bhopal","Madhya Pradesh",
E865="Bhubaneswar","Odisha",
E865="Chandigarh","Chandigarh",
E865="Chennai","Tamil Nadu",
E865="Delhi","Delhi",
E865="Guwahati","Assam",
E865="Hyderabad","Telangana",
E865="Indore","Madhya Pradesh",
E865="Jaipur","Rajasthan",
E865="Kochi","Kerala",
E865="Kolkata","West Bengal",
E865="Lucknow","Uttar Pradesh",
E865="Mumbai","Maharashtra",
E865="Nagpur","Maharashtra",
E865="Patna","Bihar",
E865="Pune","Maharashtra",
E865="Raipur","Chhattisgarh",
E865="Surat","Gujarat",
TRUE,"Not Found"
)</f>
        <v>Gujarat</v>
      </c>
      <c r="G865" t="s">
        <v>1143</v>
      </c>
      <c r="H865" t="s">
        <v>1163</v>
      </c>
      <c r="I865" t="s">
        <v>1224</v>
      </c>
      <c r="J865" t="s">
        <v>1316</v>
      </c>
      <c r="K865" t="s">
        <v>1317</v>
      </c>
      <c r="L865">
        <v>3</v>
      </c>
      <c r="M865">
        <v>613</v>
      </c>
      <c r="N865">
        <v>0.05</v>
      </c>
      <c r="O865">
        <v>582.35</v>
      </c>
      <c r="P865">
        <v>0.05</v>
      </c>
      <c r="Q865">
        <v>1747.05</v>
      </c>
      <c r="R865">
        <v>87.35250000000002</v>
      </c>
      <c r="S865">
        <v>1834.4024999999999</v>
      </c>
      <c r="T865">
        <f>ROUND(Table2[[#This Row],[TotalAmount]],0)</f>
        <v>1834</v>
      </c>
      <c r="U865" t="s">
        <v>1366</v>
      </c>
      <c r="V865" t="s">
        <v>1361</v>
      </c>
      <c r="W865" s="4">
        <v>45668</v>
      </c>
      <c r="X865" s="4">
        <v>45671</v>
      </c>
      <c r="Y865" t="b">
        <v>0</v>
      </c>
      <c r="Z865" t="s">
        <v>1412</v>
      </c>
      <c r="AA865" t="s">
        <v>1412</v>
      </c>
      <c r="AB865" t="s">
        <v>1412</v>
      </c>
      <c r="AC865" t="s">
        <v>1382</v>
      </c>
      <c r="AD865" t="s">
        <v>1385</v>
      </c>
      <c r="AE865" t="s">
        <v>1395</v>
      </c>
    </row>
    <row r="866" spans="1:31" x14ac:dyDescent="0.3">
      <c r="A866" t="s">
        <v>1046</v>
      </c>
      <c r="B866" s="4">
        <v>45646.438194444447</v>
      </c>
      <c r="C866" t="s">
        <v>12</v>
      </c>
      <c r="D866" t="s">
        <v>1153</v>
      </c>
      <c r="E866" t="s">
        <v>1162</v>
      </c>
      <c r="F866" t="str" cm="1">
        <f t="array" ref="F866">_xlfn.IFS(
E866="Ahmedabad","Gujarat",
E866="Bengaluru","Karnataka",
E866="Bhopal","Madhya Pradesh",
E866="Bhubaneswar","Odisha",
E866="Chandigarh","Chandigarh",
E866="Chennai","Tamil Nadu",
E866="Delhi","Delhi",
E866="Guwahati","Assam",
E866="Hyderabad","Telangana",
E866="Indore","Madhya Pradesh",
E866="Jaipur","Rajasthan",
E866="Kochi","Kerala",
E866="Kolkata","West Bengal",
E866="Lucknow","Uttar Pradesh",
E866="Mumbai","Maharashtra",
E866="Nagpur","Maharashtra",
E866="Patna","Bihar",
E866="Pune","Maharashtra",
E866="Raipur","Chhattisgarh",
E866="Surat","Gujarat",
TRUE,"Not Found"
)</f>
        <v>Madhya Pradesh</v>
      </c>
      <c r="G866" t="s">
        <v>1150</v>
      </c>
      <c r="H866" t="s">
        <v>1144</v>
      </c>
      <c r="I866" t="s">
        <v>1214</v>
      </c>
      <c r="J866" t="s">
        <v>1320</v>
      </c>
      <c r="K866" t="s">
        <v>1321</v>
      </c>
      <c r="L866">
        <v>2</v>
      </c>
      <c r="M866">
        <v>8811</v>
      </c>
      <c r="N866">
        <v>0.05</v>
      </c>
      <c r="O866">
        <v>8370.4499999999989</v>
      </c>
      <c r="P866">
        <v>0.18</v>
      </c>
      <c r="Q866">
        <v>16740.900000000001</v>
      </c>
      <c r="R866">
        <v>3013.3620000000001</v>
      </c>
      <c r="S866">
        <v>19754.261999999999</v>
      </c>
      <c r="T866">
        <f>ROUND(Table2[[#This Row],[TotalAmount]],0)</f>
        <v>19754</v>
      </c>
      <c r="U866" t="s">
        <v>1362</v>
      </c>
      <c r="V866" t="s">
        <v>1369</v>
      </c>
      <c r="W866" s="4" t="s">
        <v>1412</v>
      </c>
      <c r="X866" s="4" t="s">
        <v>1412</v>
      </c>
      <c r="Y866" t="b">
        <v>0</v>
      </c>
      <c r="Z866" t="s">
        <v>1412</v>
      </c>
      <c r="AA866" t="s">
        <v>1412</v>
      </c>
      <c r="AB866" t="s">
        <v>1412</v>
      </c>
      <c r="AC866" t="s">
        <v>1388</v>
      </c>
      <c r="AD866" t="s">
        <v>1400</v>
      </c>
      <c r="AE866" t="s">
        <v>1393</v>
      </c>
    </row>
    <row r="867" spans="1:31" x14ac:dyDescent="0.3">
      <c r="A867" t="s">
        <v>1047</v>
      </c>
      <c r="B867" s="4">
        <v>45729.553472222222</v>
      </c>
      <c r="C867" t="s">
        <v>130</v>
      </c>
      <c r="D867" t="s">
        <v>1153</v>
      </c>
      <c r="E867" t="s">
        <v>1176</v>
      </c>
      <c r="F867" t="str" cm="1">
        <f t="array" ref="F867">_xlfn.IFS(
E867="Ahmedabad","Gujarat",
E867="Bengaluru","Karnataka",
E867="Bhopal","Madhya Pradesh",
E867="Bhubaneswar","Odisha",
E867="Chandigarh","Chandigarh",
E867="Chennai","Tamil Nadu",
E867="Delhi","Delhi",
E867="Guwahati","Assam",
E867="Hyderabad","Telangana",
E867="Indore","Madhya Pradesh",
E867="Jaipur","Rajasthan",
E867="Kochi","Kerala",
E867="Kolkata","West Bengal",
E867="Lucknow","Uttar Pradesh",
E867="Mumbai","Maharashtra",
E867="Nagpur","Maharashtra",
E867="Patna","Bihar",
E867="Pune","Maharashtra",
E867="Raipur","Chhattisgarh",
E867="Surat","Gujarat",
TRUE,"Not Found"
)</f>
        <v>Chhattisgarh</v>
      </c>
      <c r="G867" t="s">
        <v>1143</v>
      </c>
      <c r="H867" t="s">
        <v>1163</v>
      </c>
      <c r="I867" t="s">
        <v>1266</v>
      </c>
      <c r="J867" t="s">
        <v>1267</v>
      </c>
      <c r="K867" t="s">
        <v>1268</v>
      </c>
      <c r="L867">
        <v>1</v>
      </c>
      <c r="M867">
        <v>461</v>
      </c>
      <c r="N867">
        <v>0.2</v>
      </c>
      <c r="O867">
        <v>368.8</v>
      </c>
      <c r="P867">
        <v>0.18</v>
      </c>
      <c r="Q867">
        <v>368.8</v>
      </c>
      <c r="R867">
        <v>66.384</v>
      </c>
      <c r="S867">
        <v>435.18400000000003</v>
      </c>
      <c r="T867">
        <f>ROUND(Table2[[#This Row],[TotalAmount]],0)</f>
        <v>435</v>
      </c>
      <c r="U867" t="s">
        <v>1363</v>
      </c>
      <c r="V867" t="s">
        <v>1361</v>
      </c>
      <c r="W867" s="4">
        <v>45729</v>
      </c>
      <c r="X867" s="4">
        <v>45731</v>
      </c>
      <c r="Y867" t="b">
        <v>0</v>
      </c>
      <c r="Z867" t="s">
        <v>1412</v>
      </c>
      <c r="AA867" t="s">
        <v>1412</v>
      </c>
      <c r="AB867" t="s">
        <v>1412</v>
      </c>
      <c r="AC867" t="s">
        <v>1396</v>
      </c>
      <c r="AD867" t="s">
        <v>1394</v>
      </c>
      <c r="AE867" t="s">
        <v>1395</v>
      </c>
    </row>
    <row r="868" spans="1:31" x14ac:dyDescent="0.3">
      <c r="A868" t="s">
        <v>1048</v>
      </c>
      <c r="B868" s="4">
        <v>45625.48541666667</v>
      </c>
      <c r="C868" t="s">
        <v>421</v>
      </c>
      <c r="D868" t="s">
        <v>1182</v>
      </c>
      <c r="E868" t="s">
        <v>1207</v>
      </c>
      <c r="F868" t="str" cm="1">
        <f t="array" ref="F868">_xlfn.IFS(
E868="Ahmedabad","Gujarat",
E868="Bengaluru","Karnataka",
E868="Bhopal","Madhya Pradesh",
E868="Bhubaneswar","Odisha",
E868="Chandigarh","Chandigarh",
E868="Chennai","Tamil Nadu",
E868="Delhi","Delhi",
E868="Guwahati","Assam",
E868="Hyderabad","Telangana",
E868="Indore","Madhya Pradesh",
E868="Jaipur","Rajasthan",
E868="Kochi","Kerala",
E868="Kolkata","West Bengal",
E868="Lucknow","Uttar Pradesh",
E868="Mumbai","Maharashtra",
E868="Nagpur","Maharashtra",
E868="Patna","Bihar",
E868="Pune","Maharashtra",
E868="Raipur","Chhattisgarh",
E868="Surat","Gujarat",
TRUE,"Not Found"
)</f>
        <v>Tamil Nadu</v>
      </c>
      <c r="G868" t="s">
        <v>1143</v>
      </c>
      <c r="H868" t="s">
        <v>1172</v>
      </c>
      <c r="I868" t="s">
        <v>1188</v>
      </c>
      <c r="J868" t="s">
        <v>1232</v>
      </c>
      <c r="K868" t="s">
        <v>1233</v>
      </c>
      <c r="L868">
        <v>3</v>
      </c>
      <c r="M868">
        <v>657</v>
      </c>
      <c r="N868">
        <v>0.1</v>
      </c>
      <c r="O868">
        <v>591.30000000000007</v>
      </c>
      <c r="P868">
        <v>0.12</v>
      </c>
      <c r="Q868">
        <v>1773.9</v>
      </c>
      <c r="R868">
        <v>212.86799999999999</v>
      </c>
      <c r="S868">
        <v>1986.768</v>
      </c>
      <c r="T868">
        <f>ROUND(Table2[[#This Row],[TotalAmount]],0)</f>
        <v>1987</v>
      </c>
      <c r="U868" t="s">
        <v>1360</v>
      </c>
      <c r="V868" t="s">
        <v>1361</v>
      </c>
      <c r="W868" s="4">
        <v>45626</v>
      </c>
      <c r="X868" s="4">
        <v>45627</v>
      </c>
      <c r="Y868" t="b">
        <v>0</v>
      </c>
      <c r="Z868" t="s">
        <v>1412</v>
      </c>
      <c r="AA868" t="s">
        <v>1412</v>
      </c>
      <c r="AB868" t="s">
        <v>1412</v>
      </c>
      <c r="AC868" t="s">
        <v>1379</v>
      </c>
      <c r="AD868" t="s">
        <v>1400</v>
      </c>
      <c r="AE868" t="s">
        <v>1380</v>
      </c>
    </row>
    <row r="869" spans="1:31" x14ac:dyDescent="0.3">
      <c r="A869" t="s">
        <v>1049</v>
      </c>
      <c r="B869" s="4">
        <v>45317.556250000001</v>
      </c>
      <c r="C869" t="s">
        <v>318</v>
      </c>
      <c r="D869" t="s">
        <v>1153</v>
      </c>
      <c r="E869" t="s">
        <v>1176</v>
      </c>
      <c r="F869" t="str" cm="1">
        <f t="array" ref="F869">_xlfn.IFS(
E869="Ahmedabad","Gujarat",
E869="Bengaluru","Karnataka",
E869="Bhopal","Madhya Pradesh",
E869="Bhubaneswar","Odisha",
E869="Chandigarh","Chandigarh",
E869="Chennai","Tamil Nadu",
E869="Delhi","Delhi",
E869="Guwahati","Assam",
E869="Hyderabad","Telangana",
E869="Indore","Madhya Pradesh",
E869="Jaipur","Rajasthan",
E869="Kochi","Kerala",
E869="Kolkata","West Bengal",
E869="Lucknow","Uttar Pradesh",
E869="Mumbai","Maharashtra",
E869="Nagpur","Maharashtra",
E869="Patna","Bihar",
E869="Pune","Maharashtra",
E869="Raipur","Chhattisgarh",
E869="Surat","Gujarat",
TRUE,"Not Found"
)</f>
        <v>Chhattisgarh</v>
      </c>
      <c r="G869" t="s">
        <v>1187</v>
      </c>
      <c r="H869" t="s">
        <v>1144</v>
      </c>
      <c r="I869" t="s">
        <v>1269</v>
      </c>
      <c r="J869" t="s">
        <v>1301</v>
      </c>
      <c r="K869" t="s">
        <v>1302</v>
      </c>
      <c r="L869">
        <v>3</v>
      </c>
      <c r="M869">
        <v>3275</v>
      </c>
      <c r="N869">
        <v>0.15</v>
      </c>
      <c r="O869">
        <v>2783.75</v>
      </c>
      <c r="P869">
        <v>0.12</v>
      </c>
      <c r="Q869">
        <v>8351.25</v>
      </c>
      <c r="R869">
        <v>1002.15</v>
      </c>
      <c r="S869">
        <v>9353.4</v>
      </c>
      <c r="T869">
        <f>ROUND(Table2[[#This Row],[TotalAmount]],0)</f>
        <v>9353</v>
      </c>
      <c r="U869" t="s">
        <v>1360</v>
      </c>
      <c r="V869" t="s">
        <v>1361</v>
      </c>
      <c r="W869" s="4">
        <v>45317</v>
      </c>
      <c r="X869" s="4">
        <v>45321</v>
      </c>
      <c r="Y869" t="b">
        <v>0</v>
      </c>
      <c r="Z869" t="s">
        <v>1412</v>
      </c>
      <c r="AA869" t="s">
        <v>1412</v>
      </c>
      <c r="AB869" t="s">
        <v>1412</v>
      </c>
      <c r="AC869" t="s">
        <v>1396</v>
      </c>
      <c r="AD869" t="s">
        <v>1397</v>
      </c>
      <c r="AE869" t="s">
        <v>1380</v>
      </c>
    </row>
    <row r="870" spans="1:31" x14ac:dyDescent="0.3">
      <c r="A870" t="s">
        <v>1050</v>
      </c>
      <c r="B870" s="4">
        <v>45331.536805555559</v>
      </c>
      <c r="C870" t="s">
        <v>545</v>
      </c>
      <c r="D870" t="s">
        <v>1148</v>
      </c>
      <c r="E870" t="s">
        <v>1171</v>
      </c>
      <c r="F870" t="str" cm="1">
        <f t="array" ref="F870">_xlfn.IFS(
E870="Ahmedabad","Gujarat",
E870="Bengaluru","Karnataka",
E870="Bhopal","Madhya Pradesh",
E870="Bhubaneswar","Odisha",
E870="Chandigarh","Chandigarh",
E870="Chennai","Tamil Nadu",
E870="Delhi","Delhi",
E870="Guwahati","Assam",
E870="Hyderabad","Telangana",
E870="Indore","Madhya Pradesh",
E870="Jaipur","Rajasthan",
E870="Kochi","Kerala",
E870="Kolkata","West Bengal",
E870="Lucknow","Uttar Pradesh",
E870="Mumbai","Maharashtra",
E870="Nagpur","Maharashtra",
E870="Patna","Bihar",
E870="Pune","Maharashtra",
E870="Raipur","Chhattisgarh",
E870="Surat","Gujarat",
TRUE,"Not Found"
)</f>
        <v>Chandigarh</v>
      </c>
      <c r="G870" t="s">
        <v>1143</v>
      </c>
      <c r="H870" t="s">
        <v>1167</v>
      </c>
      <c r="I870" t="s">
        <v>1211</v>
      </c>
      <c r="J870" t="s">
        <v>1279</v>
      </c>
      <c r="K870" t="s">
        <v>1280</v>
      </c>
      <c r="L870">
        <v>3</v>
      </c>
      <c r="M870">
        <v>40989</v>
      </c>
      <c r="N870">
        <v>0.1</v>
      </c>
      <c r="O870">
        <v>36890.1</v>
      </c>
      <c r="P870">
        <v>0.05</v>
      </c>
      <c r="Q870">
        <v>110670.3</v>
      </c>
      <c r="R870">
        <v>5533.5149999999994</v>
      </c>
      <c r="S870">
        <v>116203.815</v>
      </c>
      <c r="T870">
        <f>ROUND(Table2[[#This Row],[TotalAmount]],0)</f>
        <v>116204</v>
      </c>
      <c r="U870" t="s">
        <v>1360</v>
      </c>
      <c r="V870" t="s">
        <v>1361</v>
      </c>
      <c r="W870" s="4">
        <v>45332</v>
      </c>
      <c r="X870" s="4">
        <v>45334</v>
      </c>
      <c r="Y870" t="b">
        <v>0</v>
      </c>
      <c r="Z870" t="s">
        <v>1412</v>
      </c>
      <c r="AA870" t="s">
        <v>1412</v>
      </c>
      <c r="AB870" t="s">
        <v>1412</v>
      </c>
      <c r="AC870" t="s">
        <v>1382</v>
      </c>
      <c r="AD870" t="s">
        <v>1394</v>
      </c>
      <c r="AE870" t="s">
        <v>1378</v>
      </c>
    </row>
    <row r="871" spans="1:31" x14ac:dyDescent="0.3">
      <c r="A871" t="s">
        <v>1051</v>
      </c>
      <c r="B871" s="4">
        <v>45518.511111111111</v>
      </c>
      <c r="C871" t="s">
        <v>8</v>
      </c>
      <c r="D871" t="s">
        <v>1153</v>
      </c>
      <c r="E871" t="s">
        <v>1154</v>
      </c>
      <c r="F871" t="str" cm="1">
        <f t="array" ref="F871">_xlfn.IFS(
E871="Ahmedabad","Gujarat",
E871="Bengaluru","Karnataka",
E871="Bhopal","Madhya Pradesh",
E871="Bhubaneswar","Odisha",
E871="Chandigarh","Chandigarh",
E871="Chennai","Tamil Nadu",
E871="Delhi","Delhi",
E871="Guwahati","Assam",
E871="Hyderabad","Telangana",
E871="Indore","Madhya Pradesh",
E871="Jaipur","Rajasthan",
E871="Kochi","Kerala",
E871="Kolkata","West Bengal",
E871="Lucknow","Uttar Pradesh",
E871="Mumbai","Maharashtra",
E871="Nagpur","Maharashtra",
E871="Patna","Bihar",
E871="Pune","Maharashtra",
E871="Raipur","Chhattisgarh",
E871="Surat","Gujarat",
TRUE,"Not Found"
)</f>
        <v>Maharashtra</v>
      </c>
      <c r="G871" t="s">
        <v>1143</v>
      </c>
      <c r="H871" t="s">
        <v>1177</v>
      </c>
      <c r="I871" t="s">
        <v>1236</v>
      </c>
      <c r="J871" t="s">
        <v>1237</v>
      </c>
      <c r="K871" t="s">
        <v>1238</v>
      </c>
      <c r="L871">
        <v>1</v>
      </c>
      <c r="M871">
        <v>1885</v>
      </c>
      <c r="N871">
        <v>0.1</v>
      </c>
      <c r="O871">
        <v>1696.5</v>
      </c>
      <c r="P871">
        <v>0.05</v>
      </c>
      <c r="Q871">
        <v>1696.5</v>
      </c>
      <c r="R871">
        <v>84.825000000000003</v>
      </c>
      <c r="S871">
        <v>1781.325</v>
      </c>
      <c r="T871">
        <f>ROUND(Table2[[#This Row],[TotalAmount]],0)</f>
        <v>1781</v>
      </c>
      <c r="U871" t="s">
        <v>1360</v>
      </c>
      <c r="V871" t="s">
        <v>1369</v>
      </c>
      <c r="W871" s="4" t="s">
        <v>1412</v>
      </c>
      <c r="X871" s="4" t="s">
        <v>1412</v>
      </c>
      <c r="Y871" t="b">
        <v>0</v>
      </c>
      <c r="Z871" t="s">
        <v>1412</v>
      </c>
      <c r="AA871" t="s">
        <v>1412</v>
      </c>
      <c r="AB871" t="s">
        <v>1412</v>
      </c>
      <c r="AC871" t="s">
        <v>1388</v>
      </c>
      <c r="AD871" t="s">
        <v>1397</v>
      </c>
      <c r="AE871" t="s">
        <v>1383</v>
      </c>
    </row>
    <row r="872" spans="1:31" x14ac:dyDescent="0.3">
      <c r="A872" t="s">
        <v>1052</v>
      </c>
      <c r="B872" s="4">
        <v>45725.320833333331</v>
      </c>
      <c r="C872" t="s">
        <v>231</v>
      </c>
      <c r="D872" t="s">
        <v>1157</v>
      </c>
      <c r="E872" t="s">
        <v>1249</v>
      </c>
      <c r="F872" t="str" cm="1">
        <f t="array" ref="F872">_xlfn.IFS(
E872="Ahmedabad","Gujarat",
E872="Bengaluru","Karnataka",
E872="Bhopal","Madhya Pradesh",
E872="Bhubaneswar","Odisha",
E872="Chandigarh","Chandigarh",
E872="Chennai","Tamil Nadu",
E872="Delhi","Delhi",
E872="Guwahati","Assam",
E872="Hyderabad","Telangana",
E872="Indore","Madhya Pradesh",
E872="Jaipur","Rajasthan",
E872="Kochi","Kerala",
E872="Kolkata","West Bengal",
E872="Lucknow","Uttar Pradesh",
E872="Mumbai","Maharashtra",
E872="Nagpur","Maharashtra",
E872="Patna","Bihar",
E872="Pune","Maharashtra",
E872="Raipur","Chhattisgarh",
E872="Surat","Gujarat",
TRUE,"Not Found"
)</f>
        <v>Maharashtra</v>
      </c>
      <c r="G872" t="s">
        <v>1150</v>
      </c>
      <c r="H872" t="s">
        <v>1144</v>
      </c>
      <c r="I872" t="s">
        <v>1214</v>
      </c>
      <c r="J872" t="s">
        <v>1215</v>
      </c>
      <c r="K872" t="s">
        <v>1216</v>
      </c>
      <c r="L872">
        <v>2</v>
      </c>
      <c r="M872">
        <v>4118</v>
      </c>
      <c r="N872">
        <v>0.15</v>
      </c>
      <c r="O872">
        <v>3500.3</v>
      </c>
      <c r="P872">
        <v>0.12</v>
      </c>
      <c r="Q872">
        <v>7000.5999999999995</v>
      </c>
      <c r="R872">
        <v>840.07199999999989</v>
      </c>
      <c r="S872">
        <v>7840.6719999999996</v>
      </c>
      <c r="T872">
        <f>ROUND(Table2[[#This Row],[TotalAmount]],0)</f>
        <v>7841</v>
      </c>
      <c r="U872" t="s">
        <v>1363</v>
      </c>
      <c r="V872" t="s">
        <v>1364</v>
      </c>
      <c r="W872" s="4">
        <v>45727</v>
      </c>
      <c r="X872" s="4" t="s">
        <v>1412</v>
      </c>
      <c r="Y872" t="b">
        <v>1</v>
      </c>
      <c r="Z872" s="1">
        <v>45740</v>
      </c>
      <c r="AA872" s="1">
        <v>45740</v>
      </c>
      <c r="AB872" t="s">
        <v>1404</v>
      </c>
      <c r="AC872" t="s">
        <v>1376</v>
      </c>
      <c r="AD872" t="s">
        <v>1394</v>
      </c>
      <c r="AE872" t="s">
        <v>1393</v>
      </c>
    </row>
    <row r="873" spans="1:31" x14ac:dyDescent="0.3">
      <c r="A873" t="s">
        <v>1053</v>
      </c>
      <c r="B873" s="4">
        <v>45742.527083333327</v>
      </c>
      <c r="C873" t="s">
        <v>73</v>
      </c>
      <c r="D873" t="s">
        <v>1157</v>
      </c>
      <c r="E873" t="s">
        <v>1249</v>
      </c>
      <c r="F873" t="str" cm="1">
        <f t="array" ref="F873">_xlfn.IFS(
E873="Ahmedabad","Gujarat",
E873="Bengaluru","Karnataka",
E873="Bhopal","Madhya Pradesh",
E873="Bhubaneswar","Odisha",
E873="Chandigarh","Chandigarh",
E873="Chennai","Tamil Nadu",
E873="Delhi","Delhi",
E873="Guwahati","Assam",
E873="Hyderabad","Telangana",
E873="Indore","Madhya Pradesh",
E873="Jaipur","Rajasthan",
E873="Kochi","Kerala",
E873="Kolkata","West Bengal",
E873="Lucknow","Uttar Pradesh",
E873="Mumbai","Maharashtra",
E873="Nagpur","Maharashtra",
E873="Patna","Bihar",
E873="Pune","Maharashtra",
E873="Raipur","Chhattisgarh",
E873="Surat","Gujarat",
TRUE,"Not Found"
)</f>
        <v>Maharashtra</v>
      </c>
      <c r="G873" t="s">
        <v>1143</v>
      </c>
      <c r="H873" t="s">
        <v>1167</v>
      </c>
      <c r="I873" t="s">
        <v>1208</v>
      </c>
      <c r="J873" t="s">
        <v>1322</v>
      </c>
      <c r="K873" t="s">
        <v>1323</v>
      </c>
      <c r="L873">
        <v>1</v>
      </c>
      <c r="M873">
        <v>52392</v>
      </c>
      <c r="N873">
        <v>0.05</v>
      </c>
      <c r="O873">
        <v>49772.399999999987</v>
      </c>
      <c r="P873">
        <v>0.12</v>
      </c>
      <c r="Q873">
        <v>49772.399999999987</v>
      </c>
      <c r="R873">
        <v>5972.6879999999992</v>
      </c>
      <c r="S873">
        <v>55745.088000000003</v>
      </c>
      <c r="T873">
        <f>ROUND(Table2[[#This Row],[TotalAmount]],0)</f>
        <v>55745</v>
      </c>
      <c r="U873" t="s">
        <v>1363</v>
      </c>
      <c r="V873" t="s">
        <v>1361</v>
      </c>
      <c r="W873" s="4">
        <v>45742</v>
      </c>
      <c r="X873" s="4">
        <v>45745</v>
      </c>
      <c r="Y873" t="b">
        <v>0</v>
      </c>
      <c r="Z873" t="s">
        <v>1412</v>
      </c>
      <c r="AA873" t="s">
        <v>1412</v>
      </c>
      <c r="AB873" t="s">
        <v>1412</v>
      </c>
      <c r="AC873" t="s">
        <v>1376</v>
      </c>
      <c r="AD873" t="s">
        <v>1394</v>
      </c>
      <c r="AE873" t="s">
        <v>1389</v>
      </c>
    </row>
    <row r="874" spans="1:31" x14ac:dyDescent="0.3">
      <c r="A874" t="s">
        <v>1054</v>
      </c>
      <c r="B874" s="4">
        <v>45467.539583333331</v>
      </c>
      <c r="C874" t="s">
        <v>235</v>
      </c>
      <c r="D874" t="s">
        <v>1157</v>
      </c>
      <c r="E874" t="s">
        <v>1158</v>
      </c>
      <c r="F874" t="str" cm="1">
        <f t="array" ref="F874">_xlfn.IFS(
E874="Ahmedabad","Gujarat",
E874="Bengaluru","Karnataka",
E874="Bhopal","Madhya Pradesh",
E874="Bhubaneswar","Odisha",
E874="Chandigarh","Chandigarh",
E874="Chennai","Tamil Nadu",
E874="Delhi","Delhi",
E874="Guwahati","Assam",
E874="Hyderabad","Telangana",
E874="Indore","Madhya Pradesh",
E874="Jaipur","Rajasthan",
E874="Kochi","Kerala",
E874="Kolkata","West Bengal",
E874="Lucknow","Uttar Pradesh",
E874="Mumbai","Maharashtra",
E874="Nagpur","Maharashtra",
E874="Patna","Bihar",
E874="Pune","Maharashtra",
E874="Raipur","Chhattisgarh",
E874="Surat","Gujarat",
TRUE,"Not Found"
)</f>
        <v>Gujarat</v>
      </c>
      <c r="G874" t="s">
        <v>1143</v>
      </c>
      <c r="H874" t="s">
        <v>1172</v>
      </c>
      <c r="I874" t="s">
        <v>1188</v>
      </c>
      <c r="J874" t="s">
        <v>1258</v>
      </c>
      <c r="K874" t="s">
        <v>1259</v>
      </c>
      <c r="L874">
        <v>3</v>
      </c>
      <c r="M874">
        <v>7085</v>
      </c>
      <c r="N874">
        <v>0.05</v>
      </c>
      <c r="O874">
        <v>6730.75</v>
      </c>
      <c r="P874">
        <v>0.18</v>
      </c>
      <c r="Q874">
        <v>20192.25</v>
      </c>
      <c r="R874">
        <v>3634.605</v>
      </c>
      <c r="S874">
        <v>23826.855</v>
      </c>
      <c r="T874">
        <f>ROUND(Table2[[#This Row],[TotalAmount]],0)</f>
        <v>23827</v>
      </c>
      <c r="U874" t="s">
        <v>1363</v>
      </c>
      <c r="V874" t="s">
        <v>1361</v>
      </c>
      <c r="W874" s="4">
        <v>45469</v>
      </c>
      <c r="X874" s="4">
        <v>45471</v>
      </c>
      <c r="Y874" t="b">
        <v>0</v>
      </c>
      <c r="Z874" t="s">
        <v>1412</v>
      </c>
      <c r="AA874" t="s">
        <v>1412</v>
      </c>
      <c r="AB874" t="s">
        <v>1412</v>
      </c>
      <c r="AC874" t="s">
        <v>1386</v>
      </c>
      <c r="AD874" t="s">
        <v>1385</v>
      </c>
      <c r="AE874" t="s">
        <v>1383</v>
      </c>
    </row>
    <row r="875" spans="1:31" x14ac:dyDescent="0.3">
      <c r="A875" t="s">
        <v>1055</v>
      </c>
      <c r="B875" s="4">
        <v>45469.557638888888</v>
      </c>
      <c r="C875" t="s">
        <v>551</v>
      </c>
      <c r="D875" t="s">
        <v>1157</v>
      </c>
      <c r="E875" t="s">
        <v>1201</v>
      </c>
      <c r="F875" t="str" cm="1">
        <f t="array" ref="F875">_xlfn.IFS(
E875="Ahmedabad","Gujarat",
E875="Bengaluru","Karnataka",
E875="Bhopal","Madhya Pradesh",
E875="Bhubaneswar","Odisha",
E875="Chandigarh","Chandigarh",
E875="Chennai","Tamil Nadu",
E875="Delhi","Delhi",
E875="Guwahati","Assam",
E875="Hyderabad","Telangana",
E875="Indore","Madhya Pradesh",
E875="Jaipur","Rajasthan",
E875="Kochi","Kerala",
E875="Kolkata","West Bengal",
E875="Lucknow","Uttar Pradesh",
E875="Mumbai","Maharashtra",
E875="Nagpur","Maharashtra",
E875="Patna","Bihar",
E875="Pune","Maharashtra",
E875="Raipur","Chhattisgarh",
E875="Surat","Gujarat",
TRUE,"Not Found"
)</f>
        <v>Maharashtra</v>
      </c>
      <c r="G875" t="s">
        <v>1143</v>
      </c>
      <c r="H875" t="s">
        <v>1167</v>
      </c>
      <c r="I875" t="s">
        <v>1208</v>
      </c>
      <c r="J875" t="s">
        <v>1291</v>
      </c>
      <c r="K875" t="s">
        <v>1292</v>
      </c>
      <c r="L875">
        <v>1</v>
      </c>
      <c r="M875">
        <v>32688</v>
      </c>
      <c r="N875">
        <v>0</v>
      </c>
      <c r="O875">
        <v>32688</v>
      </c>
      <c r="P875">
        <v>0.12</v>
      </c>
      <c r="Q875">
        <v>32688</v>
      </c>
      <c r="R875">
        <v>3922.56</v>
      </c>
      <c r="S875">
        <v>36610.559999999998</v>
      </c>
      <c r="T875">
        <f>ROUND(Table2[[#This Row],[TotalAmount]],0)</f>
        <v>36611</v>
      </c>
      <c r="U875" t="s">
        <v>1366</v>
      </c>
      <c r="V875" t="s">
        <v>1361</v>
      </c>
      <c r="W875" s="4">
        <v>45469</v>
      </c>
      <c r="X875" s="4">
        <v>45474</v>
      </c>
      <c r="Y875" t="b">
        <v>0</v>
      </c>
      <c r="Z875" t="s">
        <v>1412</v>
      </c>
      <c r="AA875" t="s">
        <v>1412</v>
      </c>
      <c r="AB875" t="s">
        <v>1412</v>
      </c>
      <c r="AC875" t="s">
        <v>1396</v>
      </c>
      <c r="AD875" t="s">
        <v>1385</v>
      </c>
      <c r="AE875" t="s">
        <v>1380</v>
      </c>
    </row>
    <row r="876" spans="1:31" x14ac:dyDescent="0.3">
      <c r="A876" t="s">
        <v>1056</v>
      </c>
      <c r="B876" s="4">
        <v>45494.648611111108</v>
      </c>
      <c r="C876" t="s">
        <v>176</v>
      </c>
      <c r="D876" t="s">
        <v>1148</v>
      </c>
      <c r="E876" t="s">
        <v>1262</v>
      </c>
      <c r="F876" t="str" cm="1">
        <f t="array" ref="F876">_xlfn.IFS(
E876="Ahmedabad","Gujarat",
E876="Bengaluru","Karnataka",
E876="Bhopal","Madhya Pradesh",
E876="Bhubaneswar","Odisha",
E876="Chandigarh","Chandigarh",
E876="Chennai","Tamil Nadu",
E876="Delhi","Delhi",
E876="Guwahati","Assam",
E876="Hyderabad","Telangana",
E876="Indore","Madhya Pradesh",
E876="Jaipur","Rajasthan",
E876="Kochi","Kerala",
E876="Kolkata","West Bengal",
E876="Lucknow","Uttar Pradesh",
E876="Mumbai","Maharashtra",
E876="Nagpur","Maharashtra",
E876="Patna","Bihar",
E876="Pune","Maharashtra",
E876="Raipur","Chhattisgarh",
E876="Surat","Gujarat",
TRUE,"Not Found"
)</f>
        <v>Rajasthan</v>
      </c>
      <c r="G876" t="s">
        <v>1143</v>
      </c>
      <c r="H876" t="s">
        <v>1163</v>
      </c>
      <c r="I876" t="s">
        <v>1164</v>
      </c>
      <c r="J876" t="s">
        <v>1165</v>
      </c>
      <c r="K876" t="s">
        <v>1166</v>
      </c>
      <c r="L876">
        <v>3</v>
      </c>
      <c r="M876">
        <v>597</v>
      </c>
      <c r="N876">
        <v>0.15</v>
      </c>
      <c r="O876">
        <v>507.45</v>
      </c>
      <c r="P876">
        <v>0.12</v>
      </c>
      <c r="Q876">
        <v>1522.35</v>
      </c>
      <c r="R876">
        <v>182.68199999999999</v>
      </c>
      <c r="S876">
        <v>1705.0319999999999</v>
      </c>
      <c r="T876">
        <f>ROUND(Table2[[#This Row],[TotalAmount]],0)</f>
        <v>1705</v>
      </c>
      <c r="U876" t="s">
        <v>1360</v>
      </c>
      <c r="V876" t="s">
        <v>1369</v>
      </c>
      <c r="W876" s="4" t="s">
        <v>1412</v>
      </c>
      <c r="X876" s="4" t="s">
        <v>1412</v>
      </c>
      <c r="Y876" t="b">
        <v>0</v>
      </c>
      <c r="Z876" t="s">
        <v>1412</v>
      </c>
      <c r="AA876" t="s">
        <v>1412</v>
      </c>
      <c r="AB876" t="s">
        <v>1412</v>
      </c>
      <c r="AC876" t="s">
        <v>1384</v>
      </c>
      <c r="AD876" t="s">
        <v>1377</v>
      </c>
      <c r="AE876" t="s">
        <v>1380</v>
      </c>
    </row>
    <row r="877" spans="1:31" x14ac:dyDescent="0.3">
      <c r="A877" t="s">
        <v>1057</v>
      </c>
      <c r="B877" s="4">
        <v>45346.45208333333</v>
      </c>
      <c r="C877" t="s">
        <v>51</v>
      </c>
      <c r="D877" t="s">
        <v>1141</v>
      </c>
      <c r="E877" t="s">
        <v>1227</v>
      </c>
      <c r="F877" t="str" cm="1">
        <f t="array" ref="F877">_xlfn.IFS(
E877="Ahmedabad","Gujarat",
E877="Bengaluru","Karnataka",
E877="Bhopal","Madhya Pradesh",
E877="Bhubaneswar","Odisha",
E877="Chandigarh","Chandigarh",
E877="Chennai","Tamil Nadu",
E877="Delhi","Delhi",
E877="Guwahati","Assam",
E877="Hyderabad","Telangana",
E877="Indore","Madhya Pradesh",
E877="Jaipur","Rajasthan",
E877="Kochi","Kerala",
E877="Kolkata","West Bengal",
E877="Lucknow","Uttar Pradesh",
E877="Mumbai","Maharashtra",
E877="Nagpur","Maharashtra",
E877="Patna","Bihar",
E877="Pune","Maharashtra",
E877="Raipur","Chhattisgarh",
E877="Surat","Gujarat",
TRUE,"Not Found"
)</f>
        <v>Bihar</v>
      </c>
      <c r="G877" t="s">
        <v>1150</v>
      </c>
      <c r="H877" t="s">
        <v>1167</v>
      </c>
      <c r="I877" t="s">
        <v>1168</v>
      </c>
      <c r="J877" t="s">
        <v>1314</v>
      </c>
      <c r="K877" t="s">
        <v>1315</v>
      </c>
      <c r="L877">
        <v>2</v>
      </c>
      <c r="M877">
        <v>45890</v>
      </c>
      <c r="N877">
        <v>0</v>
      </c>
      <c r="O877">
        <v>45890</v>
      </c>
      <c r="P877">
        <v>0.18</v>
      </c>
      <c r="Q877">
        <v>91780</v>
      </c>
      <c r="R877">
        <v>16520.400000000001</v>
      </c>
      <c r="S877">
        <v>108300.4</v>
      </c>
      <c r="T877">
        <f>ROUND(Table2[[#This Row],[TotalAmount]],0)</f>
        <v>108300</v>
      </c>
      <c r="U877" t="s">
        <v>1360</v>
      </c>
      <c r="V877" t="s">
        <v>1361</v>
      </c>
      <c r="W877" s="4">
        <v>45348</v>
      </c>
      <c r="X877" s="4">
        <v>45349</v>
      </c>
      <c r="Y877" t="b">
        <v>0</v>
      </c>
      <c r="Z877" t="s">
        <v>1412</v>
      </c>
      <c r="AA877" t="s">
        <v>1412</v>
      </c>
      <c r="AB877" t="s">
        <v>1412</v>
      </c>
      <c r="AC877" t="s">
        <v>1390</v>
      </c>
      <c r="AD877" t="s">
        <v>1377</v>
      </c>
      <c r="AE877" t="s">
        <v>1378</v>
      </c>
    </row>
    <row r="878" spans="1:31" x14ac:dyDescent="0.3">
      <c r="A878" t="s">
        <v>1058</v>
      </c>
      <c r="B878" s="4">
        <v>45728.547222222223</v>
      </c>
      <c r="C878" t="s">
        <v>524</v>
      </c>
      <c r="D878" t="s">
        <v>1148</v>
      </c>
      <c r="E878" t="s">
        <v>1149</v>
      </c>
      <c r="F878" t="str" cm="1">
        <f t="array" ref="F878">_xlfn.IFS(
E878="Ahmedabad","Gujarat",
E878="Bengaluru","Karnataka",
E878="Bhopal","Madhya Pradesh",
E878="Bhubaneswar","Odisha",
E878="Chandigarh","Chandigarh",
E878="Chennai","Tamil Nadu",
E878="Delhi","Delhi",
E878="Guwahati","Assam",
E878="Hyderabad","Telangana",
E878="Indore","Madhya Pradesh",
E878="Jaipur","Rajasthan",
E878="Kochi","Kerala",
E878="Kolkata","West Bengal",
E878="Lucknow","Uttar Pradesh",
E878="Mumbai","Maharashtra",
E878="Nagpur","Maharashtra",
E878="Patna","Bihar",
E878="Pune","Maharashtra",
E878="Raipur","Chhattisgarh",
E878="Surat","Gujarat",
TRUE,"Not Found"
)</f>
        <v>Uttar Pradesh</v>
      </c>
      <c r="G878" t="s">
        <v>1143</v>
      </c>
      <c r="H878" t="s">
        <v>1172</v>
      </c>
      <c r="I878" t="s">
        <v>1198</v>
      </c>
      <c r="J878" t="s">
        <v>1250</v>
      </c>
      <c r="K878" t="s">
        <v>1251</v>
      </c>
      <c r="L878">
        <v>1</v>
      </c>
      <c r="M878">
        <v>2562</v>
      </c>
      <c r="N878">
        <v>0.15</v>
      </c>
      <c r="O878">
        <v>2177.6999999999998</v>
      </c>
      <c r="P878">
        <v>0.05</v>
      </c>
      <c r="Q878">
        <v>2177.6999999999998</v>
      </c>
      <c r="R878">
        <v>108.88500000000001</v>
      </c>
      <c r="S878">
        <v>2286.585</v>
      </c>
      <c r="T878">
        <f>ROUND(Table2[[#This Row],[TotalAmount]],0)</f>
        <v>2287</v>
      </c>
      <c r="U878" t="s">
        <v>1360</v>
      </c>
      <c r="V878" t="s">
        <v>1361</v>
      </c>
      <c r="W878" s="4">
        <v>45729</v>
      </c>
      <c r="X878" s="4">
        <v>45733</v>
      </c>
      <c r="Y878" t="b">
        <v>0</v>
      </c>
      <c r="Z878" t="s">
        <v>1412</v>
      </c>
      <c r="AA878" t="s">
        <v>1412</v>
      </c>
      <c r="AB878" t="s">
        <v>1412</v>
      </c>
      <c r="AC878" t="s">
        <v>1390</v>
      </c>
      <c r="AD878" t="s">
        <v>1385</v>
      </c>
      <c r="AE878" t="s">
        <v>1389</v>
      </c>
    </row>
    <row r="879" spans="1:31" x14ac:dyDescent="0.3">
      <c r="A879" t="s">
        <v>1059</v>
      </c>
      <c r="B879" s="4">
        <v>45693.588194444441</v>
      </c>
      <c r="C879" t="s">
        <v>86</v>
      </c>
      <c r="D879" t="s">
        <v>1182</v>
      </c>
      <c r="E879" t="s">
        <v>1207</v>
      </c>
      <c r="F879" t="str" cm="1">
        <f t="array" ref="F879">_xlfn.IFS(
E879="Ahmedabad","Gujarat",
E879="Bengaluru","Karnataka",
E879="Bhopal","Madhya Pradesh",
E879="Bhubaneswar","Odisha",
E879="Chandigarh","Chandigarh",
E879="Chennai","Tamil Nadu",
E879="Delhi","Delhi",
E879="Guwahati","Assam",
E879="Hyderabad","Telangana",
E879="Indore","Madhya Pradesh",
E879="Jaipur","Rajasthan",
E879="Kochi","Kerala",
E879="Kolkata","West Bengal",
E879="Lucknow","Uttar Pradesh",
E879="Mumbai","Maharashtra",
E879="Nagpur","Maharashtra",
E879="Patna","Bihar",
E879="Pune","Maharashtra",
E879="Raipur","Chhattisgarh",
E879="Surat","Gujarat",
TRUE,"Not Found"
)</f>
        <v>Tamil Nadu</v>
      </c>
      <c r="G879" t="s">
        <v>1143</v>
      </c>
      <c r="H879" t="s">
        <v>1167</v>
      </c>
      <c r="I879" t="s">
        <v>1211</v>
      </c>
      <c r="J879" t="s">
        <v>1279</v>
      </c>
      <c r="K879" t="s">
        <v>1280</v>
      </c>
      <c r="L879">
        <v>2</v>
      </c>
      <c r="M879">
        <v>58689</v>
      </c>
      <c r="N879">
        <v>0</v>
      </c>
      <c r="O879">
        <v>58689</v>
      </c>
      <c r="P879">
        <v>0.12</v>
      </c>
      <c r="Q879">
        <v>117378</v>
      </c>
      <c r="R879">
        <v>14085.36</v>
      </c>
      <c r="S879">
        <v>131463.35999999999</v>
      </c>
      <c r="T879">
        <f>ROUND(Table2[[#This Row],[TotalAmount]],0)</f>
        <v>131463</v>
      </c>
      <c r="U879" t="s">
        <v>1363</v>
      </c>
      <c r="V879" t="s">
        <v>1361</v>
      </c>
      <c r="W879" s="4">
        <v>45695</v>
      </c>
      <c r="X879" s="4">
        <v>45698</v>
      </c>
      <c r="Y879" t="b">
        <v>0</v>
      </c>
      <c r="Z879" t="s">
        <v>1412</v>
      </c>
      <c r="AA879" t="s">
        <v>1412</v>
      </c>
      <c r="AB879" t="s">
        <v>1412</v>
      </c>
      <c r="AC879" t="s">
        <v>1384</v>
      </c>
      <c r="AD879" t="s">
        <v>1377</v>
      </c>
      <c r="AE879" t="s">
        <v>1393</v>
      </c>
    </row>
    <row r="880" spans="1:31" x14ac:dyDescent="0.3">
      <c r="A880" t="s">
        <v>1060</v>
      </c>
      <c r="B880" s="4">
        <v>45346.602083333331</v>
      </c>
      <c r="C880" t="s">
        <v>73</v>
      </c>
      <c r="D880" t="s">
        <v>1157</v>
      </c>
      <c r="E880" t="s">
        <v>1249</v>
      </c>
      <c r="F880" t="str" cm="1">
        <f t="array" ref="F880">_xlfn.IFS(
E880="Ahmedabad","Gujarat",
E880="Bengaluru","Karnataka",
E880="Bhopal","Madhya Pradesh",
E880="Bhubaneswar","Odisha",
E880="Chandigarh","Chandigarh",
E880="Chennai","Tamil Nadu",
E880="Delhi","Delhi",
E880="Guwahati","Assam",
E880="Hyderabad","Telangana",
E880="Indore","Madhya Pradesh",
E880="Jaipur","Rajasthan",
E880="Kochi","Kerala",
E880="Kolkata","West Bengal",
E880="Lucknow","Uttar Pradesh",
E880="Mumbai","Maharashtra",
E880="Nagpur","Maharashtra",
E880="Patna","Bihar",
E880="Pune","Maharashtra",
E880="Raipur","Chhattisgarh",
E880="Surat","Gujarat",
TRUE,"Not Found"
)</f>
        <v>Maharashtra</v>
      </c>
      <c r="G880" t="s">
        <v>1143</v>
      </c>
      <c r="H880" t="s">
        <v>1167</v>
      </c>
      <c r="I880" t="s">
        <v>1263</v>
      </c>
      <c r="J880" t="s">
        <v>1346</v>
      </c>
      <c r="K880" t="s">
        <v>1347</v>
      </c>
      <c r="L880">
        <v>2</v>
      </c>
      <c r="M880">
        <v>43913</v>
      </c>
      <c r="N880">
        <v>0.05</v>
      </c>
      <c r="O880">
        <v>41717.35</v>
      </c>
      <c r="P880">
        <v>0.12</v>
      </c>
      <c r="Q880">
        <v>83434.7</v>
      </c>
      <c r="R880">
        <v>10012.164000000001</v>
      </c>
      <c r="S880">
        <v>93446.864000000001</v>
      </c>
      <c r="T880">
        <f>ROUND(Table2[[#This Row],[TotalAmount]],0)</f>
        <v>93447</v>
      </c>
      <c r="U880" t="s">
        <v>1363</v>
      </c>
      <c r="V880" t="s">
        <v>1361</v>
      </c>
      <c r="W880" s="4">
        <v>45346</v>
      </c>
      <c r="X880" s="4">
        <v>45349</v>
      </c>
      <c r="Y880" t="b">
        <v>0</v>
      </c>
      <c r="Z880" t="s">
        <v>1412</v>
      </c>
      <c r="AA880" t="s">
        <v>1412</v>
      </c>
      <c r="AB880" t="s">
        <v>1412</v>
      </c>
      <c r="AC880" t="s">
        <v>1398</v>
      </c>
      <c r="AD880" t="s">
        <v>1400</v>
      </c>
      <c r="AE880" t="s">
        <v>1389</v>
      </c>
    </row>
    <row r="881" spans="1:31" x14ac:dyDescent="0.3">
      <c r="A881" t="s">
        <v>1061</v>
      </c>
      <c r="B881" s="4">
        <v>45449.495138888888</v>
      </c>
      <c r="C881" t="s">
        <v>169</v>
      </c>
      <c r="D881" t="s">
        <v>1148</v>
      </c>
      <c r="E881" t="s">
        <v>1149</v>
      </c>
      <c r="F881" t="str" cm="1">
        <f t="array" ref="F881">_xlfn.IFS(
E881="Ahmedabad","Gujarat",
E881="Bengaluru","Karnataka",
E881="Bhopal","Madhya Pradesh",
E881="Bhubaneswar","Odisha",
E881="Chandigarh","Chandigarh",
E881="Chennai","Tamil Nadu",
E881="Delhi","Delhi",
E881="Guwahati","Assam",
E881="Hyderabad","Telangana",
E881="Indore","Madhya Pradesh",
E881="Jaipur","Rajasthan",
E881="Kochi","Kerala",
E881="Kolkata","West Bengal",
E881="Lucknow","Uttar Pradesh",
E881="Mumbai","Maharashtra",
E881="Nagpur","Maharashtra",
E881="Patna","Bihar",
E881="Pune","Maharashtra",
E881="Raipur","Chhattisgarh",
E881="Surat","Gujarat",
TRUE,"Not Found"
)</f>
        <v>Uttar Pradesh</v>
      </c>
      <c r="G881" t="s">
        <v>1143</v>
      </c>
      <c r="H881" t="s">
        <v>1144</v>
      </c>
      <c r="I881" t="s">
        <v>1159</v>
      </c>
      <c r="J881" t="s">
        <v>1334</v>
      </c>
      <c r="K881" t="s">
        <v>1335</v>
      </c>
      <c r="L881">
        <v>1</v>
      </c>
      <c r="M881">
        <v>10478</v>
      </c>
      <c r="N881">
        <v>0.15</v>
      </c>
      <c r="O881">
        <v>8906.2999999999993</v>
      </c>
      <c r="P881">
        <v>0.12</v>
      </c>
      <c r="Q881">
        <v>8906.2999999999993</v>
      </c>
      <c r="R881">
        <v>1068.7560000000001</v>
      </c>
      <c r="S881">
        <v>9975.0559999999987</v>
      </c>
      <c r="T881">
        <f>ROUND(Table2[[#This Row],[TotalAmount]],0)</f>
        <v>9975</v>
      </c>
      <c r="U881" t="s">
        <v>1365</v>
      </c>
      <c r="V881" t="s">
        <v>1361</v>
      </c>
      <c r="W881" s="4">
        <v>45450</v>
      </c>
      <c r="X881" s="4">
        <v>45455</v>
      </c>
      <c r="Y881" t="b">
        <v>0</v>
      </c>
      <c r="Z881" t="s">
        <v>1412</v>
      </c>
      <c r="AA881" t="s">
        <v>1412</v>
      </c>
      <c r="AB881" t="s">
        <v>1412</v>
      </c>
      <c r="AC881" t="s">
        <v>1396</v>
      </c>
      <c r="AD881" t="s">
        <v>1399</v>
      </c>
      <c r="AE881" t="s">
        <v>1395</v>
      </c>
    </row>
    <row r="882" spans="1:31" x14ac:dyDescent="0.3">
      <c r="A882" t="s">
        <v>1062</v>
      </c>
      <c r="B882" s="4">
        <v>45693.529861111107</v>
      </c>
      <c r="C882" t="s">
        <v>95</v>
      </c>
      <c r="D882" t="s">
        <v>1182</v>
      </c>
      <c r="E882" t="s">
        <v>1207</v>
      </c>
      <c r="F882" t="str" cm="1">
        <f t="array" ref="F882">_xlfn.IFS(
E882="Ahmedabad","Gujarat",
E882="Bengaluru","Karnataka",
E882="Bhopal","Madhya Pradesh",
E882="Bhubaneswar","Odisha",
E882="Chandigarh","Chandigarh",
E882="Chennai","Tamil Nadu",
E882="Delhi","Delhi",
E882="Guwahati","Assam",
E882="Hyderabad","Telangana",
E882="Indore","Madhya Pradesh",
E882="Jaipur","Rajasthan",
E882="Kochi","Kerala",
E882="Kolkata","West Bengal",
E882="Lucknow","Uttar Pradesh",
E882="Mumbai","Maharashtra",
E882="Nagpur","Maharashtra",
E882="Patna","Bihar",
E882="Pune","Maharashtra",
E882="Raipur","Chhattisgarh",
E882="Surat","Gujarat",
TRUE,"Not Found"
)</f>
        <v>Tamil Nadu</v>
      </c>
      <c r="G882" t="s">
        <v>1187</v>
      </c>
      <c r="H882" t="s">
        <v>1172</v>
      </c>
      <c r="I882" t="s">
        <v>1188</v>
      </c>
      <c r="J882" t="s">
        <v>1232</v>
      </c>
      <c r="K882" t="s">
        <v>1233</v>
      </c>
      <c r="L882">
        <v>1</v>
      </c>
      <c r="M882">
        <v>5497</v>
      </c>
      <c r="N882">
        <v>0</v>
      </c>
      <c r="O882">
        <v>5497</v>
      </c>
      <c r="P882">
        <v>0.12</v>
      </c>
      <c r="Q882">
        <v>5497</v>
      </c>
      <c r="R882">
        <v>659.64</v>
      </c>
      <c r="S882">
        <v>6156.64</v>
      </c>
      <c r="T882">
        <f>ROUND(Table2[[#This Row],[TotalAmount]],0)</f>
        <v>6157</v>
      </c>
      <c r="U882" t="s">
        <v>1365</v>
      </c>
      <c r="V882" t="s">
        <v>1361</v>
      </c>
      <c r="W882" s="4">
        <v>45695</v>
      </c>
      <c r="X882" s="4">
        <v>45698</v>
      </c>
      <c r="Y882" t="b">
        <v>0</v>
      </c>
      <c r="Z882" t="s">
        <v>1412</v>
      </c>
      <c r="AA882" t="s">
        <v>1412</v>
      </c>
      <c r="AB882" t="s">
        <v>1412</v>
      </c>
      <c r="AC882" t="s">
        <v>1396</v>
      </c>
      <c r="AD882" t="s">
        <v>1397</v>
      </c>
      <c r="AE882" t="s">
        <v>1383</v>
      </c>
    </row>
    <row r="883" spans="1:31" x14ac:dyDescent="0.3">
      <c r="A883" t="s">
        <v>1063</v>
      </c>
      <c r="B883" s="4">
        <v>45509.584027777782</v>
      </c>
      <c r="C883" t="s">
        <v>179</v>
      </c>
      <c r="D883" t="s">
        <v>1141</v>
      </c>
      <c r="E883" t="s">
        <v>1239</v>
      </c>
      <c r="F883" t="str" cm="1">
        <f t="array" ref="F883">_xlfn.IFS(
E883="Ahmedabad","Gujarat",
E883="Bengaluru","Karnataka",
E883="Bhopal","Madhya Pradesh",
E883="Bhubaneswar","Odisha",
E883="Chandigarh","Chandigarh",
E883="Chennai","Tamil Nadu",
E883="Delhi","Delhi",
E883="Guwahati","Assam",
E883="Hyderabad","Telangana",
E883="Indore","Madhya Pradesh",
E883="Jaipur","Rajasthan",
E883="Kochi","Kerala",
E883="Kolkata","West Bengal",
E883="Lucknow","Uttar Pradesh",
E883="Mumbai","Maharashtra",
E883="Nagpur","Maharashtra",
E883="Patna","Bihar",
E883="Pune","Maharashtra",
E883="Raipur","Chhattisgarh",
E883="Surat","Gujarat",
TRUE,"Not Found"
)</f>
        <v>Odisha</v>
      </c>
      <c r="G883" t="s">
        <v>1187</v>
      </c>
      <c r="H883" t="s">
        <v>1167</v>
      </c>
      <c r="I883" t="s">
        <v>1168</v>
      </c>
      <c r="J883" t="s">
        <v>1169</v>
      </c>
      <c r="K883" t="s">
        <v>1170</v>
      </c>
      <c r="L883">
        <v>3</v>
      </c>
      <c r="M883">
        <v>30291</v>
      </c>
      <c r="N883">
        <v>0.1</v>
      </c>
      <c r="O883">
        <v>27261.9</v>
      </c>
      <c r="P883">
        <v>0.12</v>
      </c>
      <c r="Q883">
        <v>81785.700000000012</v>
      </c>
      <c r="R883">
        <v>9814.2840000000015</v>
      </c>
      <c r="S883">
        <v>91599.984000000011</v>
      </c>
      <c r="T883">
        <f>ROUND(Table2[[#This Row],[TotalAmount]],0)</f>
        <v>91600</v>
      </c>
      <c r="U883" t="s">
        <v>1362</v>
      </c>
      <c r="V883" t="s">
        <v>1361</v>
      </c>
      <c r="W883" s="4">
        <v>45510</v>
      </c>
      <c r="X883" s="4">
        <v>45514</v>
      </c>
      <c r="Y883" t="b">
        <v>0</v>
      </c>
      <c r="Z883" t="s">
        <v>1412</v>
      </c>
      <c r="AA883" t="s">
        <v>1412</v>
      </c>
      <c r="AB883" t="s">
        <v>1412</v>
      </c>
      <c r="AC883" t="s">
        <v>1398</v>
      </c>
      <c r="AD883" t="s">
        <v>1399</v>
      </c>
      <c r="AE883" t="s">
        <v>1395</v>
      </c>
    </row>
    <row r="884" spans="1:31" x14ac:dyDescent="0.3">
      <c r="A884" t="s">
        <v>1064</v>
      </c>
      <c r="B884" s="4">
        <v>45341.482638888891</v>
      </c>
      <c r="C884" t="s">
        <v>107</v>
      </c>
      <c r="D884" t="s">
        <v>1153</v>
      </c>
      <c r="E884" t="s">
        <v>1176</v>
      </c>
      <c r="F884" t="str" cm="1">
        <f t="array" ref="F884">_xlfn.IFS(
E884="Ahmedabad","Gujarat",
E884="Bengaluru","Karnataka",
E884="Bhopal","Madhya Pradesh",
E884="Bhubaneswar","Odisha",
E884="Chandigarh","Chandigarh",
E884="Chennai","Tamil Nadu",
E884="Delhi","Delhi",
E884="Guwahati","Assam",
E884="Hyderabad","Telangana",
E884="Indore","Madhya Pradesh",
E884="Jaipur","Rajasthan",
E884="Kochi","Kerala",
E884="Kolkata","West Bengal",
E884="Lucknow","Uttar Pradesh",
E884="Mumbai","Maharashtra",
E884="Nagpur","Maharashtra",
E884="Patna","Bihar",
E884="Pune","Maharashtra",
E884="Raipur","Chhattisgarh",
E884="Surat","Gujarat",
TRUE,"Not Found"
)</f>
        <v>Chhattisgarh</v>
      </c>
      <c r="G884" t="s">
        <v>1143</v>
      </c>
      <c r="H884" t="s">
        <v>1177</v>
      </c>
      <c r="I884" t="s">
        <v>1236</v>
      </c>
      <c r="J884" t="s">
        <v>1254</v>
      </c>
      <c r="K884" t="s">
        <v>1255</v>
      </c>
      <c r="L884">
        <v>2</v>
      </c>
      <c r="M884">
        <v>2691</v>
      </c>
      <c r="N884">
        <v>0</v>
      </c>
      <c r="O884">
        <v>2691</v>
      </c>
      <c r="P884">
        <v>0.05</v>
      </c>
      <c r="Q884">
        <v>5382</v>
      </c>
      <c r="R884">
        <v>269.10000000000002</v>
      </c>
      <c r="S884">
        <v>5651.1</v>
      </c>
      <c r="T884">
        <f>ROUND(Table2[[#This Row],[TotalAmount]],0)</f>
        <v>5651</v>
      </c>
      <c r="U884" t="s">
        <v>1366</v>
      </c>
      <c r="V884" t="s">
        <v>1361</v>
      </c>
      <c r="W884" s="4">
        <v>45342</v>
      </c>
      <c r="X884" s="4">
        <v>45347</v>
      </c>
      <c r="Y884" t="b">
        <v>0</v>
      </c>
      <c r="Z884" t="s">
        <v>1412</v>
      </c>
      <c r="AA884" t="s">
        <v>1412</v>
      </c>
      <c r="AB884" t="s">
        <v>1412</v>
      </c>
      <c r="AC884" t="s">
        <v>1376</v>
      </c>
      <c r="AD884" t="s">
        <v>1400</v>
      </c>
      <c r="AE884" t="s">
        <v>1395</v>
      </c>
    </row>
    <row r="885" spans="1:31" x14ac:dyDescent="0.3">
      <c r="A885" t="s">
        <v>1065</v>
      </c>
      <c r="B885" s="4">
        <v>45599.585416666669</v>
      </c>
      <c r="C885" t="s">
        <v>169</v>
      </c>
      <c r="D885" t="s">
        <v>1148</v>
      </c>
      <c r="E885" t="s">
        <v>1149</v>
      </c>
      <c r="F885" t="str" cm="1">
        <f t="array" ref="F885">_xlfn.IFS(
E885="Ahmedabad","Gujarat",
E885="Bengaluru","Karnataka",
E885="Bhopal","Madhya Pradesh",
E885="Bhubaneswar","Odisha",
E885="Chandigarh","Chandigarh",
E885="Chennai","Tamil Nadu",
E885="Delhi","Delhi",
E885="Guwahati","Assam",
E885="Hyderabad","Telangana",
E885="Indore","Madhya Pradesh",
E885="Jaipur","Rajasthan",
E885="Kochi","Kerala",
E885="Kolkata","West Bengal",
E885="Lucknow","Uttar Pradesh",
E885="Mumbai","Maharashtra",
E885="Nagpur","Maharashtra",
E885="Patna","Bihar",
E885="Pune","Maharashtra",
E885="Raipur","Chhattisgarh",
E885="Surat","Gujarat",
TRUE,"Not Found"
)</f>
        <v>Uttar Pradesh</v>
      </c>
      <c r="G885" t="s">
        <v>1228</v>
      </c>
      <c r="H885" t="s">
        <v>1167</v>
      </c>
      <c r="I885" t="s">
        <v>1263</v>
      </c>
      <c r="J885" t="s">
        <v>1346</v>
      </c>
      <c r="K885" t="s">
        <v>1347</v>
      </c>
      <c r="L885">
        <v>1</v>
      </c>
      <c r="M885">
        <v>57062</v>
      </c>
      <c r="N885">
        <v>0</v>
      </c>
      <c r="O885">
        <v>57062</v>
      </c>
      <c r="P885">
        <v>0.18</v>
      </c>
      <c r="Q885">
        <v>57062</v>
      </c>
      <c r="R885">
        <v>10271.16</v>
      </c>
      <c r="S885">
        <v>67333.16</v>
      </c>
      <c r="T885">
        <f>ROUND(Table2[[#This Row],[TotalAmount]],0)</f>
        <v>67333</v>
      </c>
      <c r="U885" t="s">
        <v>1363</v>
      </c>
      <c r="V885" t="s">
        <v>1361</v>
      </c>
      <c r="W885" s="4">
        <v>45600</v>
      </c>
      <c r="X885" s="4">
        <v>45603</v>
      </c>
      <c r="Y885" t="b">
        <v>0</v>
      </c>
      <c r="Z885" t="s">
        <v>1412</v>
      </c>
      <c r="AA885" t="s">
        <v>1412</v>
      </c>
      <c r="AB885" t="s">
        <v>1412</v>
      </c>
      <c r="AC885" t="s">
        <v>1382</v>
      </c>
      <c r="AD885" t="s">
        <v>1400</v>
      </c>
      <c r="AE885" t="s">
        <v>1380</v>
      </c>
    </row>
    <row r="886" spans="1:31" x14ac:dyDescent="0.3">
      <c r="A886" t="s">
        <v>1066</v>
      </c>
      <c r="B886" s="4">
        <v>45586.542361111111</v>
      </c>
      <c r="C886" t="s">
        <v>36</v>
      </c>
      <c r="D886" t="s">
        <v>1182</v>
      </c>
      <c r="E886" t="s">
        <v>1207</v>
      </c>
      <c r="F886" t="str" cm="1">
        <f t="array" ref="F886">_xlfn.IFS(
E886="Ahmedabad","Gujarat",
E886="Bengaluru","Karnataka",
E886="Bhopal","Madhya Pradesh",
E886="Bhubaneswar","Odisha",
E886="Chandigarh","Chandigarh",
E886="Chennai","Tamil Nadu",
E886="Delhi","Delhi",
E886="Guwahati","Assam",
E886="Hyderabad","Telangana",
E886="Indore","Madhya Pradesh",
E886="Jaipur","Rajasthan",
E886="Kochi","Kerala",
E886="Kolkata","West Bengal",
E886="Lucknow","Uttar Pradesh",
E886="Mumbai","Maharashtra",
E886="Nagpur","Maharashtra",
E886="Patna","Bihar",
E886="Pune","Maharashtra",
E886="Raipur","Chhattisgarh",
E886="Surat","Gujarat",
TRUE,"Not Found"
)</f>
        <v>Tamil Nadu</v>
      </c>
      <c r="G886" t="s">
        <v>1143</v>
      </c>
      <c r="H886" t="s">
        <v>1167</v>
      </c>
      <c r="I886" t="s">
        <v>1211</v>
      </c>
      <c r="J886" t="s">
        <v>1279</v>
      </c>
      <c r="K886" t="s">
        <v>1280</v>
      </c>
      <c r="L886">
        <v>1</v>
      </c>
      <c r="M886">
        <v>10117</v>
      </c>
      <c r="N886">
        <v>0.1</v>
      </c>
      <c r="O886">
        <v>9105.3000000000011</v>
      </c>
      <c r="P886">
        <v>0.18</v>
      </c>
      <c r="Q886">
        <v>9105.3000000000011</v>
      </c>
      <c r="R886">
        <v>1638.954</v>
      </c>
      <c r="S886">
        <v>10744.254000000001</v>
      </c>
      <c r="T886">
        <f>ROUND(Table2[[#This Row],[TotalAmount]],0)</f>
        <v>10744</v>
      </c>
      <c r="U886" t="s">
        <v>1363</v>
      </c>
      <c r="V886" t="s">
        <v>1361</v>
      </c>
      <c r="W886" s="4">
        <v>45588</v>
      </c>
      <c r="X886" s="4">
        <v>45593</v>
      </c>
      <c r="Y886" t="b">
        <v>0</v>
      </c>
      <c r="Z886" t="s">
        <v>1412</v>
      </c>
      <c r="AA886" t="s">
        <v>1412</v>
      </c>
      <c r="AB886" t="s">
        <v>1412</v>
      </c>
      <c r="AC886" t="s">
        <v>1390</v>
      </c>
      <c r="AD886" t="s">
        <v>1387</v>
      </c>
      <c r="AE886" t="s">
        <v>1383</v>
      </c>
    </row>
    <row r="887" spans="1:31" x14ac:dyDescent="0.3">
      <c r="A887" t="s">
        <v>1067</v>
      </c>
      <c r="B887" s="4">
        <v>45709.620138888888</v>
      </c>
      <c r="C887" t="s">
        <v>510</v>
      </c>
      <c r="D887" t="s">
        <v>1153</v>
      </c>
      <c r="E887" t="s">
        <v>1191</v>
      </c>
      <c r="F887" t="str" cm="1">
        <f t="array" ref="F887">_xlfn.IFS(
E887="Ahmedabad","Gujarat",
E887="Bengaluru","Karnataka",
E887="Bhopal","Madhya Pradesh",
E887="Bhubaneswar","Odisha",
E887="Chandigarh","Chandigarh",
E887="Chennai","Tamil Nadu",
E887="Delhi","Delhi",
E887="Guwahati","Assam",
E887="Hyderabad","Telangana",
E887="Indore","Madhya Pradesh",
E887="Jaipur","Rajasthan",
E887="Kochi","Kerala",
E887="Kolkata","West Bengal",
E887="Lucknow","Uttar Pradesh",
E887="Mumbai","Maharashtra",
E887="Nagpur","Maharashtra",
E887="Patna","Bihar",
E887="Pune","Maharashtra",
E887="Raipur","Chhattisgarh",
E887="Surat","Gujarat",
TRUE,"Not Found"
)</f>
        <v>Madhya Pradesh</v>
      </c>
      <c r="G887" t="s">
        <v>1143</v>
      </c>
      <c r="H887" t="s">
        <v>1172</v>
      </c>
      <c r="I887" t="s">
        <v>1229</v>
      </c>
      <c r="J887" t="s">
        <v>1340</v>
      </c>
      <c r="K887" t="s">
        <v>1341</v>
      </c>
      <c r="L887">
        <v>1</v>
      </c>
      <c r="M887">
        <v>5867</v>
      </c>
      <c r="N887">
        <v>0</v>
      </c>
      <c r="O887">
        <v>5867</v>
      </c>
      <c r="P887">
        <v>0.12</v>
      </c>
      <c r="Q887">
        <v>5867</v>
      </c>
      <c r="R887">
        <v>704.04</v>
      </c>
      <c r="S887">
        <v>6571.04</v>
      </c>
      <c r="T887">
        <f>ROUND(Table2[[#This Row],[TotalAmount]],0)</f>
        <v>6571</v>
      </c>
      <c r="U887" t="s">
        <v>1363</v>
      </c>
      <c r="V887" t="s">
        <v>1361</v>
      </c>
      <c r="W887" s="4">
        <v>45709</v>
      </c>
      <c r="X887" s="4">
        <v>45711</v>
      </c>
      <c r="Y887" t="b">
        <v>0</v>
      </c>
      <c r="Z887" t="s">
        <v>1412</v>
      </c>
      <c r="AA887" t="s">
        <v>1412</v>
      </c>
      <c r="AB887" t="s">
        <v>1412</v>
      </c>
      <c r="AC887" t="s">
        <v>1396</v>
      </c>
      <c r="AD887" t="s">
        <v>1387</v>
      </c>
      <c r="AE887" t="s">
        <v>1383</v>
      </c>
    </row>
    <row r="888" spans="1:31" x14ac:dyDescent="0.3">
      <c r="A888" t="s">
        <v>1068</v>
      </c>
      <c r="B888" s="4">
        <v>45607.509722222218</v>
      </c>
      <c r="C888" t="s">
        <v>57</v>
      </c>
      <c r="D888" t="s">
        <v>1153</v>
      </c>
      <c r="E888" t="s">
        <v>1176</v>
      </c>
      <c r="F888" t="str" cm="1">
        <f t="array" ref="F888">_xlfn.IFS(
E888="Ahmedabad","Gujarat",
E888="Bengaluru","Karnataka",
E888="Bhopal","Madhya Pradesh",
E888="Bhubaneswar","Odisha",
E888="Chandigarh","Chandigarh",
E888="Chennai","Tamil Nadu",
E888="Delhi","Delhi",
E888="Guwahati","Assam",
E888="Hyderabad","Telangana",
E888="Indore","Madhya Pradesh",
E888="Jaipur","Rajasthan",
E888="Kochi","Kerala",
E888="Kolkata","West Bengal",
E888="Lucknow","Uttar Pradesh",
E888="Mumbai","Maharashtra",
E888="Nagpur","Maharashtra",
E888="Patna","Bihar",
E888="Pune","Maharashtra",
E888="Raipur","Chhattisgarh",
E888="Surat","Gujarat",
TRUE,"Not Found"
)</f>
        <v>Chhattisgarh</v>
      </c>
      <c r="G888" t="s">
        <v>1150</v>
      </c>
      <c r="H888" t="s">
        <v>1167</v>
      </c>
      <c r="I888" t="s">
        <v>1208</v>
      </c>
      <c r="J888" t="s">
        <v>1322</v>
      </c>
      <c r="K888" t="s">
        <v>1323</v>
      </c>
      <c r="L888">
        <v>1</v>
      </c>
      <c r="M888">
        <v>51470</v>
      </c>
      <c r="N888">
        <v>0.1</v>
      </c>
      <c r="O888">
        <v>46323</v>
      </c>
      <c r="P888">
        <v>0.05</v>
      </c>
      <c r="Q888">
        <v>46323</v>
      </c>
      <c r="R888">
        <v>2316.15</v>
      </c>
      <c r="S888">
        <v>48639.15</v>
      </c>
      <c r="T888">
        <f>ROUND(Table2[[#This Row],[TotalAmount]],0)</f>
        <v>48639</v>
      </c>
      <c r="U888" t="s">
        <v>1363</v>
      </c>
      <c r="V888" t="s">
        <v>1361</v>
      </c>
      <c r="W888" s="4">
        <v>45609</v>
      </c>
      <c r="X888" s="4">
        <v>45614</v>
      </c>
      <c r="Y888" t="b">
        <v>0</v>
      </c>
      <c r="Z888" t="s">
        <v>1412</v>
      </c>
      <c r="AA888" t="s">
        <v>1412</v>
      </c>
      <c r="AB888" t="s">
        <v>1412</v>
      </c>
      <c r="AC888" t="s">
        <v>1388</v>
      </c>
      <c r="AD888" t="s">
        <v>1394</v>
      </c>
      <c r="AE888" t="s">
        <v>1395</v>
      </c>
    </row>
    <row r="889" spans="1:31" x14ac:dyDescent="0.3">
      <c r="A889" t="s">
        <v>1069</v>
      </c>
      <c r="B889" s="4">
        <v>45739.423611111109</v>
      </c>
      <c r="C889" t="s">
        <v>121</v>
      </c>
      <c r="D889" t="s">
        <v>1141</v>
      </c>
      <c r="E889" t="s">
        <v>1142</v>
      </c>
      <c r="F889" t="str" cm="1">
        <f t="array" ref="F889">_xlfn.IFS(
E889="Ahmedabad","Gujarat",
E889="Bengaluru","Karnataka",
E889="Bhopal","Madhya Pradesh",
E889="Bhubaneswar","Odisha",
E889="Chandigarh","Chandigarh",
E889="Chennai","Tamil Nadu",
E889="Delhi","Delhi",
E889="Guwahati","Assam",
E889="Hyderabad","Telangana",
E889="Indore","Madhya Pradesh",
E889="Jaipur","Rajasthan",
E889="Kochi","Kerala",
E889="Kolkata","West Bengal",
E889="Lucknow","Uttar Pradesh",
E889="Mumbai","Maharashtra",
E889="Nagpur","Maharashtra",
E889="Patna","Bihar",
E889="Pune","Maharashtra",
E889="Raipur","Chhattisgarh",
E889="Surat","Gujarat",
TRUE,"Not Found"
)</f>
        <v>West Bengal</v>
      </c>
      <c r="G889" t="s">
        <v>1143</v>
      </c>
      <c r="H889" t="s">
        <v>1177</v>
      </c>
      <c r="I889" t="s">
        <v>1178</v>
      </c>
      <c r="J889" t="s">
        <v>1179</v>
      </c>
      <c r="K889" t="s">
        <v>1180</v>
      </c>
      <c r="L889">
        <v>1</v>
      </c>
      <c r="M889">
        <v>558</v>
      </c>
      <c r="N889">
        <v>0.15</v>
      </c>
      <c r="O889">
        <v>474.3</v>
      </c>
      <c r="P889">
        <v>0.12</v>
      </c>
      <c r="Q889">
        <v>474.3</v>
      </c>
      <c r="R889">
        <v>56.915999999999997</v>
      </c>
      <c r="S889">
        <v>531.21600000000001</v>
      </c>
      <c r="T889">
        <f>ROUND(Table2[[#This Row],[TotalAmount]],0)</f>
        <v>531</v>
      </c>
      <c r="U889" t="s">
        <v>1360</v>
      </c>
      <c r="V889" t="s">
        <v>1361</v>
      </c>
      <c r="W889" s="4">
        <v>45740</v>
      </c>
      <c r="X889" s="4">
        <v>45744</v>
      </c>
      <c r="Y889" t="b">
        <v>0</v>
      </c>
      <c r="Z889" t="s">
        <v>1412</v>
      </c>
      <c r="AA889" t="s">
        <v>1412</v>
      </c>
      <c r="AB889" t="s">
        <v>1412</v>
      </c>
      <c r="AC889" t="s">
        <v>1384</v>
      </c>
      <c r="AD889" t="s">
        <v>1377</v>
      </c>
      <c r="AE889" t="s">
        <v>1389</v>
      </c>
    </row>
    <row r="890" spans="1:31" x14ac:dyDescent="0.3">
      <c r="A890" t="s">
        <v>1070</v>
      </c>
      <c r="B890" s="4">
        <v>45733.424305555563</v>
      </c>
      <c r="C890" t="s">
        <v>73</v>
      </c>
      <c r="D890" t="s">
        <v>1157</v>
      </c>
      <c r="E890" t="s">
        <v>1249</v>
      </c>
      <c r="F890" t="str" cm="1">
        <f t="array" ref="F890">_xlfn.IFS(
E890="Ahmedabad","Gujarat",
E890="Bengaluru","Karnataka",
E890="Bhopal","Madhya Pradesh",
E890="Bhubaneswar","Odisha",
E890="Chandigarh","Chandigarh",
E890="Chennai","Tamil Nadu",
E890="Delhi","Delhi",
E890="Guwahati","Assam",
E890="Hyderabad","Telangana",
E890="Indore","Madhya Pradesh",
E890="Jaipur","Rajasthan",
E890="Kochi","Kerala",
E890="Kolkata","West Bengal",
E890="Lucknow","Uttar Pradesh",
E890="Mumbai","Maharashtra",
E890="Nagpur","Maharashtra",
E890="Patna","Bihar",
E890="Pune","Maharashtra",
E890="Raipur","Chhattisgarh",
E890="Surat","Gujarat",
TRUE,"Not Found"
)</f>
        <v>Maharashtra</v>
      </c>
      <c r="G890" t="s">
        <v>1143</v>
      </c>
      <c r="H890" t="s">
        <v>1167</v>
      </c>
      <c r="I890" t="s">
        <v>1288</v>
      </c>
      <c r="J890" t="s">
        <v>1336</v>
      </c>
      <c r="K890" t="s">
        <v>1337</v>
      </c>
      <c r="L890">
        <v>1</v>
      </c>
      <c r="M890">
        <v>55565</v>
      </c>
      <c r="N890">
        <v>0</v>
      </c>
      <c r="O890">
        <v>55565</v>
      </c>
      <c r="P890">
        <v>0.12</v>
      </c>
      <c r="Q890">
        <v>55565</v>
      </c>
      <c r="R890">
        <v>6667.8</v>
      </c>
      <c r="S890">
        <v>62232.800000000003</v>
      </c>
      <c r="T890">
        <f>ROUND(Table2[[#This Row],[TotalAmount]],0)</f>
        <v>62233</v>
      </c>
      <c r="U890" t="s">
        <v>1360</v>
      </c>
      <c r="V890" t="s">
        <v>1361</v>
      </c>
      <c r="W890" s="4">
        <v>45735</v>
      </c>
      <c r="X890" s="4">
        <v>45736</v>
      </c>
      <c r="Y890" t="b">
        <v>0</v>
      </c>
      <c r="Z890" t="s">
        <v>1412</v>
      </c>
      <c r="AA890" t="s">
        <v>1412</v>
      </c>
      <c r="AB890" t="s">
        <v>1412</v>
      </c>
      <c r="AC890" t="s">
        <v>1396</v>
      </c>
      <c r="AD890" t="s">
        <v>1385</v>
      </c>
      <c r="AE890" t="s">
        <v>1380</v>
      </c>
    </row>
    <row r="891" spans="1:31" x14ac:dyDescent="0.3">
      <c r="A891" t="s">
        <v>1071</v>
      </c>
      <c r="B891" s="4">
        <v>45662.60833333333</v>
      </c>
      <c r="C891" t="s">
        <v>206</v>
      </c>
      <c r="D891" t="s">
        <v>1153</v>
      </c>
      <c r="E891" t="s">
        <v>1191</v>
      </c>
      <c r="F891" t="str" cm="1">
        <f t="array" ref="F891">_xlfn.IFS(
E891="Ahmedabad","Gujarat",
E891="Bengaluru","Karnataka",
E891="Bhopal","Madhya Pradesh",
E891="Bhubaneswar","Odisha",
E891="Chandigarh","Chandigarh",
E891="Chennai","Tamil Nadu",
E891="Delhi","Delhi",
E891="Guwahati","Assam",
E891="Hyderabad","Telangana",
E891="Indore","Madhya Pradesh",
E891="Jaipur","Rajasthan",
E891="Kochi","Kerala",
E891="Kolkata","West Bengal",
E891="Lucknow","Uttar Pradesh",
E891="Mumbai","Maharashtra",
E891="Nagpur","Maharashtra",
E891="Patna","Bihar",
E891="Pune","Maharashtra",
E891="Raipur","Chhattisgarh",
E891="Surat","Gujarat",
TRUE,"Not Found"
)</f>
        <v>Madhya Pradesh</v>
      </c>
      <c r="G891" t="s">
        <v>1143</v>
      </c>
      <c r="H891" t="s">
        <v>1172</v>
      </c>
      <c r="I891" t="s">
        <v>1204</v>
      </c>
      <c r="J891" t="s">
        <v>1205</v>
      </c>
      <c r="K891" t="s">
        <v>1206</v>
      </c>
      <c r="L891">
        <v>3</v>
      </c>
      <c r="M891">
        <v>5689</v>
      </c>
      <c r="N891">
        <v>0</v>
      </c>
      <c r="O891">
        <v>5689</v>
      </c>
      <c r="P891">
        <v>0.12</v>
      </c>
      <c r="Q891">
        <v>17067</v>
      </c>
      <c r="R891">
        <v>2048.04</v>
      </c>
      <c r="S891">
        <v>19115.04</v>
      </c>
      <c r="T891">
        <f>ROUND(Table2[[#This Row],[TotalAmount]],0)</f>
        <v>19115</v>
      </c>
      <c r="U891" t="s">
        <v>1363</v>
      </c>
      <c r="V891" t="s">
        <v>1367</v>
      </c>
      <c r="W891" s="4">
        <v>45663</v>
      </c>
      <c r="X891" s="4" t="s">
        <v>1412</v>
      </c>
      <c r="Y891" t="b">
        <v>0</v>
      </c>
      <c r="Z891" t="s">
        <v>1412</v>
      </c>
      <c r="AA891" t="s">
        <v>1412</v>
      </c>
      <c r="AB891" t="s">
        <v>1412</v>
      </c>
      <c r="AC891" t="s">
        <v>1379</v>
      </c>
      <c r="AD891" t="s">
        <v>1400</v>
      </c>
      <c r="AE891" t="s">
        <v>1395</v>
      </c>
    </row>
    <row r="892" spans="1:31" x14ac:dyDescent="0.3">
      <c r="A892" t="s">
        <v>1072</v>
      </c>
      <c r="B892" s="4">
        <v>45746.574999999997</v>
      </c>
      <c r="C892" t="s">
        <v>354</v>
      </c>
      <c r="D892" t="s">
        <v>1148</v>
      </c>
      <c r="E892" t="s">
        <v>1217</v>
      </c>
      <c r="F892" t="str" cm="1">
        <f t="array" ref="F892">_xlfn.IFS(
E892="Ahmedabad","Gujarat",
E892="Bengaluru","Karnataka",
E892="Bhopal","Madhya Pradesh",
E892="Bhubaneswar","Odisha",
E892="Chandigarh","Chandigarh",
E892="Chennai","Tamil Nadu",
E892="Delhi","Delhi",
E892="Guwahati","Assam",
E892="Hyderabad","Telangana",
E892="Indore","Madhya Pradesh",
E892="Jaipur","Rajasthan",
E892="Kochi","Kerala",
E892="Kolkata","West Bengal",
E892="Lucknow","Uttar Pradesh",
E892="Mumbai","Maharashtra",
E892="Nagpur","Maharashtra",
E892="Patna","Bihar",
E892="Pune","Maharashtra",
E892="Raipur","Chhattisgarh",
E892="Surat","Gujarat",
TRUE,"Not Found"
)</f>
        <v>Delhi</v>
      </c>
      <c r="G892" t="s">
        <v>1143</v>
      </c>
      <c r="H892" t="s">
        <v>1144</v>
      </c>
      <c r="I892" t="s">
        <v>1214</v>
      </c>
      <c r="J892" t="s">
        <v>1252</v>
      </c>
      <c r="K892" t="s">
        <v>1253</v>
      </c>
      <c r="L892">
        <v>2</v>
      </c>
      <c r="M892">
        <v>7887</v>
      </c>
      <c r="N892">
        <v>0.05</v>
      </c>
      <c r="O892">
        <v>7492.65</v>
      </c>
      <c r="P892">
        <v>0.18</v>
      </c>
      <c r="Q892">
        <v>14985.3</v>
      </c>
      <c r="R892">
        <v>2697.3539999999998</v>
      </c>
      <c r="S892">
        <v>17682.653999999999</v>
      </c>
      <c r="T892">
        <f>ROUND(Table2[[#This Row],[TotalAmount]],0)</f>
        <v>17683</v>
      </c>
      <c r="U892" t="s">
        <v>1360</v>
      </c>
      <c r="V892" t="s">
        <v>1361</v>
      </c>
      <c r="W892" s="4">
        <v>45748</v>
      </c>
      <c r="X892" s="4">
        <v>45749</v>
      </c>
      <c r="Y892" t="b">
        <v>0</v>
      </c>
      <c r="Z892" t="s">
        <v>1412</v>
      </c>
      <c r="AA892" t="s">
        <v>1412</v>
      </c>
      <c r="AB892" t="s">
        <v>1412</v>
      </c>
      <c r="AC892" t="s">
        <v>1379</v>
      </c>
      <c r="AD892" t="s">
        <v>1377</v>
      </c>
      <c r="AE892" t="s">
        <v>1393</v>
      </c>
    </row>
    <row r="893" spans="1:31" x14ac:dyDescent="0.3">
      <c r="A893" t="s">
        <v>1073</v>
      </c>
      <c r="B893" s="4">
        <v>45492.581250000003</v>
      </c>
      <c r="C893" t="s">
        <v>98</v>
      </c>
      <c r="D893" t="s">
        <v>1148</v>
      </c>
      <c r="E893" t="s">
        <v>1171</v>
      </c>
      <c r="F893" t="str" cm="1">
        <f t="array" ref="F893">_xlfn.IFS(
E893="Ahmedabad","Gujarat",
E893="Bengaluru","Karnataka",
E893="Bhopal","Madhya Pradesh",
E893="Bhubaneswar","Odisha",
E893="Chandigarh","Chandigarh",
E893="Chennai","Tamil Nadu",
E893="Delhi","Delhi",
E893="Guwahati","Assam",
E893="Hyderabad","Telangana",
E893="Indore","Madhya Pradesh",
E893="Jaipur","Rajasthan",
E893="Kochi","Kerala",
E893="Kolkata","West Bengal",
E893="Lucknow","Uttar Pradesh",
E893="Mumbai","Maharashtra",
E893="Nagpur","Maharashtra",
E893="Patna","Bihar",
E893="Pune","Maharashtra",
E893="Raipur","Chhattisgarh",
E893="Surat","Gujarat",
TRUE,"Not Found"
)</f>
        <v>Chandigarh</v>
      </c>
      <c r="G893" t="s">
        <v>1143</v>
      </c>
      <c r="H893" t="s">
        <v>1172</v>
      </c>
      <c r="I893" t="s">
        <v>1173</v>
      </c>
      <c r="J893" t="s">
        <v>1222</v>
      </c>
      <c r="K893" t="s">
        <v>1223</v>
      </c>
      <c r="L893">
        <v>1</v>
      </c>
      <c r="M893">
        <v>6224</v>
      </c>
      <c r="N893">
        <v>0.05</v>
      </c>
      <c r="O893">
        <v>5912.7999999999993</v>
      </c>
      <c r="P893">
        <v>0.12</v>
      </c>
      <c r="Q893">
        <v>5912.7999999999993</v>
      </c>
      <c r="R893">
        <v>709.53599999999983</v>
      </c>
      <c r="S893">
        <v>6622.3359999999993</v>
      </c>
      <c r="T893">
        <f>ROUND(Table2[[#This Row],[TotalAmount]],0)</f>
        <v>6622</v>
      </c>
      <c r="U893" t="s">
        <v>1366</v>
      </c>
      <c r="V893" t="s">
        <v>1361</v>
      </c>
      <c r="W893" s="4">
        <v>45492</v>
      </c>
      <c r="X893" s="4">
        <v>45496</v>
      </c>
      <c r="Y893" t="b">
        <v>0</v>
      </c>
      <c r="Z893" t="s">
        <v>1412</v>
      </c>
      <c r="AA893" t="s">
        <v>1412</v>
      </c>
      <c r="AB893" t="s">
        <v>1412</v>
      </c>
      <c r="AC893" t="s">
        <v>1392</v>
      </c>
      <c r="AD893" t="s">
        <v>1394</v>
      </c>
      <c r="AE893" t="s">
        <v>1391</v>
      </c>
    </row>
    <row r="894" spans="1:31" x14ac:dyDescent="0.3">
      <c r="A894" t="s">
        <v>1074</v>
      </c>
      <c r="B894" s="4">
        <v>45443.487500000003</v>
      </c>
      <c r="C894" t="s">
        <v>137</v>
      </c>
      <c r="D894" t="s">
        <v>1182</v>
      </c>
      <c r="E894" t="s">
        <v>1183</v>
      </c>
      <c r="F894" t="str" cm="1">
        <f t="array" ref="F894">_xlfn.IFS(
E894="Ahmedabad","Gujarat",
E894="Bengaluru","Karnataka",
E894="Bhopal","Madhya Pradesh",
E894="Bhubaneswar","Odisha",
E894="Chandigarh","Chandigarh",
E894="Chennai","Tamil Nadu",
E894="Delhi","Delhi",
E894="Guwahati","Assam",
E894="Hyderabad","Telangana",
E894="Indore","Madhya Pradesh",
E894="Jaipur","Rajasthan",
E894="Kochi","Kerala",
E894="Kolkata","West Bengal",
E894="Lucknow","Uttar Pradesh",
E894="Mumbai","Maharashtra",
E894="Nagpur","Maharashtra",
E894="Patna","Bihar",
E894="Pune","Maharashtra",
E894="Raipur","Chhattisgarh",
E894="Surat","Gujarat",
TRUE,"Not Found"
)</f>
        <v>Telangana</v>
      </c>
      <c r="G894" t="s">
        <v>1228</v>
      </c>
      <c r="H894" t="s">
        <v>1167</v>
      </c>
      <c r="I894" t="s">
        <v>1288</v>
      </c>
      <c r="J894" t="s">
        <v>1336</v>
      </c>
      <c r="K894" t="s">
        <v>1337</v>
      </c>
      <c r="L894">
        <v>1</v>
      </c>
      <c r="M894">
        <v>14169</v>
      </c>
      <c r="N894">
        <v>0</v>
      </c>
      <c r="O894">
        <v>14169</v>
      </c>
      <c r="P894">
        <v>0.18</v>
      </c>
      <c r="Q894">
        <v>14169</v>
      </c>
      <c r="R894">
        <v>2550.42</v>
      </c>
      <c r="S894">
        <v>16719.419999999998</v>
      </c>
      <c r="T894">
        <f>ROUND(Table2[[#This Row],[TotalAmount]],0)</f>
        <v>16719</v>
      </c>
      <c r="U894" t="s">
        <v>1362</v>
      </c>
      <c r="V894" t="s">
        <v>1364</v>
      </c>
      <c r="W894" s="4">
        <v>45445</v>
      </c>
      <c r="X894" s="4" t="s">
        <v>1412</v>
      </c>
      <c r="Y894" t="b">
        <v>1</v>
      </c>
      <c r="Z894" s="1">
        <v>45453</v>
      </c>
      <c r="AA894" s="1">
        <v>45453</v>
      </c>
      <c r="AB894" t="s">
        <v>1404</v>
      </c>
      <c r="AC894" t="s">
        <v>1384</v>
      </c>
      <c r="AD894" t="s">
        <v>1400</v>
      </c>
      <c r="AE894" t="s">
        <v>1389</v>
      </c>
    </row>
    <row r="895" spans="1:31" x14ac:dyDescent="0.3">
      <c r="A895" t="s">
        <v>1075</v>
      </c>
      <c r="B895" s="4">
        <v>45329.584722222222</v>
      </c>
      <c r="C895" t="s">
        <v>510</v>
      </c>
      <c r="D895" t="s">
        <v>1153</v>
      </c>
      <c r="E895" t="s">
        <v>1191</v>
      </c>
      <c r="F895" t="str" cm="1">
        <f t="array" ref="F895">_xlfn.IFS(
E895="Ahmedabad","Gujarat",
E895="Bengaluru","Karnataka",
E895="Bhopal","Madhya Pradesh",
E895="Bhubaneswar","Odisha",
E895="Chandigarh","Chandigarh",
E895="Chennai","Tamil Nadu",
E895="Delhi","Delhi",
E895="Guwahati","Assam",
E895="Hyderabad","Telangana",
E895="Indore","Madhya Pradesh",
E895="Jaipur","Rajasthan",
E895="Kochi","Kerala",
E895="Kolkata","West Bengal",
E895="Lucknow","Uttar Pradesh",
E895="Mumbai","Maharashtra",
E895="Nagpur","Maharashtra",
E895="Patna","Bihar",
E895="Pune","Maharashtra",
E895="Raipur","Chhattisgarh",
E895="Surat","Gujarat",
TRUE,"Not Found"
)</f>
        <v>Madhya Pradesh</v>
      </c>
      <c r="G895" t="s">
        <v>1187</v>
      </c>
      <c r="H895" t="s">
        <v>1172</v>
      </c>
      <c r="I895" t="s">
        <v>1173</v>
      </c>
      <c r="J895" t="s">
        <v>1174</v>
      </c>
      <c r="K895" t="s">
        <v>1175</v>
      </c>
      <c r="L895">
        <v>2</v>
      </c>
      <c r="M895">
        <v>5743</v>
      </c>
      <c r="N895">
        <v>0</v>
      </c>
      <c r="O895">
        <v>5743</v>
      </c>
      <c r="P895">
        <v>0.05</v>
      </c>
      <c r="Q895">
        <v>11486</v>
      </c>
      <c r="R895">
        <v>574.30000000000007</v>
      </c>
      <c r="S895">
        <v>12060.3</v>
      </c>
      <c r="T895">
        <f>ROUND(Table2[[#This Row],[TotalAmount]],0)</f>
        <v>12060</v>
      </c>
      <c r="U895" t="s">
        <v>1363</v>
      </c>
      <c r="V895" t="s">
        <v>1361</v>
      </c>
      <c r="W895" s="4">
        <v>45330</v>
      </c>
      <c r="X895" s="4">
        <v>45333</v>
      </c>
      <c r="Y895" t="b">
        <v>0</v>
      </c>
      <c r="Z895" t="s">
        <v>1412</v>
      </c>
      <c r="AA895" t="s">
        <v>1412</v>
      </c>
      <c r="AB895" t="s">
        <v>1412</v>
      </c>
      <c r="AC895" t="s">
        <v>1398</v>
      </c>
      <c r="AD895" t="s">
        <v>1387</v>
      </c>
      <c r="AE895" t="s">
        <v>1391</v>
      </c>
    </row>
    <row r="896" spans="1:31" x14ac:dyDescent="0.3">
      <c r="A896" t="s">
        <v>1076</v>
      </c>
      <c r="B896" s="4">
        <v>45316.515277777777</v>
      </c>
      <c r="C896" t="s">
        <v>206</v>
      </c>
      <c r="D896" t="s">
        <v>1153</v>
      </c>
      <c r="E896" t="s">
        <v>1191</v>
      </c>
      <c r="F896" t="str" cm="1">
        <f t="array" ref="F896">_xlfn.IFS(
E896="Ahmedabad","Gujarat",
E896="Bengaluru","Karnataka",
E896="Bhopal","Madhya Pradesh",
E896="Bhubaneswar","Odisha",
E896="Chandigarh","Chandigarh",
E896="Chennai","Tamil Nadu",
E896="Delhi","Delhi",
E896="Guwahati","Assam",
E896="Hyderabad","Telangana",
E896="Indore","Madhya Pradesh",
E896="Jaipur","Rajasthan",
E896="Kochi","Kerala",
E896="Kolkata","West Bengal",
E896="Lucknow","Uttar Pradesh",
E896="Mumbai","Maharashtra",
E896="Nagpur","Maharashtra",
E896="Patna","Bihar",
E896="Pune","Maharashtra",
E896="Raipur","Chhattisgarh",
E896="Surat","Gujarat",
TRUE,"Not Found"
)</f>
        <v>Madhya Pradesh</v>
      </c>
      <c r="G896" t="s">
        <v>1143</v>
      </c>
      <c r="H896" t="s">
        <v>1163</v>
      </c>
      <c r="I896" t="s">
        <v>1240</v>
      </c>
      <c r="J896" t="s">
        <v>1247</v>
      </c>
      <c r="K896" t="s">
        <v>1248</v>
      </c>
      <c r="L896">
        <v>3</v>
      </c>
      <c r="M896">
        <v>821</v>
      </c>
      <c r="N896">
        <v>0.1</v>
      </c>
      <c r="O896">
        <v>738.9</v>
      </c>
      <c r="P896">
        <v>0.18</v>
      </c>
      <c r="Q896">
        <v>2216.6999999999998</v>
      </c>
      <c r="R896">
        <v>399.00599999999997</v>
      </c>
      <c r="S896">
        <v>2615.7060000000001</v>
      </c>
      <c r="T896">
        <f>ROUND(Table2[[#This Row],[TotalAmount]],0)</f>
        <v>2616</v>
      </c>
      <c r="U896" t="s">
        <v>1362</v>
      </c>
      <c r="V896" t="s">
        <v>1361</v>
      </c>
      <c r="W896" s="4">
        <v>45316</v>
      </c>
      <c r="X896" s="4">
        <v>45317</v>
      </c>
      <c r="Y896" t="b">
        <v>0</v>
      </c>
      <c r="Z896" t="s">
        <v>1412</v>
      </c>
      <c r="AA896" t="s">
        <v>1412</v>
      </c>
      <c r="AB896" t="s">
        <v>1412</v>
      </c>
      <c r="AC896" t="s">
        <v>1392</v>
      </c>
      <c r="AD896" t="s">
        <v>1394</v>
      </c>
      <c r="AE896" t="s">
        <v>1393</v>
      </c>
    </row>
    <row r="897" spans="1:31" x14ac:dyDescent="0.3">
      <c r="A897" t="s">
        <v>1077</v>
      </c>
      <c r="B897" s="4">
        <v>45748.499305555553</v>
      </c>
      <c r="C897" t="s">
        <v>378</v>
      </c>
      <c r="D897" t="s">
        <v>1157</v>
      </c>
      <c r="E897" t="s">
        <v>1158</v>
      </c>
      <c r="F897" t="str" cm="1">
        <f t="array" ref="F897">_xlfn.IFS(
E897="Ahmedabad","Gujarat",
E897="Bengaluru","Karnataka",
E897="Bhopal","Madhya Pradesh",
E897="Bhubaneswar","Odisha",
E897="Chandigarh","Chandigarh",
E897="Chennai","Tamil Nadu",
E897="Delhi","Delhi",
E897="Guwahati","Assam",
E897="Hyderabad","Telangana",
E897="Indore","Madhya Pradesh",
E897="Jaipur","Rajasthan",
E897="Kochi","Kerala",
E897="Kolkata","West Bengal",
E897="Lucknow","Uttar Pradesh",
E897="Mumbai","Maharashtra",
E897="Nagpur","Maharashtra",
E897="Patna","Bihar",
E897="Pune","Maharashtra",
E897="Raipur","Chhattisgarh",
E897="Surat","Gujarat",
TRUE,"Not Found"
)</f>
        <v>Gujarat</v>
      </c>
      <c r="G897" t="s">
        <v>1150</v>
      </c>
      <c r="H897" t="s">
        <v>1163</v>
      </c>
      <c r="I897" t="s">
        <v>1240</v>
      </c>
      <c r="J897" t="s">
        <v>1241</v>
      </c>
      <c r="K897" t="s">
        <v>1242</v>
      </c>
      <c r="L897">
        <v>1</v>
      </c>
      <c r="M897">
        <v>555</v>
      </c>
      <c r="N897">
        <v>0</v>
      </c>
      <c r="O897">
        <v>555</v>
      </c>
      <c r="P897">
        <v>0.12</v>
      </c>
      <c r="Q897">
        <v>555</v>
      </c>
      <c r="R897">
        <v>66.599999999999994</v>
      </c>
      <c r="S897">
        <v>621.6</v>
      </c>
      <c r="T897">
        <f>ROUND(Table2[[#This Row],[TotalAmount]],0)</f>
        <v>622</v>
      </c>
      <c r="U897" t="s">
        <v>1363</v>
      </c>
      <c r="V897" t="s">
        <v>1361</v>
      </c>
      <c r="W897" s="4">
        <v>45749</v>
      </c>
      <c r="X897" s="4">
        <v>45754</v>
      </c>
      <c r="Y897" t="b">
        <v>0</v>
      </c>
      <c r="Z897" t="s">
        <v>1412</v>
      </c>
      <c r="AA897" t="s">
        <v>1412</v>
      </c>
      <c r="AB897" t="s">
        <v>1412</v>
      </c>
      <c r="AC897" t="s">
        <v>1382</v>
      </c>
      <c r="AD897" t="s">
        <v>1400</v>
      </c>
      <c r="AE897" t="s">
        <v>1391</v>
      </c>
    </row>
    <row r="898" spans="1:31" x14ac:dyDescent="0.3">
      <c r="A898" t="s">
        <v>1078</v>
      </c>
      <c r="B898" s="4">
        <v>45671.461805555547</v>
      </c>
      <c r="C898" t="s">
        <v>16</v>
      </c>
      <c r="D898" t="s">
        <v>1148</v>
      </c>
      <c r="E898" t="s">
        <v>1171</v>
      </c>
      <c r="F898" t="str" cm="1">
        <f t="array" ref="F898">_xlfn.IFS(
E898="Ahmedabad","Gujarat",
E898="Bengaluru","Karnataka",
E898="Bhopal","Madhya Pradesh",
E898="Bhubaneswar","Odisha",
E898="Chandigarh","Chandigarh",
E898="Chennai","Tamil Nadu",
E898="Delhi","Delhi",
E898="Guwahati","Assam",
E898="Hyderabad","Telangana",
E898="Indore","Madhya Pradesh",
E898="Jaipur","Rajasthan",
E898="Kochi","Kerala",
E898="Kolkata","West Bengal",
E898="Lucknow","Uttar Pradesh",
E898="Mumbai","Maharashtra",
E898="Nagpur","Maharashtra",
E898="Patna","Bihar",
E898="Pune","Maharashtra",
E898="Raipur","Chhattisgarh",
E898="Surat","Gujarat",
TRUE,"Not Found"
)</f>
        <v>Chandigarh</v>
      </c>
      <c r="G898" t="s">
        <v>1143</v>
      </c>
      <c r="H898" t="s">
        <v>1167</v>
      </c>
      <c r="I898" t="s">
        <v>1288</v>
      </c>
      <c r="J898" t="s">
        <v>1336</v>
      </c>
      <c r="K898" t="s">
        <v>1337</v>
      </c>
      <c r="L898">
        <v>2</v>
      </c>
      <c r="M898">
        <v>28036</v>
      </c>
      <c r="N898">
        <v>0.2</v>
      </c>
      <c r="O898">
        <v>22428.799999999999</v>
      </c>
      <c r="P898">
        <v>0.12</v>
      </c>
      <c r="Q898">
        <v>44857.600000000013</v>
      </c>
      <c r="R898">
        <v>5382.9120000000003</v>
      </c>
      <c r="S898">
        <v>50240.512000000002</v>
      </c>
      <c r="T898">
        <f>ROUND(Table2[[#This Row],[TotalAmount]],0)</f>
        <v>50241</v>
      </c>
      <c r="U898" t="s">
        <v>1363</v>
      </c>
      <c r="V898" t="s">
        <v>1361</v>
      </c>
      <c r="W898" s="4">
        <v>45673</v>
      </c>
      <c r="X898" s="4">
        <v>45676</v>
      </c>
      <c r="Y898" t="b">
        <v>0</v>
      </c>
      <c r="Z898" t="s">
        <v>1412</v>
      </c>
      <c r="AA898" t="s">
        <v>1412</v>
      </c>
      <c r="AB898" t="s">
        <v>1412</v>
      </c>
      <c r="AC898" t="s">
        <v>1384</v>
      </c>
      <c r="AD898" t="s">
        <v>1387</v>
      </c>
      <c r="AE898" t="s">
        <v>1383</v>
      </c>
    </row>
    <row r="899" spans="1:31" x14ac:dyDescent="0.3">
      <c r="A899" t="s">
        <v>1079</v>
      </c>
      <c r="B899" s="4">
        <v>45524.576388888891</v>
      </c>
      <c r="C899" t="s">
        <v>251</v>
      </c>
      <c r="D899" t="s">
        <v>1148</v>
      </c>
      <c r="E899" t="s">
        <v>1171</v>
      </c>
      <c r="F899" t="str" cm="1">
        <f t="array" ref="F899">_xlfn.IFS(
E899="Ahmedabad","Gujarat",
E899="Bengaluru","Karnataka",
E899="Bhopal","Madhya Pradesh",
E899="Bhubaneswar","Odisha",
E899="Chandigarh","Chandigarh",
E899="Chennai","Tamil Nadu",
E899="Delhi","Delhi",
E899="Guwahati","Assam",
E899="Hyderabad","Telangana",
E899="Indore","Madhya Pradesh",
E899="Jaipur","Rajasthan",
E899="Kochi","Kerala",
E899="Kolkata","West Bengal",
E899="Lucknow","Uttar Pradesh",
E899="Mumbai","Maharashtra",
E899="Nagpur","Maharashtra",
E899="Patna","Bihar",
E899="Pune","Maharashtra",
E899="Raipur","Chhattisgarh",
E899="Surat","Gujarat",
TRUE,"Not Found"
)</f>
        <v>Chandigarh</v>
      </c>
      <c r="G899" t="s">
        <v>1150</v>
      </c>
      <c r="H899" t="s">
        <v>1177</v>
      </c>
      <c r="I899" t="s">
        <v>1236</v>
      </c>
      <c r="J899" t="s">
        <v>1254</v>
      </c>
      <c r="K899" t="s">
        <v>1255</v>
      </c>
      <c r="L899">
        <v>3</v>
      </c>
      <c r="M899">
        <v>590</v>
      </c>
      <c r="N899">
        <v>0.05</v>
      </c>
      <c r="O899">
        <v>560.5</v>
      </c>
      <c r="P899">
        <v>0.12</v>
      </c>
      <c r="Q899">
        <v>1681.5</v>
      </c>
      <c r="R899">
        <v>201.78</v>
      </c>
      <c r="S899">
        <v>1883.28</v>
      </c>
      <c r="T899">
        <f>ROUND(Table2[[#This Row],[TotalAmount]],0)</f>
        <v>1883</v>
      </c>
      <c r="U899" t="s">
        <v>1362</v>
      </c>
      <c r="V899" t="s">
        <v>1361</v>
      </c>
      <c r="W899" s="4">
        <v>45526</v>
      </c>
      <c r="X899" s="4">
        <v>45527</v>
      </c>
      <c r="Y899" t="b">
        <v>0</v>
      </c>
      <c r="Z899" t="s">
        <v>1412</v>
      </c>
      <c r="AA899" t="s">
        <v>1412</v>
      </c>
      <c r="AB899" t="s">
        <v>1412</v>
      </c>
      <c r="AC899" t="s">
        <v>1390</v>
      </c>
      <c r="AD899" t="s">
        <v>1397</v>
      </c>
      <c r="AE899" t="s">
        <v>1395</v>
      </c>
    </row>
    <row r="900" spans="1:31" x14ac:dyDescent="0.3">
      <c r="A900" t="s">
        <v>1080</v>
      </c>
      <c r="B900" s="4">
        <v>45583.490277777782</v>
      </c>
      <c r="C900" t="s">
        <v>81</v>
      </c>
      <c r="D900" t="s">
        <v>1148</v>
      </c>
      <c r="E900" t="s">
        <v>1149</v>
      </c>
      <c r="F900" t="str" cm="1">
        <f t="array" ref="F900">_xlfn.IFS(
E900="Ahmedabad","Gujarat",
E900="Bengaluru","Karnataka",
E900="Bhopal","Madhya Pradesh",
E900="Bhubaneswar","Odisha",
E900="Chandigarh","Chandigarh",
E900="Chennai","Tamil Nadu",
E900="Delhi","Delhi",
E900="Guwahati","Assam",
E900="Hyderabad","Telangana",
E900="Indore","Madhya Pradesh",
E900="Jaipur","Rajasthan",
E900="Kochi","Kerala",
E900="Kolkata","West Bengal",
E900="Lucknow","Uttar Pradesh",
E900="Mumbai","Maharashtra",
E900="Nagpur","Maharashtra",
E900="Patna","Bihar",
E900="Pune","Maharashtra",
E900="Raipur","Chhattisgarh",
E900="Surat","Gujarat",
TRUE,"Not Found"
)</f>
        <v>Uttar Pradesh</v>
      </c>
      <c r="G900" t="s">
        <v>1187</v>
      </c>
      <c r="H900" t="s">
        <v>1144</v>
      </c>
      <c r="I900" t="s">
        <v>1276</v>
      </c>
      <c r="J900" t="s">
        <v>1286</v>
      </c>
      <c r="K900" t="s">
        <v>1287</v>
      </c>
      <c r="L900">
        <v>2</v>
      </c>
      <c r="M900">
        <v>1922</v>
      </c>
      <c r="N900">
        <v>0</v>
      </c>
      <c r="O900">
        <v>1922</v>
      </c>
      <c r="P900">
        <v>0.18</v>
      </c>
      <c r="Q900">
        <v>3844</v>
      </c>
      <c r="R900">
        <v>691.92</v>
      </c>
      <c r="S900">
        <v>4535.92</v>
      </c>
      <c r="T900">
        <f>ROUND(Table2[[#This Row],[TotalAmount]],0)</f>
        <v>4536</v>
      </c>
      <c r="U900" t="s">
        <v>1363</v>
      </c>
      <c r="V900" t="s">
        <v>1368</v>
      </c>
      <c r="W900" s="4">
        <v>45583</v>
      </c>
      <c r="X900" s="4" t="s">
        <v>1412</v>
      </c>
      <c r="Y900" t="b">
        <v>0</v>
      </c>
      <c r="Z900" t="s">
        <v>1412</v>
      </c>
      <c r="AA900" t="s">
        <v>1412</v>
      </c>
      <c r="AB900" t="s">
        <v>1412</v>
      </c>
      <c r="AC900" t="s">
        <v>1379</v>
      </c>
      <c r="AD900" t="s">
        <v>1385</v>
      </c>
      <c r="AE900" t="s">
        <v>1395</v>
      </c>
    </row>
    <row r="901" spans="1:31" x14ac:dyDescent="0.3">
      <c r="A901" t="s">
        <v>1081</v>
      </c>
      <c r="B901" s="4">
        <v>45359.479861111111</v>
      </c>
      <c r="C901" t="s">
        <v>38</v>
      </c>
      <c r="D901" t="s">
        <v>1148</v>
      </c>
      <c r="E901" t="s">
        <v>1149</v>
      </c>
      <c r="F901" t="str" cm="1">
        <f t="array" ref="F901">_xlfn.IFS(
E901="Ahmedabad","Gujarat",
E901="Bengaluru","Karnataka",
E901="Bhopal","Madhya Pradesh",
E901="Bhubaneswar","Odisha",
E901="Chandigarh","Chandigarh",
E901="Chennai","Tamil Nadu",
E901="Delhi","Delhi",
E901="Guwahati","Assam",
E901="Hyderabad","Telangana",
E901="Indore","Madhya Pradesh",
E901="Jaipur","Rajasthan",
E901="Kochi","Kerala",
E901="Kolkata","West Bengal",
E901="Lucknow","Uttar Pradesh",
E901="Mumbai","Maharashtra",
E901="Nagpur","Maharashtra",
E901="Patna","Bihar",
E901="Pune","Maharashtra",
E901="Raipur","Chhattisgarh",
E901="Surat","Gujarat",
TRUE,"Not Found"
)</f>
        <v>Uttar Pradesh</v>
      </c>
      <c r="G901" t="s">
        <v>1150</v>
      </c>
      <c r="H901" t="s">
        <v>1172</v>
      </c>
      <c r="I901" t="s">
        <v>1229</v>
      </c>
      <c r="J901" t="s">
        <v>1295</v>
      </c>
      <c r="K901" t="s">
        <v>1296</v>
      </c>
      <c r="L901">
        <v>1</v>
      </c>
      <c r="M901">
        <v>8168</v>
      </c>
      <c r="N901">
        <v>0.05</v>
      </c>
      <c r="O901">
        <v>7759.5999999999995</v>
      </c>
      <c r="P901">
        <v>0.18</v>
      </c>
      <c r="Q901">
        <v>7759.5999999999995</v>
      </c>
      <c r="R901">
        <v>1396.7280000000001</v>
      </c>
      <c r="S901">
        <v>9156.3279999999995</v>
      </c>
      <c r="T901">
        <f>ROUND(Table2[[#This Row],[TotalAmount]],0)</f>
        <v>9156</v>
      </c>
      <c r="U901" t="s">
        <v>1362</v>
      </c>
      <c r="V901" t="s">
        <v>1369</v>
      </c>
      <c r="W901" s="4" t="s">
        <v>1412</v>
      </c>
      <c r="X901" s="4" t="s">
        <v>1412</v>
      </c>
      <c r="Y901" t="b">
        <v>0</v>
      </c>
      <c r="Z901" t="s">
        <v>1412</v>
      </c>
      <c r="AA901" t="s">
        <v>1412</v>
      </c>
      <c r="AB901" t="s">
        <v>1412</v>
      </c>
      <c r="AC901" t="s">
        <v>1376</v>
      </c>
      <c r="AD901" t="s">
        <v>1387</v>
      </c>
      <c r="AE901" t="s">
        <v>1389</v>
      </c>
    </row>
    <row r="902" spans="1:31" x14ac:dyDescent="0.3">
      <c r="A902" t="s">
        <v>1082</v>
      </c>
      <c r="B902" s="4">
        <v>45520.421527777777</v>
      </c>
      <c r="C902" t="s">
        <v>768</v>
      </c>
      <c r="D902" t="s">
        <v>1182</v>
      </c>
      <c r="E902" t="s">
        <v>1256</v>
      </c>
      <c r="F902" t="str" cm="1">
        <f t="array" ref="F902">_xlfn.IFS(
E902="Ahmedabad","Gujarat",
E902="Bengaluru","Karnataka",
E902="Bhopal","Madhya Pradesh",
E902="Bhubaneswar","Odisha",
E902="Chandigarh","Chandigarh",
E902="Chennai","Tamil Nadu",
E902="Delhi","Delhi",
E902="Guwahati","Assam",
E902="Hyderabad","Telangana",
E902="Indore","Madhya Pradesh",
E902="Jaipur","Rajasthan",
E902="Kochi","Kerala",
E902="Kolkata","West Bengal",
E902="Lucknow","Uttar Pradesh",
E902="Mumbai","Maharashtra",
E902="Nagpur","Maharashtra",
E902="Patna","Bihar",
E902="Pune","Maharashtra",
E902="Raipur","Chhattisgarh",
E902="Surat","Gujarat",
TRUE,"Not Found"
)</f>
        <v>Karnataka</v>
      </c>
      <c r="G902" t="s">
        <v>1143</v>
      </c>
      <c r="H902" t="s">
        <v>1177</v>
      </c>
      <c r="I902" t="s">
        <v>1309</v>
      </c>
      <c r="J902" t="s">
        <v>1328</v>
      </c>
      <c r="K902" t="s">
        <v>1329</v>
      </c>
      <c r="L902">
        <v>1</v>
      </c>
      <c r="M902">
        <v>2945</v>
      </c>
      <c r="N902">
        <v>0.15</v>
      </c>
      <c r="O902">
        <v>2503.25</v>
      </c>
      <c r="P902">
        <v>0.12</v>
      </c>
      <c r="Q902">
        <v>2503.25</v>
      </c>
      <c r="R902">
        <v>300.39</v>
      </c>
      <c r="S902">
        <v>2803.64</v>
      </c>
      <c r="T902">
        <f>ROUND(Table2[[#This Row],[TotalAmount]],0)</f>
        <v>2804</v>
      </c>
      <c r="U902" t="s">
        <v>1366</v>
      </c>
      <c r="V902" t="s">
        <v>1368</v>
      </c>
      <c r="W902" s="4">
        <v>45520</v>
      </c>
      <c r="X902" s="4" t="s">
        <v>1412</v>
      </c>
      <c r="Y902" t="b">
        <v>0</v>
      </c>
      <c r="Z902" t="s">
        <v>1412</v>
      </c>
      <c r="AA902" t="s">
        <v>1412</v>
      </c>
      <c r="AB902" t="s">
        <v>1412</v>
      </c>
      <c r="AC902" t="s">
        <v>1388</v>
      </c>
      <c r="AD902" t="s">
        <v>1399</v>
      </c>
      <c r="AE902" t="s">
        <v>1380</v>
      </c>
    </row>
    <row r="903" spans="1:31" x14ac:dyDescent="0.3">
      <c r="A903" t="s">
        <v>1083</v>
      </c>
      <c r="B903" s="4">
        <v>45640.478472222218</v>
      </c>
      <c r="C903" t="s">
        <v>20</v>
      </c>
      <c r="D903" t="s">
        <v>1157</v>
      </c>
      <c r="E903" t="s">
        <v>1181</v>
      </c>
      <c r="F903" t="str" cm="1">
        <f t="array" ref="F903">_xlfn.IFS(
E903="Ahmedabad","Gujarat",
E903="Bengaluru","Karnataka",
E903="Bhopal","Madhya Pradesh",
E903="Bhubaneswar","Odisha",
E903="Chandigarh","Chandigarh",
E903="Chennai","Tamil Nadu",
E903="Delhi","Delhi",
E903="Guwahati","Assam",
E903="Hyderabad","Telangana",
E903="Indore","Madhya Pradesh",
E903="Jaipur","Rajasthan",
E903="Kochi","Kerala",
E903="Kolkata","West Bengal",
E903="Lucknow","Uttar Pradesh",
E903="Mumbai","Maharashtra",
E903="Nagpur","Maharashtra",
E903="Patna","Bihar",
E903="Pune","Maharashtra",
E903="Raipur","Chhattisgarh",
E903="Surat","Gujarat",
TRUE,"Not Found"
)</f>
        <v>Gujarat</v>
      </c>
      <c r="G903" t="s">
        <v>1143</v>
      </c>
      <c r="H903" t="s">
        <v>1144</v>
      </c>
      <c r="I903" t="s">
        <v>1159</v>
      </c>
      <c r="J903" t="s">
        <v>1160</v>
      </c>
      <c r="K903" t="s">
        <v>1161</v>
      </c>
      <c r="L903">
        <v>2</v>
      </c>
      <c r="M903">
        <v>9726</v>
      </c>
      <c r="N903">
        <v>0</v>
      </c>
      <c r="O903">
        <v>9726</v>
      </c>
      <c r="P903">
        <v>0.12</v>
      </c>
      <c r="Q903">
        <v>19452</v>
      </c>
      <c r="R903">
        <v>2334.2399999999998</v>
      </c>
      <c r="S903">
        <v>21786.240000000002</v>
      </c>
      <c r="T903">
        <f>ROUND(Table2[[#This Row],[TotalAmount]],0)</f>
        <v>21786</v>
      </c>
      <c r="U903" t="s">
        <v>1363</v>
      </c>
      <c r="V903" t="s">
        <v>1361</v>
      </c>
      <c r="W903" s="4">
        <v>45642</v>
      </c>
      <c r="X903" s="4">
        <v>45646</v>
      </c>
      <c r="Y903" t="b">
        <v>0</v>
      </c>
      <c r="Z903" t="s">
        <v>1412</v>
      </c>
      <c r="AA903" t="s">
        <v>1412</v>
      </c>
      <c r="AB903" t="s">
        <v>1412</v>
      </c>
      <c r="AC903" t="s">
        <v>1398</v>
      </c>
      <c r="AD903" t="s">
        <v>1377</v>
      </c>
      <c r="AE903" t="s">
        <v>1393</v>
      </c>
    </row>
    <row r="904" spans="1:31" x14ac:dyDescent="0.3">
      <c r="A904" t="s">
        <v>1084</v>
      </c>
      <c r="B904" s="4">
        <v>45314.564583333333</v>
      </c>
      <c r="C904" t="s">
        <v>176</v>
      </c>
      <c r="D904" t="s">
        <v>1148</v>
      </c>
      <c r="E904" t="s">
        <v>1262</v>
      </c>
      <c r="F904" t="str" cm="1">
        <f t="array" ref="F904">_xlfn.IFS(
E904="Ahmedabad","Gujarat",
E904="Bengaluru","Karnataka",
E904="Bhopal","Madhya Pradesh",
E904="Bhubaneswar","Odisha",
E904="Chandigarh","Chandigarh",
E904="Chennai","Tamil Nadu",
E904="Delhi","Delhi",
E904="Guwahati","Assam",
E904="Hyderabad","Telangana",
E904="Indore","Madhya Pradesh",
E904="Jaipur","Rajasthan",
E904="Kochi","Kerala",
E904="Kolkata","West Bengal",
E904="Lucknow","Uttar Pradesh",
E904="Mumbai","Maharashtra",
E904="Nagpur","Maharashtra",
E904="Patna","Bihar",
E904="Pune","Maharashtra",
E904="Raipur","Chhattisgarh",
E904="Surat","Gujarat",
TRUE,"Not Found"
)</f>
        <v>Rajasthan</v>
      </c>
      <c r="G904" t="s">
        <v>1143</v>
      </c>
      <c r="H904" t="s">
        <v>1163</v>
      </c>
      <c r="I904" t="s">
        <v>1240</v>
      </c>
      <c r="J904" t="s">
        <v>1247</v>
      </c>
      <c r="K904" t="s">
        <v>1248</v>
      </c>
      <c r="L904">
        <v>1</v>
      </c>
      <c r="M904">
        <v>867</v>
      </c>
      <c r="N904">
        <v>0</v>
      </c>
      <c r="O904">
        <v>867</v>
      </c>
      <c r="P904">
        <v>0.12</v>
      </c>
      <c r="Q904">
        <v>867</v>
      </c>
      <c r="R904">
        <v>104.04</v>
      </c>
      <c r="S904">
        <v>971.04</v>
      </c>
      <c r="T904">
        <f>ROUND(Table2[[#This Row],[TotalAmount]],0)</f>
        <v>971</v>
      </c>
      <c r="U904" t="s">
        <v>1366</v>
      </c>
      <c r="V904" t="s">
        <v>1361</v>
      </c>
      <c r="W904" s="4">
        <v>45315</v>
      </c>
      <c r="X904" s="4">
        <v>45319</v>
      </c>
      <c r="Y904" t="b">
        <v>0</v>
      </c>
      <c r="Z904" t="s">
        <v>1412</v>
      </c>
      <c r="AA904" t="s">
        <v>1412</v>
      </c>
      <c r="AB904" t="s">
        <v>1412</v>
      </c>
      <c r="AC904" t="s">
        <v>1386</v>
      </c>
      <c r="AD904" t="s">
        <v>1399</v>
      </c>
      <c r="AE904" t="s">
        <v>1391</v>
      </c>
    </row>
    <row r="905" spans="1:31" x14ac:dyDescent="0.3">
      <c r="A905" t="s">
        <v>1085</v>
      </c>
      <c r="B905" s="4">
        <v>45408.427777777782</v>
      </c>
      <c r="C905" t="s">
        <v>275</v>
      </c>
      <c r="D905" t="s">
        <v>1141</v>
      </c>
      <c r="E905" t="s">
        <v>1227</v>
      </c>
      <c r="F905" t="str" cm="1">
        <f t="array" ref="F905">_xlfn.IFS(
E905="Ahmedabad","Gujarat",
E905="Bengaluru","Karnataka",
E905="Bhopal","Madhya Pradesh",
E905="Bhubaneswar","Odisha",
E905="Chandigarh","Chandigarh",
E905="Chennai","Tamil Nadu",
E905="Delhi","Delhi",
E905="Guwahati","Assam",
E905="Hyderabad","Telangana",
E905="Indore","Madhya Pradesh",
E905="Jaipur","Rajasthan",
E905="Kochi","Kerala",
E905="Kolkata","West Bengal",
E905="Lucknow","Uttar Pradesh",
E905="Mumbai","Maharashtra",
E905="Nagpur","Maharashtra",
E905="Patna","Bihar",
E905="Pune","Maharashtra",
E905="Raipur","Chhattisgarh",
E905="Surat","Gujarat",
TRUE,"Not Found"
)</f>
        <v>Bihar</v>
      </c>
      <c r="G905" t="s">
        <v>1228</v>
      </c>
      <c r="H905" t="s">
        <v>1172</v>
      </c>
      <c r="I905" t="s">
        <v>1198</v>
      </c>
      <c r="J905" t="s">
        <v>1250</v>
      </c>
      <c r="K905" t="s">
        <v>1251</v>
      </c>
      <c r="L905">
        <v>5</v>
      </c>
      <c r="M905">
        <v>9658</v>
      </c>
      <c r="N905">
        <v>0.2</v>
      </c>
      <c r="O905">
        <v>7726.4000000000005</v>
      </c>
      <c r="P905">
        <v>0.05</v>
      </c>
      <c r="Q905">
        <v>38632</v>
      </c>
      <c r="R905">
        <v>1931.6</v>
      </c>
      <c r="S905">
        <v>40563.599999999999</v>
      </c>
      <c r="T905">
        <f>ROUND(Table2[[#This Row],[TotalAmount]],0)</f>
        <v>40564</v>
      </c>
      <c r="U905" t="s">
        <v>1360</v>
      </c>
      <c r="V905" t="s">
        <v>1361</v>
      </c>
      <c r="W905" s="4">
        <v>45410</v>
      </c>
      <c r="X905" s="4">
        <v>45414</v>
      </c>
      <c r="Y905" t="b">
        <v>0</v>
      </c>
      <c r="Z905" t="s">
        <v>1412</v>
      </c>
      <c r="AA905" t="s">
        <v>1412</v>
      </c>
      <c r="AB905" t="s">
        <v>1412</v>
      </c>
      <c r="AC905" t="s">
        <v>1386</v>
      </c>
      <c r="AD905" t="s">
        <v>1397</v>
      </c>
      <c r="AE905" t="s">
        <v>1389</v>
      </c>
    </row>
    <row r="906" spans="1:31" x14ac:dyDescent="0.3">
      <c r="A906" t="s">
        <v>1086</v>
      </c>
      <c r="B906" s="4">
        <v>45668.481249999997</v>
      </c>
      <c r="C906" t="s">
        <v>73</v>
      </c>
      <c r="D906" t="s">
        <v>1157</v>
      </c>
      <c r="E906" t="s">
        <v>1249</v>
      </c>
      <c r="F906" t="str" cm="1">
        <f t="array" ref="F906">_xlfn.IFS(
E906="Ahmedabad","Gujarat",
E906="Bengaluru","Karnataka",
E906="Bhopal","Madhya Pradesh",
E906="Bhubaneswar","Odisha",
E906="Chandigarh","Chandigarh",
E906="Chennai","Tamil Nadu",
E906="Delhi","Delhi",
E906="Guwahati","Assam",
E906="Hyderabad","Telangana",
E906="Indore","Madhya Pradesh",
E906="Jaipur","Rajasthan",
E906="Kochi","Kerala",
E906="Kolkata","West Bengal",
E906="Lucknow","Uttar Pradesh",
E906="Mumbai","Maharashtra",
E906="Nagpur","Maharashtra",
E906="Patna","Bihar",
E906="Pune","Maharashtra",
E906="Raipur","Chhattisgarh",
E906="Surat","Gujarat",
TRUE,"Not Found"
)</f>
        <v>Maharashtra</v>
      </c>
      <c r="G906" t="s">
        <v>1143</v>
      </c>
      <c r="H906" t="s">
        <v>1172</v>
      </c>
      <c r="I906" t="s">
        <v>1198</v>
      </c>
      <c r="J906" t="s">
        <v>1303</v>
      </c>
      <c r="K906" t="s">
        <v>1304</v>
      </c>
      <c r="L906">
        <v>3</v>
      </c>
      <c r="M906">
        <v>7213</v>
      </c>
      <c r="N906">
        <v>0</v>
      </c>
      <c r="O906">
        <v>7213</v>
      </c>
      <c r="P906">
        <v>0.18</v>
      </c>
      <c r="Q906">
        <v>21639</v>
      </c>
      <c r="R906">
        <v>3895.02</v>
      </c>
      <c r="S906">
        <v>25534.02</v>
      </c>
      <c r="T906">
        <f>ROUND(Table2[[#This Row],[TotalAmount]],0)</f>
        <v>25534</v>
      </c>
      <c r="U906" t="s">
        <v>1363</v>
      </c>
      <c r="V906" t="s">
        <v>1361</v>
      </c>
      <c r="W906" s="4">
        <v>45668</v>
      </c>
      <c r="X906" s="4">
        <v>45671</v>
      </c>
      <c r="Y906" t="b">
        <v>0</v>
      </c>
      <c r="Z906" t="s">
        <v>1412</v>
      </c>
      <c r="AA906" t="s">
        <v>1412</v>
      </c>
      <c r="AB906" t="s">
        <v>1412</v>
      </c>
      <c r="AC906" t="s">
        <v>1379</v>
      </c>
      <c r="AD906" t="s">
        <v>1387</v>
      </c>
      <c r="AE906" t="s">
        <v>1391</v>
      </c>
    </row>
    <row r="907" spans="1:31" x14ac:dyDescent="0.3">
      <c r="A907" t="s">
        <v>1087</v>
      </c>
      <c r="B907" s="4">
        <v>45651.615972222222</v>
      </c>
      <c r="C907" t="s">
        <v>146</v>
      </c>
      <c r="D907" t="s">
        <v>1148</v>
      </c>
      <c r="E907" t="s">
        <v>1149</v>
      </c>
      <c r="F907" t="str" cm="1">
        <f t="array" ref="F907">_xlfn.IFS(
E907="Ahmedabad","Gujarat",
E907="Bengaluru","Karnataka",
E907="Bhopal","Madhya Pradesh",
E907="Bhubaneswar","Odisha",
E907="Chandigarh","Chandigarh",
E907="Chennai","Tamil Nadu",
E907="Delhi","Delhi",
E907="Guwahati","Assam",
E907="Hyderabad","Telangana",
E907="Indore","Madhya Pradesh",
E907="Jaipur","Rajasthan",
E907="Kochi","Kerala",
E907="Kolkata","West Bengal",
E907="Lucknow","Uttar Pradesh",
E907="Mumbai","Maharashtra",
E907="Nagpur","Maharashtra",
E907="Patna","Bihar",
E907="Pune","Maharashtra",
E907="Raipur","Chhattisgarh",
E907="Surat","Gujarat",
TRUE,"Not Found"
)</f>
        <v>Uttar Pradesh</v>
      </c>
      <c r="G907" t="s">
        <v>1150</v>
      </c>
      <c r="H907" t="s">
        <v>1177</v>
      </c>
      <c r="I907" t="s">
        <v>1192</v>
      </c>
      <c r="J907" t="s">
        <v>1344</v>
      </c>
      <c r="K907" t="s">
        <v>1345</v>
      </c>
      <c r="L907">
        <v>3</v>
      </c>
      <c r="M907">
        <v>1910</v>
      </c>
      <c r="N907">
        <v>0.15</v>
      </c>
      <c r="O907">
        <v>1623.5</v>
      </c>
      <c r="P907">
        <v>0.18</v>
      </c>
      <c r="Q907">
        <v>4870.5</v>
      </c>
      <c r="R907">
        <v>876.68999999999994</v>
      </c>
      <c r="S907">
        <v>5747.19</v>
      </c>
      <c r="T907">
        <f>ROUND(Table2[[#This Row],[TotalAmount]],0)</f>
        <v>5747</v>
      </c>
      <c r="U907" t="s">
        <v>1363</v>
      </c>
      <c r="V907" t="s">
        <v>1361</v>
      </c>
      <c r="W907" s="4">
        <v>45651</v>
      </c>
      <c r="X907" s="4">
        <v>45654</v>
      </c>
      <c r="Y907" t="b">
        <v>0</v>
      </c>
      <c r="Z907" t="s">
        <v>1412</v>
      </c>
      <c r="AA907" t="s">
        <v>1412</v>
      </c>
      <c r="AB907" t="s">
        <v>1412</v>
      </c>
      <c r="AC907" t="s">
        <v>1382</v>
      </c>
      <c r="AD907" t="s">
        <v>1377</v>
      </c>
      <c r="AE907" t="s">
        <v>1380</v>
      </c>
    </row>
    <row r="908" spans="1:31" x14ac:dyDescent="0.3">
      <c r="A908" t="s">
        <v>1088</v>
      </c>
      <c r="B908" s="4">
        <v>45365.654861111107</v>
      </c>
      <c r="C908" t="s">
        <v>51</v>
      </c>
      <c r="D908" t="s">
        <v>1141</v>
      </c>
      <c r="E908" t="s">
        <v>1227</v>
      </c>
      <c r="F908" t="str" cm="1">
        <f t="array" ref="F908">_xlfn.IFS(
E908="Ahmedabad","Gujarat",
E908="Bengaluru","Karnataka",
E908="Bhopal","Madhya Pradesh",
E908="Bhubaneswar","Odisha",
E908="Chandigarh","Chandigarh",
E908="Chennai","Tamil Nadu",
E908="Delhi","Delhi",
E908="Guwahati","Assam",
E908="Hyderabad","Telangana",
E908="Indore","Madhya Pradesh",
E908="Jaipur","Rajasthan",
E908="Kochi","Kerala",
E908="Kolkata","West Bengal",
E908="Lucknow","Uttar Pradesh",
E908="Mumbai","Maharashtra",
E908="Nagpur","Maharashtra",
E908="Patna","Bihar",
E908="Pune","Maharashtra",
E908="Raipur","Chhattisgarh",
E908="Surat","Gujarat",
TRUE,"Not Found"
)</f>
        <v>Bihar</v>
      </c>
      <c r="G908" t="s">
        <v>1228</v>
      </c>
      <c r="H908" t="s">
        <v>1177</v>
      </c>
      <c r="I908" t="s">
        <v>1195</v>
      </c>
      <c r="J908" t="s">
        <v>1202</v>
      </c>
      <c r="K908" t="s">
        <v>1203</v>
      </c>
      <c r="L908">
        <v>2</v>
      </c>
      <c r="M908">
        <v>1513</v>
      </c>
      <c r="N908">
        <v>0.05</v>
      </c>
      <c r="O908">
        <v>1437.35</v>
      </c>
      <c r="P908">
        <v>0.12</v>
      </c>
      <c r="Q908">
        <v>2874.7</v>
      </c>
      <c r="R908">
        <v>344.96399999999988</v>
      </c>
      <c r="S908">
        <v>3219.6640000000002</v>
      </c>
      <c r="T908">
        <f>ROUND(Table2[[#This Row],[TotalAmount]],0)</f>
        <v>3220</v>
      </c>
      <c r="U908" t="s">
        <v>1360</v>
      </c>
      <c r="V908" t="s">
        <v>1361</v>
      </c>
      <c r="W908" s="4">
        <v>45367</v>
      </c>
      <c r="X908" s="4">
        <v>45371</v>
      </c>
      <c r="Y908" t="b">
        <v>0</v>
      </c>
      <c r="Z908" t="s">
        <v>1412</v>
      </c>
      <c r="AA908" t="s">
        <v>1412</v>
      </c>
      <c r="AB908" t="s">
        <v>1412</v>
      </c>
      <c r="AC908" t="s">
        <v>1398</v>
      </c>
      <c r="AD908" t="s">
        <v>1394</v>
      </c>
      <c r="AE908" t="s">
        <v>1383</v>
      </c>
    </row>
    <row r="909" spans="1:31" x14ac:dyDescent="0.3">
      <c r="A909" t="s">
        <v>1089</v>
      </c>
      <c r="B909" s="4">
        <v>45645.647916666669</v>
      </c>
      <c r="C909" t="s">
        <v>627</v>
      </c>
      <c r="D909" t="s">
        <v>1182</v>
      </c>
      <c r="E909" t="s">
        <v>1256</v>
      </c>
      <c r="F909" t="str" cm="1">
        <f t="array" ref="F909">_xlfn.IFS(
E909="Ahmedabad","Gujarat",
E909="Bengaluru","Karnataka",
E909="Bhopal","Madhya Pradesh",
E909="Bhubaneswar","Odisha",
E909="Chandigarh","Chandigarh",
E909="Chennai","Tamil Nadu",
E909="Delhi","Delhi",
E909="Guwahati","Assam",
E909="Hyderabad","Telangana",
E909="Indore","Madhya Pradesh",
E909="Jaipur","Rajasthan",
E909="Kochi","Kerala",
E909="Kolkata","West Bengal",
E909="Lucknow","Uttar Pradesh",
E909="Mumbai","Maharashtra",
E909="Nagpur","Maharashtra",
E909="Patna","Bihar",
E909="Pune","Maharashtra",
E909="Raipur","Chhattisgarh",
E909="Surat","Gujarat",
TRUE,"Not Found"
)</f>
        <v>Karnataka</v>
      </c>
      <c r="G909" t="s">
        <v>1150</v>
      </c>
      <c r="H909" t="s">
        <v>1172</v>
      </c>
      <c r="I909" t="s">
        <v>1198</v>
      </c>
      <c r="J909" t="s">
        <v>1303</v>
      </c>
      <c r="K909" t="s">
        <v>1304</v>
      </c>
      <c r="L909">
        <v>2</v>
      </c>
      <c r="M909">
        <v>8250</v>
      </c>
      <c r="N909">
        <v>0</v>
      </c>
      <c r="O909">
        <v>8250</v>
      </c>
      <c r="P909">
        <v>0.18</v>
      </c>
      <c r="Q909">
        <v>16500</v>
      </c>
      <c r="R909">
        <v>2970</v>
      </c>
      <c r="S909">
        <v>19470</v>
      </c>
      <c r="T909">
        <f>ROUND(Table2[[#This Row],[TotalAmount]],0)</f>
        <v>19470</v>
      </c>
      <c r="U909" t="s">
        <v>1366</v>
      </c>
      <c r="V909" t="s">
        <v>1361</v>
      </c>
      <c r="W909" s="4">
        <v>45645</v>
      </c>
      <c r="X909" s="4">
        <v>45649</v>
      </c>
      <c r="Y909" t="b">
        <v>0</v>
      </c>
      <c r="Z909" t="s">
        <v>1412</v>
      </c>
      <c r="AA909" t="s">
        <v>1412</v>
      </c>
      <c r="AB909" t="s">
        <v>1412</v>
      </c>
      <c r="AC909" t="s">
        <v>1386</v>
      </c>
      <c r="AD909" t="s">
        <v>1394</v>
      </c>
      <c r="AE909" t="s">
        <v>1378</v>
      </c>
    </row>
    <row r="910" spans="1:31" x14ac:dyDescent="0.3">
      <c r="A910" t="s">
        <v>1090</v>
      </c>
      <c r="B910" s="4">
        <v>45589.658333333333</v>
      </c>
      <c r="C910" t="s">
        <v>117</v>
      </c>
      <c r="D910" t="s">
        <v>1141</v>
      </c>
      <c r="E910" t="s">
        <v>1285</v>
      </c>
      <c r="F910" t="str" cm="1">
        <f t="array" ref="F910">_xlfn.IFS(
E910="Ahmedabad","Gujarat",
E910="Bengaluru","Karnataka",
E910="Bhopal","Madhya Pradesh",
E910="Bhubaneswar","Odisha",
E910="Chandigarh","Chandigarh",
E910="Chennai","Tamil Nadu",
E910="Delhi","Delhi",
E910="Guwahati","Assam",
E910="Hyderabad","Telangana",
E910="Indore","Madhya Pradesh",
E910="Jaipur","Rajasthan",
E910="Kochi","Kerala",
E910="Kolkata","West Bengal",
E910="Lucknow","Uttar Pradesh",
E910="Mumbai","Maharashtra",
E910="Nagpur","Maharashtra",
E910="Patna","Bihar",
E910="Pune","Maharashtra",
E910="Raipur","Chhattisgarh",
E910="Surat","Gujarat",
TRUE,"Not Found"
)</f>
        <v>Assam</v>
      </c>
      <c r="G910" t="s">
        <v>1187</v>
      </c>
      <c r="H910" t="s">
        <v>1167</v>
      </c>
      <c r="I910" t="s">
        <v>1288</v>
      </c>
      <c r="J910" t="s">
        <v>1336</v>
      </c>
      <c r="K910" t="s">
        <v>1337</v>
      </c>
      <c r="L910">
        <v>3</v>
      </c>
      <c r="M910">
        <v>8178</v>
      </c>
      <c r="N910">
        <v>0</v>
      </c>
      <c r="O910">
        <v>8178</v>
      </c>
      <c r="P910">
        <v>0.12</v>
      </c>
      <c r="Q910">
        <v>24534</v>
      </c>
      <c r="R910">
        <v>2944.08</v>
      </c>
      <c r="S910">
        <v>27478.080000000002</v>
      </c>
      <c r="T910">
        <f>ROUND(Table2[[#This Row],[TotalAmount]],0)</f>
        <v>27478</v>
      </c>
      <c r="U910" t="s">
        <v>1363</v>
      </c>
      <c r="V910" t="s">
        <v>1368</v>
      </c>
      <c r="W910" s="4">
        <v>45591</v>
      </c>
      <c r="X910" s="4" t="s">
        <v>1412</v>
      </c>
      <c r="Y910" t="b">
        <v>0</v>
      </c>
      <c r="Z910" t="s">
        <v>1412</v>
      </c>
      <c r="AA910" t="s">
        <v>1412</v>
      </c>
      <c r="AB910" t="s">
        <v>1412</v>
      </c>
      <c r="AC910" t="s">
        <v>1388</v>
      </c>
      <c r="AD910" t="s">
        <v>1387</v>
      </c>
      <c r="AE910" t="s">
        <v>1391</v>
      </c>
    </row>
    <row r="911" spans="1:31" x14ac:dyDescent="0.3">
      <c r="A911" t="s">
        <v>1091</v>
      </c>
      <c r="B911" s="4">
        <v>45622.496527777781</v>
      </c>
      <c r="C911" t="s">
        <v>869</v>
      </c>
      <c r="D911" t="s">
        <v>1157</v>
      </c>
      <c r="E911" t="s">
        <v>1158</v>
      </c>
      <c r="F911" t="str" cm="1">
        <f t="array" ref="F911">_xlfn.IFS(
E911="Ahmedabad","Gujarat",
E911="Bengaluru","Karnataka",
E911="Bhopal","Madhya Pradesh",
E911="Bhubaneswar","Odisha",
E911="Chandigarh","Chandigarh",
E911="Chennai","Tamil Nadu",
E911="Delhi","Delhi",
E911="Guwahati","Assam",
E911="Hyderabad","Telangana",
E911="Indore","Madhya Pradesh",
E911="Jaipur","Rajasthan",
E911="Kochi","Kerala",
E911="Kolkata","West Bengal",
E911="Lucknow","Uttar Pradesh",
E911="Mumbai","Maharashtra",
E911="Nagpur","Maharashtra",
E911="Patna","Bihar",
E911="Pune","Maharashtra",
E911="Raipur","Chhattisgarh",
E911="Surat","Gujarat",
TRUE,"Not Found"
)</f>
        <v>Gujarat</v>
      </c>
      <c r="G911" t="s">
        <v>1143</v>
      </c>
      <c r="H911" t="s">
        <v>1144</v>
      </c>
      <c r="I911" t="s">
        <v>1214</v>
      </c>
      <c r="J911" t="s">
        <v>1320</v>
      </c>
      <c r="K911" t="s">
        <v>1321</v>
      </c>
      <c r="L911">
        <v>1</v>
      </c>
      <c r="M911">
        <v>14314</v>
      </c>
      <c r="N911">
        <v>0</v>
      </c>
      <c r="O911">
        <v>14314</v>
      </c>
      <c r="P911">
        <v>0.18</v>
      </c>
      <c r="Q911">
        <v>14314</v>
      </c>
      <c r="R911">
        <v>2576.52</v>
      </c>
      <c r="S911">
        <v>16890.52</v>
      </c>
      <c r="T911">
        <f>ROUND(Table2[[#This Row],[TotalAmount]],0)</f>
        <v>16891</v>
      </c>
      <c r="U911" t="s">
        <v>1363</v>
      </c>
      <c r="V911" t="s">
        <v>1368</v>
      </c>
      <c r="W911" s="4">
        <v>45624</v>
      </c>
      <c r="X911" s="4" t="s">
        <v>1412</v>
      </c>
      <c r="Y911" t="b">
        <v>0</v>
      </c>
      <c r="Z911" t="s">
        <v>1412</v>
      </c>
      <c r="AA911" t="s">
        <v>1412</v>
      </c>
      <c r="AB911" t="s">
        <v>1412</v>
      </c>
      <c r="AC911" t="s">
        <v>1382</v>
      </c>
      <c r="AD911" t="s">
        <v>1400</v>
      </c>
      <c r="AE911" t="s">
        <v>1383</v>
      </c>
    </row>
    <row r="912" spans="1:31" x14ac:dyDescent="0.3">
      <c r="A912" t="s">
        <v>1092</v>
      </c>
      <c r="B912" s="4">
        <v>45627.582638888889</v>
      </c>
      <c r="C912" t="s">
        <v>368</v>
      </c>
      <c r="D912" t="s">
        <v>1153</v>
      </c>
      <c r="E912" t="s">
        <v>1191</v>
      </c>
      <c r="F912" t="str" cm="1">
        <f t="array" ref="F912">_xlfn.IFS(
E912="Ahmedabad","Gujarat",
E912="Bengaluru","Karnataka",
E912="Bhopal","Madhya Pradesh",
E912="Bhubaneswar","Odisha",
E912="Chandigarh","Chandigarh",
E912="Chennai","Tamil Nadu",
E912="Delhi","Delhi",
E912="Guwahati","Assam",
E912="Hyderabad","Telangana",
E912="Indore","Madhya Pradesh",
E912="Jaipur","Rajasthan",
E912="Kochi","Kerala",
E912="Kolkata","West Bengal",
E912="Lucknow","Uttar Pradesh",
E912="Mumbai","Maharashtra",
E912="Nagpur","Maharashtra",
E912="Patna","Bihar",
E912="Pune","Maharashtra",
E912="Raipur","Chhattisgarh",
E912="Surat","Gujarat",
TRUE,"Not Found"
)</f>
        <v>Madhya Pradesh</v>
      </c>
      <c r="G912" t="s">
        <v>1228</v>
      </c>
      <c r="H912" t="s">
        <v>1167</v>
      </c>
      <c r="I912" t="s">
        <v>1263</v>
      </c>
      <c r="J912" t="s">
        <v>1274</v>
      </c>
      <c r="K912" t="s">
        <v>1275</v>
      </c>
      <c r="L912">
        <v>2</v>
      </c>
      <c r="M912">
        <v>58829</v>
      </c>
      <c r="N912">
        <v>0</v>
      </c>
      <c r="O912">
        <v>58829</v>
      </c>
      <c r="P912">
        <v>0.12</v>
      </c>
      <c r="Q912">
        <v>117658</v>
      </c>
      <c r="R912">
        <v>14118.96</v>
      </c>
      <c r="S912">
        <v>131776.95999999999</v>
      </c>
      <c r="T912">
        <f>ROUND(Table2[[#This Row],[TotalAmount]],0)</f>
        <v>131777</v>
      </c>
      <c r="U912" t="s">
        <v>1360</v>
      </c>
      <c r="V912" t="s">
        <v>1361</v>
      </c>
      <c r="W912" s="4">
        <v>45627</v>
      </c>
      <c r="X912" s="4">
        <v>45630</v>
      </c>
      <c r="Y912" t="b">
        <v>0</v>
      </c>
      <c r="Z912" t="s">
        <v>1412</v>
      </c>
      <c r="AA912" t="s">
        <v>1412</v>
      </c>
      <c r="AB912" t="s">
        <v>1412</v>
      </c>
      <c r="AC912" t="s">
        <v>1379</v>
      </c>
      <c r="AD912" t="s">
        <v>1387</v>
      </c>
      <c r="AE912" t="s">
        <v>1378</v>
      </c>
    </row>
    <row r="913" spans="1:31" x14ac:dyDescent="0.3">
      <c r="A913" t="s">
        <v>1093</v>
      </c>
      <c r="B913" s="4">
        <v>45530.583333333343</v>
      </c>
      <c r="C913" t="s">
        <v>211</v>
      </c>
      <c r="D913" t="s">
        <v>1157</v>
      </c>
      <c r="E913" t="s">
        <v>1181</v>
      </c>
      <c r="F913" t="str" cm="1">
        <f t="array" ref="F913">_xlfn.IFS(
E913="Ahmedabad","Gujarat",
E913="Bengaluru","Karnataka",
E913="Bhopal","Madhya Pradesh",
E913="Bhubaneswar","Odisha",
E913="Chandigarh","Chandigarh",
E913="Chennai","Tamil Nadu",
E913="Delhi","Delhi",
E913="Guwahati","Assam",
E913="Hyderabad","Telangana",
E913="Indore","Madhya Pradesh",
E913="Jaipur","Rajasthan",
E913="Kochi","Kerala",
E913="Kolkata","West Bengal",
E913="Lucknow","Uttar Pradesh",
E913="Mumbai","Maharashtra",
E913="Nagpur","Maharashtra",
E913="Patna","Bihar",
E913="Pune","Maharashtra",
E913="Raipur","Chhattisgarh",
E913="Surat","Gujarat",
TRUE,"Not Found"
)</f>
        <v>Gujarat</v>
      </c>
      <c r="G913" t="s">
        <v>1143</v>
      </c>
      <c r="H913" t="s">
        <v>1172</v>
      </c>
      <c r="I913" t="s">
        <v>1188</v>
      </c>
      <c r="J913" t="s">
        <v>1189</v>
      </c>
      <c r="K913" t="s">
        <v>1190</v>
      </c>
      <c r="L913">
        <v>4</v>
      </c>
      <c r="M913">
        <v>900</v>
      </c>
      <c r="N913">
        <v>0.1</v>
      </c>
      <c r="O913">
        <v>810</v>
      </c>
      <c r="P913">
        <v>0.18</v>
      </c>
      <c r="Q913">
        <v>3240</v>
      </c>
      <c r="R913">
        <v>583.19999999999993</v>
      </c>
      <c r="S913">
        <v>3823.2</v>
      </c>
      <c r="T913">
        <f>ROUND(Table2[[#This Row],[TotalAmount]],0)</f>
        <v>3823</v>
      </c>
      <c r="U913" t="s">
        <v>1360</v>
      </c>
      <c r="V913" t="s">
        <v>1368</v>
      </c>
      <c r="W913" s="4">
        <v>45531</v>
      </c>
      <c r="X913" s="4" t="s">
        <v>1412</v>
      </c>
      <c r="Y913" t="b">
        <v>0</v>
      </c>
      <c r="Z913" t="s">
        <v>1412</v>
      </c>
      <c r="AA913" t="s">
        <v>1412</v>
      </c>
      <c r="AB913" t="s">
        <v>1412</v>
      </c>
      <c r="AC913" t="s">
        <v>1396</v>
      </c>
      <c r="AD913" t="s">
        <v>1400</v>
      </c>
      <c r="AE913" t="s">
        <v>1380</v>
      </c>
    </row>
    <row r="914" spans="1:31" x14ac:dyDescent="0.3">
      <c r="A914" t="s">
        <v>1094</v>
      </c>
      <c r="B914" s="4">
        <v>45714.559027777781</v>
      </c>
      <c r="C914" t="s">
        <v>32</v>
      </c>
      <c r="D914" t="s">
        <v>1157</v>
      </c>
      <c r="E914" t="s">
        <v>1201</v>
      </c>
      <c r="F914" t="str" cm="1">
        <f t="array" ref="F914">_xlfn.IFS(
E914="Ahmedabad","Gujarat",
E914="Bengaluru","Karnataka",
E914="Bhopal","Madhya Pradesh",
E914="Bhubaneswar","Odisha",
E914="Chandigarh","Chandigarh",
E914="Chennai","Tamil Nadu",
E914="Delhi","Delhi",
E914="Guwahati","Assam",
E914="Hyderabad","Telangana",
E914="Indore","Madhya Pradesh",
E914="Jaipur","Rajasthan",
E914="Kochi","Kerala",
E914="Kolkata","West Bengal",
E914="Lucknow","Uttar Pradesh",
E914="Mumbai","Maharashtra",
E914="Nagpur","Maharashtra",
E914="Patna","Bihar",
E914="Pune","Maharashtra",
E914="Raipur","Chhattisgarh",
E914="Surat","Gujarat",
TRUE,"Not Found"
)</f>
        <v>Maharashtra</v>
      </c>
      <c r="G914" t="s">
        <v>1150</v>
      </c>
      <c r="H914" t="s">
        <v>1163</v>
      </c>
      <c r="I914" t="s">
        <v>1164</v>
      </c>
      <c r="J914" t="s">
        <v>1165</v>
      </c>
      <c r="K914" t="s">
        <v>1166</v>
      </c>
      <c r="L914">
        <v>4</v>
      </c>
      <c r="M914">
        <v>672</v>
      </c>
      <c r="N914">
        <v>0.05</v>
      </c>
      <c r="O914">
        <v>638.4</v>
      </c>
      <c r="P914">
        <v>0.12</v>
      </c>
      <c r="Q914">
        <v>2553.6</v>
      </c>
      <c r="R914">
        <v>306.43200000000002</v>
      </c>
      <c r="S914">
        <v>2860.0320000000002</v>
      </c>
      <c r="T914">
        <f>ROUND(Table2[[#This Row],[TotalAmount]],0)</f>
        <v>2860</v>
      </c>
      <c r="U914" t="s">
        <v>1360</v>
      </c>
      <c r="V914" t="s">
        <v>1364</v>
      </c>
      <c r="W914" s="4">
        <v>45716</v>
      </c>
      <c r="X914" s="4" t="s">
        <v>1412</v>
      </c>
      <c r="Y914" t="b">
        <v>1</v>
      </c>
      <c r="Z914" s="1">
        <v>45722</v>
      </c>
      <c r="AA914" s="1">
        <v>45722</v>
      </c>
      <c r="AB914" t="s">
        <v>1402</v>
      </c>
      <c r="AC914" t="s">
        <v>1376</v>
      </c>
      <c r="AD914" t="s">
        <v>1377</v>
      </c>
      <c r="AE914" t="s">
        <v>1380</v>
      </c>
    </row>
    <row r="915" spans="1:31" x14ac:dyDescent="0.3">
      <c r="A915" t="s">
        <v>1095</v>
      </c>
      <c r="B915" s="4">
        <v>45307.609722222223</v>
      </c>
      <c r="C915" t="s">
        <v>128</v>
      </c>
      <c r="D915" t="s">
        <v>1182</v>
      </c>
      <c r="E915" t="s">
        <v>1183</v>
      </c>
      <c r="F915" t="str" cm="1">
        <f t="array" ref="F915">_xlfn.IFS(
E915="Ahmedabad","Gujarat",
E915="Bengaluru","Karnataka",
E915="Bhopal","Madhya Pradesh",
E915="Bhubaneswar","Odisha",
E915="Chandigarh","Chandigarh",
E915="Chennai","Tamil Nadu",
E915="Delhi","Delhi",
E915="Guwahati","Assam",
E915="Hyderabad","Telangana",
E915="Indore","Madhya Pradesh",
E915="Jaipur","Rajasthan",
E915="Kochi","Kerala",
E915="Kolkata","West Bengal",
E915="Lucknow","Uttar Pradesh",
E915="Mumbai","Maharashtra",
E915="Nagpur","Maharashtra",
E915="Patna","Bihar",
E915="Pune","Maharashtra",
E915="Raipur","Chhattisgarh",
E915="Surat","Gujarat",
TRUE,"Not Found"
)</f>
        <v>Telangana</v>
      </c>
      <c r="G915" t="s">
        <v>1143</v>
      </c>
      <c r="H915" t="s">
        <v>1144</v>
      </c>
      <c r="I915" t="s">
        <v>1269</v>
      </c>
      <c r="J915" t="s">
        <v>1326</v>
      </c>
      <c r="K915" t="s">
        <v>1327</v>
      </c>
      <c r="L915">
        <v>3</v>
      </c>
      <c r="M915">
        <v>2994</v>
      </c>
      <c r="N915">
        <v>0</v>
      </c>
      <c r="O915">
        <v>2994</v>
      </c>
      <c r="P915">
        <v>0.12</v>
      </c>
      <c r="Q915">
        <v>8982</v>
      </c>
      <c r="R915">
        <v>1077.8399999999999</v>
      </c>
      <c r="S915">
        <v>10059.84</v>
      </c>
      <c r="T915">
        <f>ROUND(Table2[[#This Row],[TotalAmount]],0)</f>
        <v>10060</v>
      </c>
      <c r="U915" t="s">
        <v>1363</v>
      </c>
      <c r="V915" t="s">
        <v>1361</v>
      </c>
      <c r="W915" s="4">
        <v>45309</v>
      </c>
      <c r="X915" s="4">
        <v>45311</v>
      </c>
      <c r="Y915" t="b">
        <v>0</v>
      </c>
      <c r="Z915" t="s">
        <v>1412</v>
      </c>
      <c r="AA915" t="s">
        <v>1412</v>
      </c>
      <c r="AB915" t="s">
        <v>1412</v>
      </c>
      <c r="AC915" t="s">
        <v>1376</v>
      </c>
      <c r="AD915" t="s">
        <v>1399</v>
      </c>
      <c r="AE915" t="s">
        <v>1378</v>
      </c>
    </row>
    <row r="916" spans="1:31" x14ac:dyDescent="0.3">
      <c r="A916" t="s">
        <v>1096</v>
      </c>
      <c r="B916" s="4">
        <v>45436.522222222222</v>
      </c>
      <c r="C916" t="s">
        <v>551</v>
      </c>
      <c r="D916" t="s">
        <v>1157</v>
      </c>
      <c r="E916" t="s">
        <v>1201</v>
      </c>
      <c r="F916" t="str" cm="1">
        <f t="array" ref="F916">_xlfn.IFS(
E916="Ahmedabad","Gujarat",
E916="Bengaluru","Karnataka",
E916="Bhopal","Madhya Pradesh",
E916="Bhubaneswar","Odisha",
E916="Chandigarh","Chandigarh",
E916="Chennai","Tamil Nadu",
E916="Delhi","Delhi",
E916="Guwahati","Assam",
E916="Hyderabad","Telangana",
E916="Indore","Madhya Pradesh",
E916="Jaipur","Rajasthan",
E916="Kochi","Kerala",
E916="Kolkata","West Bengal",
E916="Lucknow","Uttar Pradesh",
E916="Mumbai","Maharashtra",
E916="Nagpur","Maharashtra",
E916="Patna","Bihar",
E916="Pune","Maharashtra",
E916="Raipur","Chhattisgarh",
E916="Surat","Gujarat",
TRUE,"Not Found"
)</f>
        <v>Maharashtra</v>
      </c>
      <c r="G916" t="s">
        <v>1150</v>
      </c>
      <c r="H916" t="s">
        <v>1177</v>
      </c>
      <c r="I916" t="s">
        <v>1192</v>
      </c>
      <c r="J916" t="s">
        <v>1344</v>
      </c>
      <c r="K916" t="s">
        <v>1345</v>
      </c>
      <c r="L916">
        <v>1</v>
      </c>
      <c r="M916">
        <v>1499</v>
      </c>
      <c r="N916">
        <v>0</v>
      </c>
      <c r="O916">
        <v>1499</v>
      </c>
      <c r="P916">
        <v>0.18</v>
      </c>
      <c r="Q916">
        <v>1499</v>
      </c>
      <c r="R916">
        <v>269.82</v>
      </c>
      <c r="S916">
        <v>1768.82</v>
      </c>
      <c r="T916">
        <f>ROUND(Table2[[#This Row],[TotalAmount]],0)</f>
        <v>1769</v>
      </c>
      <c r="U916" t="s">
        <v>1365</v>
      </c>
      <c r="V916" t="s">
        <v>1361</v>
      </c>
      <c r="W916" s="4">
        <v>45437</v>
      </c>
      <c r="X916" s="4">
        <v>45439</v>
      </c>
      <c r="Y916" t="b">
        <v>0</v>
      </c>
      <c r="Z916" t="s">
        <v>1412</v>
      </c>
      <c r="AA916" t="s">
        <v>1412</v>
      </c>
      <c r="AB916" t="s">
        <v>1412</v>
      </c>
      <c r="AC916" t="s">
        <v>1390</v>
      </c>
      <c r="AD916" t="s">
        <v>1400</v>
      </c>
      <c r="AE916" t="s">
        <v>1389</v>
      </c>
    </row>
    <row r="917" spans="1:31" x14ac:dyDescent="0.3">
      <c r="A917" t="s">
        <v>1097</v>
      </c>
      <c r="B917" s="4">
        <v>45760.445138888892</v>
      </c>
      <c r="C917" t="s">
        <v>610</v>
      </c>
      <c r="D917" t="s">
        <v>1157</v>
      </c>
      <c r="E917" t="s">
        <v>1181</v>
      </c>
      <c r="F917" t="str" cm="1">
        <f t="array" ref="F917">_xlfn.IFS(
E917="Ahmedabad","Gujarat",
E917="Bengaluru","Karnataka",
E917="Bhopal","Madhya Pradesh",
E917="Bhubaneswar","Odisha",
E917="Chandigarh","Chandigarh",
E917="Chennai","Tamil Nadu",
E917="Delhi","Delhi",
E917="Guwahati","Assam",
E917="Hyderabad","Telangana",
E917="Indore","Madhya Pradesh",
E917="Jaipur","Rajasthan",
E917="Kochi","Kerala",
E917="Kolkata","West Bengal",
E917="Lucknow","Uttar Pradesh",
E917="Mumbai","Maharashtra",
E917="Nagpur","Maharashtra",
E917="Patna","Bihar",
E917="Pune","Maharashtra",
E917="Raipur","Chhattisgarh",
E917="Surat","Gujarat",
TRUE,"Not Found"
)</f>
        <v>Gujarat</v>
      </c>
      <c r="G917" t="s">
        <v>1150</v>
      </c>
      <c r="H917" t="s">
        <v>1177</v>
      </c>
      <c r="I917" t="s">
        <v>1236</v>
      </c>
      <c r="J917" t="s">
        <v>1254</v>
      </c>
      <c r="K917" t="s">
        <v>1255</v>
      </c>
      <c r="L917">
        <v>2</v>
      </c>
      <c r="M917">
        <v>2125</v>
      </c>
      <c r="N917">
        <v>0.1</v>
      </c>
      <c r="O917">
        <v>1912.5</v>
      </c>
      <c r="P917">
        <v>0.18</v>
      </c>
      <c r="Q917">
        <v>3825</v>
      </c>
      <c r="R917">
        <v>688.5</v>
      </c>
      <c r="S917">
        <v>4513.5</v>
      </c>
      <c r="T917">
        <f>ROUND(Table2[[#This Row],[TotalAmount]],0)</f>
        <v>4514</v>
      </c>
      <c r="U917" t="s">
        <v>1365</v>
      </c>
      <c r="V917" t="s">
        <v>1361</v>
      </c>
      <c r="W917" s="4">
        <v>45762</v>
      </c>
      <c r="X917" s="4">
        <v>45766</v>
      </c>
      <c r="Y917" t="b">
        <v>0</v>
      </c>
      <c r="Z917" t="s">
        <v>1412</v>
      </c>
      <c r="AA917" t="s">
        <v>1412</v>
      </c>
      <c r="AB917" t="s">
        <v>1412</v>
      </c>
      <c r="AC917" t="s">
        <v>1386</v>
      </c>
      <c r="AD917" t="s">
        <v>1399</v>
      </c>
      <c r="AE917" t="s">
        <v>1391</v>
      </c>
    </row>
    <row r="918" spans="1:31" x14ac:dyDescent="0.3">
      <c r="A918" t="s">
        <v>1098</v>
      </c>
      <c r="B918" s="4">
        <v>45582.447222222218</v>
      </c>
      <c r="C918" t="s">
        <v>227</v>
      </c>
      <c r="D918" t="s">
        <v>1153</v>
      </c>
      <c r="E918" t="s">
        <v>1154</v>
      </c>
      <c r="F918" t="str" cm="1">
        <f t="array" ref="F918">_xlfn.IFS(
E918="Ahmedabad","Gujarat",
E918="Bengaluru","Karnataka",
E918="Bhopal","Madhya Pradesh",
E918="Bhubaneswar","Odisha",
E918="Chandigarh","Chandigarh",
E918="Chennai","Tamil Nadu",
E918="Delhi","Delhi",
E918="Guwahati","Assam",
E918="Hyderabad","Telangana",
E918="Indore","Madhya Pradesh",
E918="Jaipur","Rajasthan",
E918="Kochi","Kerala",
E918="Kolkata","West Bengal",
E918="Lucknow","Uttar Pradesh",
E918="Mumbai","Maharashtra",
E918="Nagpur","Maharashtra",
E918="Patna","Bihar",
E918="Pune","Maharashtra",
E918="Raipur","Chhattisgarh",
E918="Surat","Gujarat",
TRUE,"Not Found"
)</f>
        <v>Maharashtra</v>
      </c>
      <c r="G918" t="s">
        <v>1228</v>
      </c>
      <c r="H918" t="s">
        <v>1167</v>
      </c>
      <c r="I918" t="s">
        <v>1288</v>
      </c>
      <c r="J918" t="s">
        <v>1293</v>
      </c>
      <c r="K918" t="s">
        <v>1294</v>
      </c>
      <c r="L918">
        <v>1</v>
      </c>
      <c r="M918">
        <v>20010</v>
      </c>
      <c r="N918">
        <v>0</v>
      </c>
      <c r="O918">
        <v>20010</v>
      </c>
      <c r="P918">
        <v>0.18</v>
      </c>
      <c r="Q918">
        <v>20010</v>
      </c>
      <c r="R918">
        <v>3601.8</v>
      </c>
      <c r="S918">
        <v>23611.8</v>
      </c>
      <c r="T918">
        <f>ROUND(Table2[[#This Row],[TotalAmount]],0)</f>
        <v>23612</v>
      </c>
      <c r="U918" t="s">
        <v>1362</v>
      </c>
      <c r="V918" t="s">
        <v>1361</v>
      </c>
      <c r="W918" s="4">
        <v>45583</v>
      </c>
      <c r="X918" s="4">
        <v>45585</v>
      </c>
      <c r="Y918" t="b">
        <v>0</v>
      </c>
      <c r="Z918" t="s">
        <v>1412</v>
      </c>
      <c r="AA918" t="s">
        <v>1412</v>
      </c>
      <c r="AB918" t="s">
        <v>1412</v>
      </c>
      <c r="AC918" t="s">
        <v>1392</v>
      </c>
      <c r="AD918" t="s">
        <v>1400</v>
      </c>
      <c r="AE918" t="s">
        <v>1389</v>
      </c>
    </row>
    <row r="919" spans="1:31" x14ac:dyDescent="0.3">
      <c r="A919" t="s">
        <v>1099</v>
      </c>
      <c r="B919" s="4">
        <v>45535.501388888893</v>
      </c>
      <c r="C919" t="s">
        <v>288</v>
      </c>
      <c r="D919" t="s">
        <v>1148</v>
      </c>
      <c r="E919" t="s">
        <v>1262</v>
      </c>
      <c r="F919" t="str" cm="1">
        <f t="array" ref="F919">_xlfn.IFS(
E919="Ahmedabad","Gujarat",
E919="Bengaluru","Karnataka",
E919="Bhopal","Madhya Pradesh",
E919="Bhubaneswar","Odisha",
E919="Chandigarh","Chandigarh",
E919="Chennai","Tamil Nadu",
E919="Delhi","Delhi",
E919="Guwahati","Assam",
E919="Hyderabad","Telangana",
E919="Indore","Madhya Pradesh",
E919="Jaipur","Rajasthan",
E919="Kochi","Kerala",
E919="Kolkata","West Bengal",
E919="Lucknow","Uttar Pradesh",
E919="Mumbai","Maharashtra",
E919="Nagpur","Maharashtra",
E919="Patna","Bihar",
E919="Pune","Maharashtra",
E919="Raipur","Chhattisgarh",
E919="Surat","Gujarat",
TRUE,"Not Found"
)</f>
        <v>Rajasthan</v>
      </c>
      <c r="G919" t="s">
        <v>1150</v>
      </c>
      <c r="H919" t="s">
        <v>1144</v>
      </c>
      <c r="I919" t="s">
        <v>1159</v>
      </c>
      <c r="J919" t="s">
        <v>1334</v>
      </c>
      <c r="K919" t="s">
        <v>1335</v>
      </c>
      <c r="L919">
        <v>1</v>
      </c>
      <c r="M919">
        <v>10088</v>
      </c>
      <c r="N919">
        <v>0.15</v>
      </c>
      <c r="O919">
        <v>8574.7999999999993</v>
      </c>
      <c r="P919">
        <v>0.18</v>
      </c>
      <c r="Q919">
        <v>8574.7999999999993</v>
      </c>
      <c r="R919">
        <v>1543.4639999999999</v>
      </c>
      <c r="S919">
        <v>10118.263999999999</v>
      </c>
      <c r="T919">
        <f>ROUND(Table2[[#This Row],[TotalAmount]],0)</f>
        <v>10118</v>
      </c>
      <c r="U919" t="s">
        <v>1362</v>
      </c>
      <c r="V919" t="s">
        <v>1361</v>
      </c>
      <c r="W919" s="4">
        <v>45535</v>
      </c>
      <c r="X919" s="4">
        <v>45540</v>
      </c>
      <c r="Y919" t="b">
        <v>0</v>
      </c>
      <c r="Z919" t="s">
        <v>1412</v>
      </c>
      <c r="AA919" t="s">
        <v>1412</v>
      </c>
      <c r="AB919" t="s">
        <v>1412</v>
      </c>
      <c r="AC919" t="s">
        <v>1386</v>
      </c>
      <c r="AD919" t="s">
        <v>1387</v>
      </c>
      <c r="AE919" t="s">
        <v>1391</v>
      </c>
    </row>
    <row r="920" spans="1:31" x14ac:dyDescent="0.3">
      <c r="A920" t="s">
        <v>1100</v>
      </c>
      <c r="B920" s="4">
        <v>45660.502083333333</v>
      </c>
      <c r="C920" t="s">
        <v>59</v>
      </c>
      <c r="D920" t="s">
        <v>1148</v>
      </c>
      <c r="E920" t="s">
        <v>1217</v>
      </c>
      <c r="F920" t="str" cm="1">
        <f t="array" ref="F920">_xlfn.IFS(
E920="Ahmedabad","Gujarat",
E920="Bengaluru","Karnataka",
E920="Bhopal","Madhya Pradesh",
E920="Bhubaneswar","Odisha",
E920="Chandigarh","Chandigarh",
E920="Chennai","Tamil Nadu",
E920="Delhi","Delhi",
E920="Guwahati","Assam",
E920="Hyderabad","Telangana",
E920="Indore","Madhya Pradesh",
E920="Jaipur","Rajasthan",
E920="Kochi","Kerala",
E920="Kolkata","West Bengal",
E920="Lucknow","Uttar Pradesh",
E920="Mumbai","Maharashtra",
E920="Nagpur","Maharashtra",
E920="Patna","Bihar",
E920="Pune","Maharashtra",
E920="Raipur","Chhattisgarh",
E920="Surat","Gujarat",
TRUE,"Not Found"
)</f>
        <v>Delhi</v>
      </c>
      <c r="G920" t="s">
        <v>1228</v>
      </c>
      <c r="H920" t="s">
        <v>1177</v>
      </c>
      <c r="I920" t="s">
        <v>1236</v>
      </c>
      <c r="J920" t="s">
        <v>1254</v>
      </c>
      <c r="K920" t="s">
        <v>1255</v>
      </c>
      <c r="L920">
        <v>2</v>
      </c>
      <c r="M920">
        <v>1357</v>
      </c>
      <c r="N920">
        <v>0</v>
      </c>
      <c r="O920">
        <v>1357</v>
      </c>
      <c r="P920">
        <v>0.12</v>
      </c>
      <c r="Q920">
        <v>2714</v>
      </c>
      <c r="R920">
        <v>325.68</v>
      </c>
      <c r="S920">
        <v>3039.68</v>
      </c>
      <c r="T920">
        <f>ROUND(Table2[[#This Row],[TotalAmount]],0)</f>
        <v>3040</v>
      </c>
      <c r="U920" t="s">
        <v>1360</v>
      </c>
      <c r="V920" t="s">
        <v>1361</v>
      </c>
      <c r="W920" s="4">
        <v>45660</v>
      </c>
      <c r="X920" s="4">
        <v>45664</v>
      </c>
      <c r="Y920" t="b">
        <v>0</v>
      </c>
      <c r="Z920" t="s">
        <v>1412</v>
      </c>
      <c r="AA920" t="s">
        <v>1412</v>
      </c>
      <c r="AB920" t="s">
        <v>1412</v>
      </c>
      <c r="AC920" t="s">
        <v>1379</v>
      </c>
      <c r="AD920" t="s">
        <v>1399</v>
      </c>
      <c r="AE920" t="s">
        <v>1393</v>
      </c>
    </row>
    <row r="921" spans="1:31" x14ac:dyDescent="0.3">
      <c r="A921" t="s">
        <v>1101</v>
      </c>
      <c r="B921" s="4">
        <v>45292.537499999999</v>
      </c>
      <c r="C921" t="s">
        <v>727</v>
      </c>
      <c r="D921" t="s">
        <v>1153</v>
      </c>
      <c r="E921" t="s">
        <v>1154</v>
      </c>
      <c r="F921" t="str" cm="1">
        <f t="array" ref="F921">_xlfn.IFS(
E921="Ahmedabad","Gujarat",
E921="Bengaluru","Karnataka",
E921="Bhopal","Madhya Pradesh",
E921="Bhubaneswar","Odisha",
E921="Chandigarh","Chandigarh",
E921="Chennai","Tamil Nadu",
E921="Delhi","Delhi",
E921="Guwahati","Assam",
E921="Hyderabad","Telangana",
E921="Indore","Madhya Pradesh",
E921="Jaipur","Rajasthan",
E921="Kochi","Kerala",
E921="Kolkata","West Bengal",
E921="Lucknow","Uttar Pradesh",
E921="Mumbai","Maharashtra",
E921="Nagpur","Maharashtra",
E921="Patna","Bihar",
E921="Pune","Maharashtra",
E921="Raipur","Chhattisgarh",
E921="Surat","Gujarat",
TRUE,"Not Found"
)</f>
        <v>Maharashtra</v>
      </c>
      <c r="G921" t="s">
        <v>1150</v>
      </c>
      <c r="H921" t="s">
        <v>1167</v>
      </c>
      <c r="I921" t="s">
        <v>1208</v>
      </c>
      <c r="J921" t="s">
        <v>1291</v>
      </c>
      <c r="K921" t="s">
        <v>1292</v>
      </c>
      <c r="L921">
        <v>3</v>
      </c>
      <c r="M921">
        <v>25999</v>
      </c>
      <c r="N921">
        <v>0</v>
      </c>
      <c r="O921">
        <v>25999</v>
      </c>
      <c r="P921">
        <v>0.18</v>
      </c>
      <c r="Q921">
        <v>77997</v>
      </c>
      <c r="R921">
        <v>14039.46</v>
      </c>
      <c r="S921">
        <v>92036.459999999992</v>
      </c>
      <c r="T921">
        <f>ROUND(Table2[[#This Row],[TotalAmount]],0)</f>
        <v>92036</v>
      </c>
      <c r="U921" t="s">
        <v>1363</v>
      </c>
      <c r="V921" t="s">
        <v>1361</v>
      </c>
      <c r="W921" s="4">
        <v>45293</v>
      </c>
      <c r="X921" s="4">
        <v>45294</v>
      </c>
      <c r="Y921" t="b">
        <v>0</v>
      </c>
      <c r="Z921" t="s">
        <v>1412</v>
      </c>
      <c r="AA921" t="s">
        <v>1412</v>
      </c>
      <c r="AB921" t="s">
        <v>1412</v>
      </c>
      <c r="AC921" t="s">
        <v>1379</v>
      </c>
      <c r="AD921" t="s">
        <v>1377</v>
      </c>
      <c r="AE921" t="s">
        <v>1393</v>
      </c>
    </row>
    <row r="922" spans="1:31" x14ac:dyDescent="0.3">
      <c r="A922" t="s">
        <v>1102</v>
      </c>
      <c r="B922" s="4">
        <v>45369.654861111107</v>
      </c>
      <c r="C922" t="s">
        <v>267</v>
      </c>
      <c r="D922" t="s">
        <v>1148</v>
      </c>
      <c r="E922" t="s">
        <v>1217</v>
      </c>
      <c r="F922" t="str" cm="1">
        <f t="array" ref="F922">_xlfn.IFS(
E922="Ahmedabad","Gujarat",
E922="Bengaluru","Karnataka",
E922="Bhopal","Madhya Pradesh",
E922="Bhubaneswar","Odisha",
E922="Chandigarh","Chandigarh",
E922="Chennai","Tamil Nadu",
E922="Delhi","Delhi",
E922="Guwahati","Assam",
E922="Hyderabad","Telangana",
E922="Indore","Madhya Pradesh",
E922="Jaipur","Rajasthan",
E922="Kochi","Kerala",
E922="Kolkata","West Bengal",
E922="Lucknow","Uttar Pradesh",
E922="Mumbai","Maharashtra",
E922="Nagpur","Maharashtra",
E922="Patna","Bihar",
E922="Pune","Maharashtra",
E922="Raipur","Chhattisgarh",
E922="Surat","Gujarat",
TRUE,"Not Found"
)</f>
        <v>Delhi</v>
      </c>
      <c r="G922" t="s">
        <v>1143</v>
      </c>
      <c r="H922" t="s">
        <v>1167</v>
      </c>
      <c r="I922" t="s">
        <v>1263</v>
      </c>
      <c r="J922" t="s">
        <v>1346</v>
      </c>
      <c r="K922" t="s">
        <v>1347</v>
      </c>
      <c r="L922">
        <v>1</v>
      </c>
      <c r="M922">
        <v>20426</v>
      </c>
      <c r="N922">
        <v>0</v>
      </c>
      <c r="O922">
        <v>20426</v>
      </c>
      <c r="P922">
        <v>0.12</v>
      </c>
      <c r="Q922">
        <v>20426</v>
      </c>
      <c r="R922">
        <v>2451.12</v>
      </c>
      <c r="S922">
        <v>22877.119999999999</v>
      </c>
      <c r="T922">
        <f>ROUND(Table2[[#This Row],[TotalAmount]],0)</f>
        <v>22877</v>
      </c>
      <c r="U922" t="s">
        <v>1360</v>
      </c>
      <c r="V922" t="s">
        <v>1361</v>
      </c>
      <c r="W922" s="4">
        <v>45370</v>
      </c>
      <c r="X922" s="4">
        <v>45372</v>
      </c>
      <c r="Y922" t="b">
        <v>0</v>
      </c>
      <c r="Z922" t="s">
        <v>1412</v>
      </c>
      <c r="AA922" t="s">
        <v>1412</v>
      </c>
      <c r="AB922" t="s">
        <v>1412</v>
      </c>
      <c r="AC922" t="s">
        <v>1379</v>
      </c>
      <c r="AD922" t="s">
        <v>1387</v>
      </c>
      <c r="AE922" t="s">
        <v>1391</v>
      </c>
    </row>
    <row r="923" spans="1:31" x14ac:dyDescent="0.3">
      <c r="A923" t="s">
        <v>1103</v>
      </c>
      <c r="B923" s="4">
        <v>45531.624305555553</v>
      </c>
      <c r="C923" t="s">
        <v>121</v>
      </c>
      <c r="D923" t="s">
        <v>1141</v>
      </c>
      <c r="E923" t="s">
        <v>1142</v>
      </c>
      <c r="F923" t="str" cm="1">
        <f t="array" ref="F923">_xlfn.IFS(
E923="Ahmedabad","Gujarat",
E923="Bengaluru","Karnataka",
E923="Bhopal","Madhya Pradesh",
E923="Bhubaneswar","Odisha",
E923="Chandigarh","Chandigarh",
E923="Chennai","Tamil Nadu",
E923="Delhi","Delhi",
E923="Guwahati","Assam",
E923="Hyderabad","Telangana",
E923="Indore","Madhya Pradesh",
E923="Jaipur","Rajasthan",
E923="Kochi","Kerala",
E923="Kolkata","West Bengal",
E923="Lucknow","Uttar Pradesh",
E923="Mumbai","Maharashtra",
E923="Nagpur","Maharashtra",
E923="Patna","Bihar",
E923="Pune","Maharashtra",
E923="Raipur","Chhattisgarh",
E923="Surat","Gujarat",
TRUE,"Not Found"
)</f>
        <v>West Bengal</v>
      </c>
      <c r="G923" t="s">
        <v>1150</v>
      </c>
      <c r="H923" t="s">
        <v>1172</v>
      </c>
      <c r="I923" t="s">
        <v>1204</v>
      </c>
      <c r="J923" t="s">
        <v>1205</v>
      </c>
      <c r="K923" t="s">
        <v>1206</v>
      </c>
      <c r="L923">
        <v>1</v>
      </c>
      <c r="M923">
        <v>4560</v>
      </c>
      <c r="N923">
        <v>0</v>
      </c>
      <c r="O923">
        <v>4560</v>
      </c>
      <c r="P923">
        <v>0.12</v>
      </c>
      <c r="Q923">
        <v>4560</v>
      </c>
      <c r="R923">
        <v>547.19999999999993</v>
      </c>
      <c r="S923">
        <v>5107.2</v>
      </c>
      <c r="T923">
        <f>ROUND(Table2[[#This Row],[TotalAmount]],0)</f>
        <v>5107</v>
      </c>
      <c r="U923" t="s">
        <v>1360</v>
      </c>
      <c r="V923" t="s">
        <v>1361</v>
      </c>
      <c r="W923" s="4">
        <v>45531</v>
      </c>
      <c r="X923" s="4">
        <v>45532</v>
      </c>
      <c r="Y923" t="b">
        <v>0</v>
      </c>
      <c r="Z923" t="s">
        <v>1412</v>
      </c>
      <c r="AA923" t="s">
        <v>1412</v>
      </c>
      <c r="AB923" t="s">
        <v>1412</v>
      </c>
      <c r="AC923" t="s">
        <v>1392</v>
      </c>
      <c r="AD923" t="s">
        <v>1377</v>
      </c>
      <c r="AE923" t="s">
        <v>1378</v>
      </c>
    </row>
    <row r="924" spans="1:31" x14ac:dyDescent="0.3">
      <c r="A924" t="s">
        <v>1104</v>
      </c>
      <c r="B924" s="4">
        <v>45416.486111111109</v>
      </c>
      <c r="C924" t="s">
        <v>304</v>
      </c>
      <c r="D924" t="s">
        <v>1157</v>
      </c>
      <c r="E924" t="s">
        <v>1181</v>
      </c>
      <c r="F924" t="str" cm="1">
        <f t="array" ref="F924">_xlfn.IFS(
E924="Ahmedabad","Gujarat",
E924="Bengaluru","Karnataka",
E924="Bhopal","Madhya Pradesh",
E924="Bhubaneswar","Odisha",
E924="Chandigarh","Chandigarh",
E924="Chennai","Tamil Nadu",
E924="Delhi","Delhi",
E924="Guwahati","Assam",
E924="Hyderabad","Telangana",
E924="Indore","Madhya Pradesh",
E924="Jaipur","Rajasthan",
E924="Kochi","Kerala",
E924="Kolkata","West Bengal",
E924="Lucknow","Uttar Pradesh",
E924="Mumbai","Maharashtra",
E924="Nagpur","Maharashtra",
E924="Patna","Bihar",
E924="Pune","Maharashtra",
E924="Raipur","Chhattisgarh",
E924="Surat","Gujarat",
TRUE,"Not Found"
)</f>
        <v>Gujarat</v>
      </c>
      <c r="G924" t="s">
        <v>1150</v>
      </c>
      <c r="H924" t="s">
        <v>1172</v>
      </c>
      <c r="I924" t="s">
        <v>1188</v>
      </c>
      <c r="J924" t="s">
        <v>1258</v>
      </c>
      <c r="K924" t="s">
        <v>1259</v>
      </c>
      <c r="L924">
        <v>1</v>
      </c>
      <c r="M924">
        <v>9535</v>
      </c>
      <c r="N924">
        <v>0</v>
      </c>
      <c r="O924">
        <v>9535</v>
      </c>
      <c r="P924">
        <v>0.18</v>
      </c>
      <c r="Q924">
        <v>9535</v>
      </c>
      <c r="R924">
        <v>1716.3</v>
      </c>
      <c r="S924">
        <v>11251.3</v>
      </c>
      <c r="T924">
        <f>ROUND(Table2[[#This Row],[TotalAmount]],0)</f>
        <v>11251</v>
      </c>
      <c r="U924" t="s">
        <v>1360</v>
      </c>
      <c r="V924" t="s">
        <v>1361</v>
      </c>
      <c r="W924" s="4">
        <v>45417</v>
      </c>
      <c r="X924" s="4">
        <v>45420</v>
      </c>
      <c r="Y924" t="b">
        <v>0</v>
      </c>
      <c r="Z924" t="s">
        <v>1412</v>
      </c>
      <c r="AA924" t="s">
        <v>1412</v>
      </c>
      <c r="AB924" t="s">
        <v>1412</v>
      </c>
      <c r="AC924" t="s">
        <v>1386</v>
      </c>
      <c r="AD924" t="s">
        <v>1400</v>
      </c>
      <c r="AE924" t="s">
        <v>1380</v>
      </c>
    </row>
    <row r="925" spans="1:31" x14ac:dyDescent="0.3">
      <c r="A925" t="s">
        <v>1105</v>
      </c>
      <c r="B925" s="4">
        <v>45607.478472222218</v>
      </c>
      <c r="C925" t="s">
        <v>57</v>
      </c>
      <c r="D925" t="s">
        <v>1153</v>
      </c>
      <c r="E925" t="s">
        <v>1176</v>
      </c>
      <c r="F925" t="str" cm="1">
        <f t="array" ref="F925">_xlfn.IFS(
E925="Ahmedabad","Gujarat",
E925="Bengaluru","Karnataka",
E925="Bhopal","Madhya Pradesh",
E925="Bhubaneswar","Odisha",
E925="Chandigarh","Chandigarh",
E925="Chennai","Tamil Nadu",
E925="Delhi","Delhi",
E925="Guwahati","Assam",
E925="Hyderabad","Telangana",
E925="Indore","Madhya Pradesh",
E925="Jaipur","Rajasthan",
E925="Kochi","Kerala",
E925="Kolkata","West Bengal",
E925="Lucknow","Uttar Pradesh",
E925="Mumbai","Maharashtra",
E925="Nagpur","Maharashtra",
E925="Patna","Bihar",
E925="Pune","Maharashtra",
E925="Raipur","Chhattisgarh",
E925="Surat","Gujarat",
TRUE,"Not Found"
)</f>
        <v>Chhattisgarh</v>
      </c>
      <c r="G925" t="s">
        <v>1143</v>
      </c>
      <c r="H925" t="s">
        <v>1177</v>
      </c>
      <c r="I925" t="s">
        <v>1178</v>
      </c>
      <c r="J925" t="s">
        <v>1305</v>
      </c>
      <c r="K925" t="s">
        <v>1306</v>
      </c>
      <c r="L925">
        <v>2</v>
      </c>
      <c r="M925">
        <v>737</v>
      </c>
      <c r="N925">
        <v>0.1</v>
      </c>
      <c r="O925">
        <v>663.30000000000007</v>
      </c>
      <c r="P925">
        <v>0.12</v>
      </c>
      <c r="Q925">
        <v>1326.6</v>
      </c>
      <c r="R925">
        <v>159.19200000000001</v>
      </c>
      <c r="S925">
        <v>1485.7919999999999</v>
      </c>
      <c r="T925">
        <f>ROUND(Table2[[#This Row],[TotalAmount]],0)</f>
        <v>1486</v>
      </c>
      <c r="U925" t="s">
        <v>1360</v>
      </c>
      <c r="V925" t="s">
        <v>1367</v>
      </c>
      <c r="W925" s="4">
        <v>45608</v>
      </c>
      <c r="X925" s="4" t="s">
        <v>1412</v>
      </c>
      <c r="Y925" t="b">
        <v>0</v>
      </c>
      <c r="Z925" t="s">
        <v>1412</v>
      </c>
      <c r="AA925" t="s">
        <v>1412</v>
      </c>
      <c r="AB925" t="s">
        <v>1412</v>
      </c>
      <c r="AC925" t="s">
        <v>1386</v>
      </c>
      <c r="AD925" t="s">
        <v>1387</v>
      </c>
      <c r="AE925" t="s">
        <v>1393</v>
      </c>
    </row>
    <row r="926" spans="1:31" x14ac:dyDescent="0.3">
      <c r="A926" t="s">
        <v>1106</v>
      </c>
      <c r="B926" s="4">
        <v>45339.411805555559</v>
      </c>
      <c r="C926" t="s">
        <v>669</v>
      </c>
      <c r="D926" t="s">
        <v>1157</v>
      </c>
      <c r="E926" t="s">
        <v>1181</v>
      </c>
      <c r="F926" t="str" cm="1">
        <f t="array" ref="F926">_xlfn.IFS(
E926="Ahmedabad","Gujarat",
E926="Bengaluru","Karnataka",
E926="Bhopal","Madhya Pradesh",
E926="Bhubaneswar","Odisha",
E926="Chandigarh","Chandigarh",
E926="Chennai","Tamil Nadu",
E926="Delhi","Delhi",
E926="Guwahati","Assam",
E926="Hyderabad","Telangana",
E926="Indore","Madhya Pradesh",
E926="Jaipur","Rajasthan",
E926="Kochi","Kerala",
E926="Kolkata","West Bengal",
E926="Lucknow","Uttar Pradesh",
E926="Mumbai","Maharashtra",
E926="Nagpur","Maharashtra",
E926="Patna","Bihar",
E926="Pune","Maharashtra",
E926="Raipur","Chhattisgarh",
E926="Surat","Gujarat",
TRUE,"Not Found"
)</f>
        <v>Gujarat</v>
      </c>
      <c r="G926" t="s">
        <v>1143</v>
      </c>
      <c r="H926" t="s">
        <v>1167</v>
      </c>
      <c r="I926" t="s">
        <v>1168</v>
      </c>
      <c r="J926" t="s">
        <v>1314</v>
      </c>
      <c r="K926" t="s">
        <v>1315</v>
      </c>
      <c r="L926">
        <v>3</v>
      </c>
      <c r="M926">
        <v>42147</v>
      </c>
      <c r="N926">
        <v>0</v>
      </c>
      <c r="O926">
        <v>42147</v>
      </c>
      <c r="P926">
        <v>0.12</v>
      </c>
      <c r="Q926">
        <v>126441</v>
      </c>
      <c r="R926">
        <v>15172.92</v>
      </c>
      <c r="S926">
        <v>141613.92000000001</v>
      </c>
      <c r="T926">
        <f>ROUND(Table2[[#This Row],[TotalAmount]],0)</f>
        <v>141614</v>
      </c>
      <c r="U926" t="s">
        <v>1366</v>
      </c>
      <c r="V926" t="s">
        <v>1369</v>
      </c>
      <c r="W926" s="4" t="s">
        <v>1412</v>
      </c>
      <c r="X926" s="4" t="s">
        <v>1412</v>
      </c>
      <c r="Y926" t="b">
        <v>0</v>
      </c>
      <c r="Z926" t="s">
        <v>1412</v>
      </c>
      <c r="AA926" t="s">
        <v>1412</v>
      </c>
      <c r="AB926" t="s">
        <v>1412</v>
      </c>
      <c r="AC926" t="s">
        <v>1392</v>
      </c>
      <c r="AD926" t="s">
        <v>1387</v>
      </c>
      <c r="AE926" t="s">
        <v>1380</v>
      </c>
    </row>
    <row r="927" spans="1:31" x14ac:dyDescent="0.3">
      <c r="A927" t="s">
        <v>1107</v>
      </c>
      <c r="B927" s="4">
        <v>45524.472222222219</v>
      </c>
      <c r="C927" t="s">
        <v>396</v>
      </c>
      <c r="D927" t="s">
        <v>1157</v>
      </c>
      <c r="E927" t="s">
        <v>1158</v>
      </c>
      <c r="F927" t="str" cm="1">
        <f t="array" ref="F927">_xlfn.IFS(
E927="Ahmedabad","Gujarat",
E927="Bengaluru","Karnataka",
E927="Bhopal","Madhya Pradesh",
E927="Bhubaneswar","Odisha",
E927="Chandigarh","Chandigarh",
E927="Chennai","Tamil Nadu",
E927="Delhi","Delhi",
E927="Guwahati","Assam",
E927="Hyderabad","Telangana",
E927="Indore","Madhya Pradesh",
E927="Jaipur","Rajasthan",
E927="Kochi","Kerala",
E927="Kolkata","West Bengal",
E927="Lucknow","Uttar Pradesh",
E927="Mumbai","Maharashtra",
E927="Nagpur","Maharashtra",
E927="Patna","Bihar",
E927="Pune","Maharashtra",
E927="Raipur","Chhattisgarh",
E927="Surat","Gujarat",
TRUE,"Not Found"
)</f>
        <v>Gujarat</v>
      </c>
      <c r="G927" t="s">
        <v>1150</v>
      </c>
      <c r="H927" t="s">
        <v>1172</v>
      </c>
      <c r="I927" t="s">
        <v>1188</v>
      </c>
      <c r="J927" t="s">
        <v>1189</v>
      </c>
      <c r="K927" t="s">
        <v>1190</v>
      </c>
      <c r="L927">
        <v>4</v>
      </c>
      <c r="M927">
        <v>2905</v>
      </c>
      <c r="N927">
        <v>0.15</v>
      </c>
      <c r="O927">
        <v>2469.25</v>
      </c>
      <c r="P927">
        <v>0.12</v>
      </c>
      <c r="Q927">
        <v>9877</v>
      </c>
      <c r="R927">
        <v>1185.24</v>
      </c>
      <c r="S927">
        <v>11062.24</v>
      </c>
      <c r="T927">
        <f>ROUND(Table2[[#This Row],[TotalAmount]],0)</f>
        <v>11062</v>
      </c>
      <c r="U927" t="s">
        <v>1362</v>
      </c>
      <c r="V927" t="s">
        <v>1361</v>
      </c>
      <c r="W927" s="4">
        <v>45526</v>
      </c>
      <c r="X927" s="4">
        <v>45528</v>
      </c>
      <c r="Y927" t="b">
        <v>0</v>
      </c>
      <c r="Z927" t="s">
        <v>1412</v>
      </c>
      <c r="AA927" t="s">
        <v>1412</v>
      </c>
      <c r="AB927" t="s">
        <v>1412</v>
      </c>
      <c r="AC927" t="s">
        <v>1388</v>
      </c>
      <c r="AD927" t="s">
        <v>1400</v>
      </c>
      <c r="AE927" t="s">
        <v>1380</v>
      </c>
    </row>
    <row r="928" spans="1:31" x14ac:dyDescent="0.3">
      <c r="A928" t="s">
        <v>1108</v>
      </c>
      <c r="B928" s="4">
        <v>45743.55</v>
      </c>
      <c r="C928" t="s">
        <v>444</v>
      </c>
      <c r="D928" t="s">
        <v>1157</v>
      </c>
      <c r="E928" t="s">
        <v>1158</v>
      </c>
      <c r="F928" t="str" cm="1">
        <f t="array" ref="F928">_xlfn.IFS(
E928="Ahmedabad","Gujarat",
E928="Bengaluru","Karnataka",
E928="Bhopal","Madhya Pradesh",
E928="Bhubaneswar","Odisha",
E928="Chandigarh","Chandigarh",
E928="Chennai","Tamil Nadu",
E928="Delhi","Delhi",
E928="Guwahati","Assam",
E928="Hyderabad","Telangana",
E928="Indore","Madhya Pradesh",
E928="Jaipur","Rajasthan",
E928="Kochi","Kerala",
E928="Kolkata","West Bengal",
E928="Lucknow","Uttar Pradesh",
E928="Mumbai","Maharashtra",
E928="Nagpur","Maharashtra",
E928="Patna","Bihar",
E928="Pune","Maharashtra",
E928="Raipur","Chhattisgarh",
E928="Surat","Gujarat",
TRUE,"Not Found"
)</f>
        <v>Gujarat</v>
      </c>
      <c r="G928" t="s">
        <v>1143</v>
      </c>
      <c r="H928" t="s">
        <v>1167</v>
      </c>
      <c r="I928" t="s">
        <v>1288</v>
      </c>
      <c r="J928" t="s">
        <v>1293</v>
      </c>
      <c r="K928" t="s">
        <v>1294</v>
      </c>
      <c r="L928">
        <v>3</v>
      </c>
      <c r="M928">
        <v>9527</v>
      </c>
      <c r="N928">
        <v>0</v>
      </c>
      <c r="O928">
        <v>9527</v>
      </c>
      <c r="P928">
        <v>0.12</v>
      </c>
      <c r="Q928">
        <v>28581</v>
      </c>
      <c r="R928">
        <v>3429.72</v>
      </c>
      <c r="S928">
        <v>32010.720000000001</v>
      </c>
      <c r="T928">
        <f>ROUND(Table2[[#This Row],[TotalAmount]],0)</f>
        <v>32011</v>
      </c>
      <c r="U928" t="s">
        <v>1365</v>
      </c>
      <c r="V928" t="s">
        <v>1361</v>
      </c>
      <c r="W928" s="4">
        <v>45743</v>
      </c>
      <c r="X928" s="4">
        <v>45744</v>
      </c>
      <c r="Y928" t="b">
        <v>0</v>
      </c>
      <c r="Z928" t="s">
        <v>1412</v>
      </c>
      <c r="AA928" t="s">
        <v>1412</v>
      </c>
      <c r="AB928" t="s">
        <v>1412</v>
      </c>
      <c r="AC928" t="s">
        <v>1398</v>
      </c>
      <c r="AD928" t="s">
        <v>1387</v>
      </c>
      <c r="AE928" t="s">
        <v>1391</v>
      </c>
    </row>
    <row r="929" spans="1:31" x14ac:dyDescent="0.3">
      <c r="A929" t="s">
        <v>1109</v>
      </c>
      <c r="B929" s="4">
        <v>45486.65902777778</v>
      </c>
      <c r="C929" t="s">
        <v>40</v>
      </c>
      <c r="D929" t="s">
        <v>1141</v>
      </c>
      <c r="E929" t="s">
        <v>1142</v>
      </c>
      <c r="F929" t="str" cm="1">
        <f t="array" ref="F929">_xlfn.IFS(
E929="Ahmedabad","Gujarat",
E929="Bengaluru","Karnataka",
E929="Bhopal","Madhya Pradesh",
E929="Bhubaneswar","Odisha",
E929="Chandigarh","Chandigarh",
E929="Chennai","Tamil Nadu",
E929="Delhi","Delhi",
E929="Guwahati","Assam",
E929="Hyderabad","Telangana",
E929="Indore","Madhya Pradesh",
E929="Jaipur","Rajasthan",
E929="Kochi","Kerala",
E929="Kolkata","West Bengal",
E929="Lucknow","Uttar Pradesh",
E929="Mumbai","Maharashtra",
E929="Nagpur","Maharashtra",
E929="Patna","Bihar",
E929="Pune","Maharashtra",
E929="Raipur","Chhattisgarh",
E929="Surat","Gujarat",
TRUE,"Not Found"
)</f>
        <v>West Bengal</v>
      </c>
      <c r="G929" t="s">
        <v>1143</v>
      </c>
      <c r="H929" t="s">
        <v>1167</v>
      </c>
      <c r="I929" t="s">
        <v>1263</v>
      </c>
      <c r="J929" t="s">
        <v>1274</v>
      </c>
      <c r="K929" t="s">
        <v>1275</v>
      </c>
      <c r="L929">
        <v>2</v>
      </c>
      <c r="M929">
        <v>20514</v>
      </c>
      <c r="N929">
        <v>0</v>
      </c>
      <c r="O929">
        <v>20514</v>
      </c>
      <c r="P929">
        <v>0.18</v>
      </c>
      <c r="Q929">
        <v>41028</v>
      </c>
      <c r="R929">
        <v>7385.04</v>
      </c>
      <c r="S929">
        <v>48413.04</v>
      </c>
      <c r="T929">
        <f>ROUND(Table2[[#This Row],[TotalAmount]],0)</f>
        <v>48413</v>
      </c>
      <c r="U929" t="s">
        <v>1366</v>
      </c>
      <c r="V929" t="s">
        <v>1361</v>
      </c>
      <c r="W929" s="4">
        <v>45488</v>
      </c>
      <c r="X929" s="4">
        <v>45493</v>
      </c>
      <c r="Y929" t="b">
        <v>0</v>
      </c>
      <c r="Z929" t="s">
        <v>1412</v>
      </c>
      <c r="AA929" t="s">
        <v>1412</v>
      </c>
      <c r="AB929" t="s">
        <v>1412</v>
      </c>
      <c r="AC929" t="s">
        <v>1386</v>
      </c>
      <c r="AD929" t="s">
        <v>1397</v>
      </c>
      <c r="AE929" t="s">
        <v>1383</v>
      </c>
    </row>
    <row r="930" spans="1:31" x14ac:dyDescent="0.3">
      <c r="A930" t="s">
        <v>1110</v>
      </c>
      <c r="B930" s="4">
        <v>45463.544444444437</v>
      </c>
      <c r="C930" t="s">
        <v>368</v>
      </c>
      <c r="D930" t="s">
        <v>1153</v>
      </c>
      <c r="E930" t="s">
        <v>1191</v>
      </c>
      <c r="F930" t="str" cm="1">
        <f t="array" ref="F930">_xlfn.IFS(
E930="Ahmedabad","Gujarat",
E930="Bengaluru","Karnataka",
E930="Bhopal","Madhya Pradesh",
E930="Bhubaneswar","Odisha",
E930="Chandigarh","Chandigarh",
E930="Chennai","Tamil Nadu",
E930="Delhi","Delhi",
E930="Guwahati","Assam",
E930="Hyderabad","Telangana",
E930="Indore","Madhya Pradesh",
E930="Jaipur","Rajasthan",
E930="Kochi","Kerala",
E930="Kolkata","West Bengal",
E930="Lucknow","Uttar Pradesh",
E930="Mumbai","Maharashtra",
E930="Nagpur","Maharashtra",
E930="Patna","Bihar",
E930="Pune","Maharashtra",
E930="Raipur","Chhattisgarh",
E930="Surat","Gujarat",
TRUE,"Not Found"
)</f>
        <v>Madhya Pradesh</v>
      </c>
      <c r="G930" t="s">
        <v>1143</v>
      </c>
      <c r="H930" t="s">
        <v>1172</v>
      </c>
      <c r="I930" t="s">
        <v>1229</v>
      </c>
      <c r="J930" t="s">
        <v>1295</v>
      </c>
      <c r="K930" t="s">
        <v>1296</v>
      </c>
      <c r="L930">
        <v>2</v>
      </c>
      <c r="M930">
        <v>3036</v>
      </c>
      <c r="N930">
        <v>0.2</v>
      </c>
      <c r="O930">
        <v>2428.8000000000002</v>
      </c>
      <c r="P930">
        <v>0.18</v>
      </c>
      <c r="Q930">
        <v>4857.6000000000004</v>
      </c>
      <c r="R930">
        <v>874.36800000000005</v>
      </c>
      <c r="S930">
        <v>5731.9680000000008</v>
      </c>
      <c r="T930">
        <f>ROUND(Table2[[#This Row],[TotalAmount]],0)</f>
        <v>5732</v>
      </c>
      <c r="U930" t="s">
        <v>1360</v>
      </c>
      <c r="V930" t="s">
        <v>1361</v>
      </c>
      <c r="W930" s="4">
        <v>45463</v>
      </c>
      <c r="X930" s="4">
        <v>45464</v>
      </c>
      <c r="Y930" t="b">
        <v>0</v>
      </c>
      <c r="Z930" t="s">
        <v>1412</v>
      </c>
      <c r="AA930" t="s">
        <v>1412</v>
      </c>
      <c r="AB930" t="s">
        <v>1412</v>
      </c>
      <c r="AC930" t="s">
        <v>1398</v>
      </c>
      <c r="AD930" t="s">
        <v>1397</v>
      </c>
      <c r="AE930" t="s">
        <v>1389</v>
      </c>
    </row>
    <row r="931" spans="1:31" x14ac:dyDescent="0.3">
      <c r="A931" t="s">
        <v>1111</v>
      </c>
      <c r="B931" s="4">
        <v>45388.633333333331</v>
      </c>
      <c r="C931" t="s">
        <v>57</v>
      </c>
      <c r="D931" t="s">
        <v>1153</v>
      </c>
      <c r="E931" t="s">
        <v>1176</v>
      </c>
      <c r="F931" t="str" cm="1">
        <f t="array" ref="F931">_xlfn.IFS(
E931="Ahmedabad","Gujarat",
E931="Bengaluru","Karnataka",
E931="Bhopal","Madhya Pradesh",
E931="Bhubaneswar","Odisha",
E931="Chandigarh","Chandigarh",
E931="Chennai","Tamil Nadu",
E931="Delhi","Delhi",
E931="Guwahati","Assam",
E931="Hyderabad","Telangana",
E931="Indore","Madhya Pradesh",
E931="Jaipur","Rajasthan",
E931="Kochi","Kerala",
E931="Kolkata","West Bengal",
E931="Lucknow","Uttar Pradesh",
E931="Mumbai","Maharashtra",
E931="Nagpur","Maharashtra",
E931="Patna","Bihar",
E931="Pune","Maharashtra",
E931="Raipur","Chhattisgarh",
E931="Surat","Gujarat",
TRUE,"Not Found"
)</f>
        <v>Chhattisgarh</v>
      </c>
      <c r="G931" t="s">
        <v>1143</v>
      </c>
      <c r="H931" t="s">
        <v>1163</v>
      </c>
      <c r="I931" t="s">
        <v>1240</v>
      </c>
      <c r="J931" t="s">
        <v>1247</v>
      </c>
      <c r="K931" t="s">
        <v>1248</v>
      </c>
      <c r="L931">
        <v>2</v>
      </c>
      <c r="M931">
        <v>180</v>
      </c>
      <c r="N931">
        <v>0.15</v>
      </c>
      <c r="O931">
        <v>153</v>
      </c>
      <c r="P931">
        <v>0.18</v>
      </c>
      <c r="Q931">
        <v>306</v>
      </c>
      <c r="R931">
        <v>55.08</v>
      </c>
      <c r="S931">
        <v>361.08</v>
      </c>
      <c r="T931">
        <f>ROUND(Table2[[#This Row],[TotalAmount]],0)</f>
        <v>361</v>
      </c>
      <c r="U931" t="s">
        <v>1365</v>
      </c>
      <c r="V931" t="s">
        <v>1361</v>
      </c>
      <c r="W931" s="4">
        <v>45390</v>
      </c>
      <c r="X931" s="4">
        <v>45391</v>
      </c>
      <c r="Y931" t="b">
        <v>0</v>
      </c>
      <c r="Z931" t="s">
        <v>1412</v>
      </c>
      <c r="AA931" t="s">
        <v>1412</v>
      </c>
      <c r="AB931" t="s">
        <v>1412</v>
      </c>
      <c r="AC931" t="s">
        <v>1376</v>
      </c>
      <c r="AD931" t="s">
        <v>1394</v>
      </c>
      <c r="AE931" t="s">
        <v>1380</v>
      </c>
    </row>
    <row r="932" spans="1:31" x14ac:dyDescent="0.3">
      <c r="A932" t="s">
        <v>1112</v>
      </c>
      <c r="B932" s="4">
        <v>45603.490972222222</v>
      </c>
      <c r="C932" t="s">
        <v>53</v>
      </c>
      <c r="D932" t="s">
        <v>1141</v>
      </c>
      <c r="E932" t="s">
        <v>1227</v>
      </c>
      <c r="F932" t="str" cm="1">
        <f t="array" ref="F932">_xlfn.IFS(
E932="Ahmedabad","Gujarat",
E932="Bengaluru","Karnataka",
E932="Bhopal","Madhya Pradesh",
E932="Bhubaneswar","Odisha",
E932="Chandigarh","Chandigarh",
E932="Chennai","Tamil Nadu",
E932="Delhi","Delhi",
E932="Guwahati","Assam",
E932="Hyderabad","Telangana",
E932="Indore","Madhya Pradesh",
E932="Jaipur","Rajasthan",
E932="Kochi","Kerala",
E932="Kolkata","West Bengal",
E932="Lucknow","Uttar Pradesh",
E932="Mumbai","Maharashtra",
E932="Nagpur","Maharashtra",
E932="Patna","Bihar",
E932="Pune","Maharashtra",
E932="Raipur","Chhattisgarh",
E932="Surat","Gujarat",
TRUE,"Not Found"
)</f>
        <v>Bihar</v>
      </c>
      <c r="G932" t="s">
        <v>1143</v>
      </c>
      <c r="H932" t="s">
        <v>1177</v>
      </c>
      <c r="I932" t="s">
        <v>1178</v>
      </c>
      <c r="J932" t="s">
        <v>1220</v>
      </c>
      <c r="K932" t="s">
        <v>1221</v>
      </c>
      <c r="L932">
        <v>2</v>
      </c>
      <c r="M932">
        <v>1619</v>
      </c>
      <c r="N932">
        <v>0</v>
      </c>
      <c r="O932">
        <v>1619</v>
      </c>
      <c r="P932">
        <v>0.12</v>
      </c>
      <c r="Q932">
        <v>3238</v>
      </c>
      <c r="R932">
        <v>388.56</v>
      </c>
      <c r="S932">
        <v>3626.56</v>
      </c>
      <c r="T932">
        <f>ROUND(Table2[[#This Row],[TotalAmount]],0)</f>
        <v>3627</v>
      </c>
      <c r="U932" t="s">
        <v>1362</v>
      </c>
      <c r="V932" t="s">
        <v>1361</v>
      </c>
      <c r="W932" s="4">
        <v>45604</v>
      </c>
      <c r="X932" s="4">
        <v>45608</v>
      </c>
      <c r="Y932" t="b">
        <v>0</v>
      </c>
      <c r="Z932" t="s">
        <v>1412</v>
      </c>
      <c r="AA932" t="s">
        <v>1412</v>
      </c>
      <c r="AB932" t="s">
        <v>1412</v>
      </c>
      <c r="AC932" t="s">
        <v>1388</v>
      </c>
      <c r="AD932" t="s">
        <v>1377</v>
      </c>
      <c r="AE932" t="s">
        <v>1389</v>
      </c>
    </row>
    <row r="933" spans="1:31" x14ac:dyDescent="0.3">
      <c r="A933" t="s">
        <v>1113</v>
      </c>
      <c r="B933" s="4">
        <v>45600.372916666667</v>
      </c>
      <c r="C933" t="s">
        <v>407</v>
      </c>
      <c r="D933" t="s">
        <v>1157</v>
      </c>
      <c r="E933" t="s">
        <v>1158</v>
      </c>
      <c r="F933" t="str" cm="1">
        <f t="array" ref="F933">_xlfn.IFS(
E933="Ahmedabad","Gujarat",
E933="Bengaluru","Karnataka",
E933="Bhopal","Madhya Pradesh",
E933="Bhubaneswar","Odisha",
E933="Chandigarh","Chandigarh",
E933="Chennai","Tamil Nadu",
E933="Delhi","Delhi",
E933="Guwahati","Assam",
E933="Hyderabad","Telangana",
E933="Indore","Madhya Pradesh",
E933="Jaipur","Rajasthan",
E933="Kochi","Kerala",
E933="Kolkata","West Bengal",
E933="Lucknow","Uttar Pradesh",
E933="Mumbai","Maharashtra",
E933="Nagpur","Maharashtra",
E933="Patna","Bihar",
E933="Pune","Maharashtra",
E933="Raipur","Chhattisgarh",
E933="Surat","Gujarat",
TRUE,"Not Found"
)</f>
        <v>Gujarat</v>
      </c>
      <c r="G933" t="s">
        <v>1143</v>
      </c>
      <c r="H933" t="s">
        <v>1177</v>
      </c>
      <c r="I933" t="s">
        <v>1178</v>
      </c>
      <c r="J933" t="s">
        <v>1305</v>
      </c>
      <c r="K933" t="s">
        <v>1306</v>
      </c>
      <c r="L933">
        <v>1</v>
      </c>
      <c r="M933">
        <v>1506</v>
      </c>
      <c r="N933">
        <v>0.15</v>
      </c>
      <c r="O933">
        <v>1280.0999999999999</v>
      </c>
      <c r="P933">
        <v>0.12</v>
      </c>
      <c r="Q933">
        <v>1280.0999999999999</v>
      </c>
      <c r="R933">
        <v>153.61199999999999</v>
      </c>
      <c r="S933">
        <v>1433.712</v>
      </c>
      <c r="T933">
        <f>ROUND(Table2[[#This Row],[TotalAmount]],0)</f>
        <v>1434</v>
      </c>
      <c r="U933" t="s">
        <v>1365</v>
      </c>
      <c r="V933" t="s">
        <v>1361</v>
      </c>
      <c r="W933" s="4">
        <v>45601</v>
      </c>
      <c r="X933" s="4">
        <v>45604</v>
      </c>
      <c r="Y933" t="b">
        <v>0</v>
      </c>
      <c r="Z933" t="s">
        <v>1412</v>
      </c>
      <c r="AA933" t="s">
        <v>1412</v>
      </c>
      <c r="AB933" t="s">
        <v>1412</v>
      </c>
      <c r="AC933" t="s">
        <v>1386</v>
      </c>
      <c r="AD933" t="s">
        <v>1385</v>
      </c>
      <c r="AE933" t="s">
        <v>1393</v>
      </c>
    </row>
    <row r="934" spans="1:31" x14ac:dyDescent="0.3">
      <c r="A934" t="s">
        <v>1114</v>
      </c>
      <c r="B934" s="4">
        <v>45408.50277777778</v>
      </c>
      <c r="C934" t="s">
        <v>259</v>
      </c>
      <c r="D934" t="s">
        <v>1141</v>
      </c>
      <c r="E934" t="s">
        <v>1227</v>
      </c>
      <c r="F934" t="str" cm="1">
        <f t="array" ref="F934">_xlfn.IFS(
E934="Ahmedabad","Gujarat",
E934="Bengaluru","Karnataka",
E934="Bhopal","Madhya Pradesh",
E934="Bhubaneswar","Odisha",
E934="Chandigarh","Chandigarh",
E934="Chennai","Tamil Nadu",
E934="Delhi","Delhi",
E934="Guwahati","Assam",
E934="Hyderabad","Telangana",
E934="Indore","Madhya Pradesh",
E934="Jaipur","Rajasthan",
E934="Kochi","Kerala",
E934="Kolkata","West Bengal",
E934="Lucknow","Uttar Pradesh",
E934="Mumbai","Maharashtra",
E934="Nagpur","Maharashtra",
E934="Patna","Bihar",
E934="Pune","Maharashtra",
E934="Raipur","Chhattisgarh",
E934="Surat","Gujarat",
TRUE,"Not Found"
)</f>
        <v>Bihar</v>
      </c>
      <c r="G934" t="s">
        <v>1143</v>
      </c>
      <c r="H934" t="s">
        <v>1172</v>
      </c>
      <c r="I934" t="s">
        <v>1188</v>
      </c>
      <c r="J934" t="s">
        <v>1258</v>
      </c>
      <c r="K934" t="s">
        <v>1259</v>
      </c>
      <c r="L934">
        <v>2</v>
      </c>
      <c r="M934">
        <v>2275</v>
      </c>
      <c r="N934">
        <v>0</v>
      </c>
      <c r="O934">
        <v>2275</v>
      </c>
      <c r="P934">
        <v>0.12</v>
      </c>
      <c r="Q934">
        <v>4550</v>
      </c>
      <c r="R934">
        <v>546</v>
      </c>
      <c r="S934">
        <v>5096</v>
      </c>
      <c r="T934">
        <f>ROUND(Table2[[#This Row],[TotalAmount]],0)</f>
        <v>5096</v>
      </c>
      <c r="U934" t="s">
        <v>1360</v>
      </c>
      <c r="V934" t="s">
        <v>1361</v>
      </c>
      <c r="W934" s="4">
        <v>45409</v>
      </c>
      <c r="X934" s="4">
        <v>45410</v>
      </c>
      <c r="Y934" t="b">
        <v>0</v>
      </c>
      <c r="Z934" t="s">
        <v>1412</v>
      </c>
      <c r="AA934" t="s">
        <v>1412</v>
      </c>
      <c r="AB934" t="s">
        <v>1412</v>
      </c>
      <c r="AC934" t="s">
        <v>1388</v>
      </c>
      <c r="AD934" t="s">
        <v>1387</v>
      </c>
      <c r="AE934" t="s">
        <v>1391</v>
      </c>
    </row>
    <row r="935" spans="1:31" x14ac:dyDescent="0.3">
      <c r="A935" t="s">
        <v>1115</v>
      </c>
      <c r="B935" s="4">
        <v>45326.511805555558</v>
      </c>
      <c r="C935" t="s">
        <v>135</v>
      </c>
      <c r="D935" t="s">
        <v>1182</v>
      </c>
      <c r="E935" t="s">
        <v>1207</v>
      </c>
      <c r="F935" t="str" cm="1">
        <f t="array" ref="F935">_xlfn.IFS(
E935="Ahmedabad","Gujarat",
E935="Bengaluru","Karnataka",
E935="Bhopal","Madhya Pradesh",
E935="Bhubaneswar","Odisha",
E935="Chandigarh","Chandigarh",
E935="Chennai","Tamil Nadu",
E935="Delhi","Delhi",
E935="Guwahati","Assam",
E935="Hyderabad","Telangana",
E935="Indore","Madhya Pradesh",
E935="Jaipur","Rajasthan",
E935="Kochi","Kerala",
E935="Kolkata","West Bengal",
E935="Lucknow","Uttar Pradesh",
E935="Mumbai","Maharashtra",
E935="Nagpur","Maharashtra",
E935="Patna","Bihar",
E935="Pune","Maharashtra",
E935="Raipur","Chhattisgarh",
E935="Surat","Gujarat",
TRUE,"Not Found"
)</f>
        <v>Tamil Nadu</v>
      </c>
      <c r="G935" t="s">
        <v>1143</v>
      </c>
      <c r="H935" t="s">
        <v>1172</v>
      </c>
      <c r="I935" t="s">
        <v>1188</v>
      </c>
      <c r="J935" t="s">
        <v>1232</v>
      </c>
      <c r="K935" t="s">
        <v>1233</v>
      </c>
      <c r="L935">
        <v>3</v>
      </c>
      <c r="M935">
        <v>1850</v>
      </c>
      <c r="N935">
        <v>0</v>
      </c>
      <c r="O935">
        <v>1850</v>
      </c>
      <c r="P935">
        <v>0.05</v>
      </c>
      <c r="Q935">
        <v>5550</v>
      </c>
      <c r="R935">
        <v>277.5</v>
      </c>
      <c r="S935">
        <v>5827.5</v>
      </c>
      <c r="T935">
        <f>ROUND(Table2[[#This Row],[TotalAmount]],0)</f>
        <v>5828</v>
      </c>
      <c r="U935" t="s">
        <v>1363</v>
      </c>
      <c r="V935" t="s">
        <v>1369</v>
      </c>
      <c r="W935" s="4" t="s">
        <v>1412</v>
      </c>
      <c r="X935" s="4" t="s">
        <v>1412</v>
      </c>
      <c r="Y935" t="b">
        <v>0</v>
      </c>
      <c r="Z935" t="s">
        <v>1412</v>
      </c>
      <c r="AA935" t="s">
        <v>1412</v>
      </c>
      <c r="AB935" t="s">
        <v>1412</v>
      </c>
      <c r="AC935" t="s">
        <v>1376</v>
      </c>
      <c r="AD935" t="s">
        <v>1397</v>
      </c>
      <c r="AE935" t="s">
        <v>1380</v>
      </c>
    </row>
    <row r="936" spans="1:31" x14ac:dyDescent="0.3">
      <c r="A936" t="s">
        <v>1116</v>
      </c>
      <c r="B936" s="4">
        <v>45381.602083333331</v>
      </c>
      <c r="C936" t="s">
        <v>505</v>
      </c>
      <c r="D936" t="s">
        <v>1157</v>
      </c>
      <c r="E936" t="s">
        <v>1158</v>
      </c>
      <c r="F936" t="str" cm="1">
        <f t="array" ref="F936">_xlfn.IFS(
E936="Ahmedabad","Gujarat",
E936="Bengaluru","Karnataka",
E936="Bhopal","Madhya Pradesh",
E936="Bhubaneswar","Odisha",
E936="Chandigarh","Chandigarh",
E936="Chennai","Tamil Nadu",
E936="Delhi","Delhi",
E936="Guwahati","Assam",
E936="Hyderabad","Telangana",
E936="Indore","Madhya Pradesh",
E936="Jaipur","Rajasthan",
E936="Kochi","Kerala",
E936="Kolkata","West Bengal",
E936="Lucknow","Uttar Pradesh",
E936="Mumbai","Maharashtra",
E936="Nagpur","Maharashtra",
E936="Patna","Bihar",
E936="Pune","Maharashtra",
E936="Raipur","Chhattisgarh",
E936="Surat","Gujarat",
TRUE,"Not Found"
)</f>
        <v>Gujarat</v>
      </c>
      <c r="G936" t="s">
        <v>1187</v>
      </c>
      <c r="H936" t="s">
        <v>1144</v>
      </c>
      <c r="I936" t="s">
        <v>1145</v>
      </c>
      <c r="J936" t="s">
        <v>1151</v>
      </c>
      <c r="K936" t="s">
        <v>1152</v>
      </c>
      <c r="L936">
        <v>1</v>
      </c>
      <c r="M936">
        <v>9012</v>
      </c>
      <c r="N936">
        <v>0</v>
      </c>
      <c r="O936">
        <v>9012</v>
      </c>
      <c r="P936">
        <v>0.12</v>
      </c>
      <c r="Q936">
        <v>9012</v>
      </c>
      <c r="R936">
        <v>1081.44</v>
      </c>
      <c r="S936">
        <v>10093.44</v>
      </c>
      <c r="T936">
        <f>ROUND(Table2[[#This Row],[TotalAmount]],0)</f>
        <v>10093</v>
      </c>
      <c r="U936" t="s">
        <v>1363</v>
      </c>
      <c r="V936" t="s">
        <v>1361</v>
      </c>
      <c r="W936" s="4">
        <v>45383</v>
      </c>
      <c r="X936" s="4">
        <v>45388</v>
      </c>
      <c r="Y936" t="b">
        <v>0</v>
      </c>
      <c r="Z936" t="s">
        <v>1412</v>
      </c>
      <c r="AA936" t="s">
        <v>1412</v>
      </c>
      <c r="AB936" t="s">
        <v>1412</v>
      </c>
      <c r="AC936" t="s">
        <v>1398</v>
      </c>
      <c r="AD936" t="s">
        <v>1377</v>
      </c>
      <c r="AE936" t="s">
        <v>1378</v>
      </c>
    </row>
    <row r="937" spans="1:31" x14ac:dyDescent="0.3">
      <c r="A937" t="s">
        <v>1117</v>
      </c>
      <c r="B937" s="4">
        <v>45363.602777777778</v>
      </c>
      <c r="C937" t="s">
        <v>164</v>
      </c>
      <c r="D937" t="s">
        <v>1157</v>
      </c>
      <c r="E937" t="s">
        <v>1249</v>
      </c>
      <c r="F937" t="str" cm="1">
        <f t="array" ref="F937">_xlfn.IFS(
E937="Ahmedabad","Gujarat",
E937="Bengaluru","Karnataka",
E937="Bhopal","Madhya Pradesh",
E937="Bhubaneswar","Odisha",
E937="Chandigarh","Chandigarh",
E937="Chennai","Tamil Nadu",
E937="Delhi","Delhi",
E937="Guwahati","Assam",
E937="Hyderabad","Telangana",
E937="Indore","Madhya Pradesh",
E937="Jaipur","Rajasthan",
E937="Kochi","Kerala",
E937="Kolkata","West Bengal",
E937="Lucknow","Uttar Pradesh",
E937="Mumbai","Maharashtra",
E937="Nagpur","Maharashtra",
E937="Patna","Bihar",
E937="Pune","Maharashtra",
E937="Raipur","Chhattisgarh",
E937="Surat","Gujarat",
TRUE,"Not Found"
)</f>
        <v>Maharashtra</v>
      </c>
      <c r="G937" t="s">
        <v>1228</v>
      </c>
      <c r="H937" t="s">
        <v>1167</v>
      </c>
      <c r="I937" t="s">
        <v>1168</v>
      </c>
      <c r="J937" t="s">
        <v>1169</v>
      </c>
      <c r="K937" t="s">
        <v>1170</v>
      </c>
      <c r="L937">
        <v>3</v>
      </c>
      <c r="M937">
        <v>54469</v>
      </c>
      <c r="N937">
        <v>0.05</v>
      </c>
      <c r="O937">
        <v>51745.55</v>
      </c>
      <c r="P937">
        <v>0.12</v>
      </c>
      <c r="Q937">
        <v>155236.65</v>
      </c>
      <c r="R937">
        <v>18628.398000000001</v>
      </c>
      <c r="S937">
        <v>173865.04800000001</v>
      </c>
      <c r="T937">
        <f>ROUND(Table2[[#This Row],[TotalAmount]],0)</f>
        <v>173865</v>
      </c>
      <c r="U937" t="s">
        <v>1366</v>
      </c>
      <c r="V937" t="s">
        <v>1361</v>
      </c>
      <c r="W937" s="4">
        <v>45365</v>
      </c>
      <c r="X937" s="4">
        <v>45366</v>
      </c>
      <c r="Y937" t="b">
        <v>0</v>
      </c>
      <c r="Z937" t="s">
        <v>1412</v>
      </c>
      <c r="AA937" t="s">
        <v>1412</v>
      </c>
      <c r="AB937" t="s">
        <v>1412</v>
      </c>
      <c r="AC937" t="s">
        <v>1376</v>
      </c>
      <c r="AD937" t="s">
        <v>1397</v>
      </c>
      <c r="AE937" t="s">
        <v>1391</v>
      </c>
    </row>
    <row r="938" spans="1:31" x14ac:dyDescent="0.3">
      <c r="A938" t="s">
        <v>1118</v>
      </c>
      <c r="B938" s="4">
        <v>45731.611111111109</v>
      </c>
      <c r="C938" t="s">
        <v>141</v>
      </c>
      <c r="D938" t="s">
        <v>1141</v>
      </c>
      <c r="E938" t="s">
        <v>1227</v>
      </c>
      <c r="F938" t="str" cm="1">
        <f t="array" ref="F938">_xlfn.IFS(
E938="Ahmedabad","Gujarat",
E938="Bengaluru","Karnataka",
E938="Bhopal","Madhya Pradesh",
E938="Bhubaneswar","Odisha",
E938="Chandigarh","Chandigarh",
E938="Chennai","Tamil Nadu",
E938="Delhi","Delhi",
E938="Guwahati","Assam",
E938="Hyderabad","Telangana",
E938="Indore","Madhya Pradesh",
E938="Jaipur","Rajasthan",
E938="Kochi","Kerala",
E938="Kolkata","West Bengal",
E938="Lucknow","Uttar Pradesh",
E938="Mumbai","Maharashtra",
E938="Nagpur","Maharashtra",
E938="Patna","Bihar",
E938="Pune","Maharashtra",
E938="Raipur","Chhattisgarh",
E938="Surat","Gujarat",
TRUE,"Not Found"
)</f>
        <v>Bihar</v>
      </c>
      <c r="G938" t="s">
        <v>1150</v>
      </c>
      <c r="H938" t="s">
        <v>1172</v>
      </c>
      <c r="I938" t="s">
        <v>1198</v>
      </c>
      <c r="J938" t="s">
        <v>1199</v>
      </c>
      <c r="K938" t="s">
        <v>1200</v>
      </c>
      <c r="L938">
        <v>2</v>
      </c>
      <c r="M938">
        <v>6136</v>
      </c>
      <c r="N938">
        <v>0</v>
      </c>
      <c r="O938">
        <v>6136</v>
      </c>
      <c r="P938">
        <v>0.18</v>
      </c>
      <c r="Q938">
        <v>12272</v>
      </c>
      <c r="R938">
        <v>2208.96</v>
      </c>
      <c r="S938">
        <v>14480.96</v>
      </c>
      <c r="T938">
        <f>ROUND(Table2[[#This Row],[TotalAmount]],0)</f>
        <v>14481</v>
      </c>
      <c r="U938" t="s">
        <v>1363</v>
      </c>
      <c r="V938" t="s">
        <v>1361</v>
      </c>
      <c r="W938" s="4">
        <v>45731</v>
      </c>
      <c r="X938" s="4">
        <v>45734</v>
      </c>
      <c r="Y938" t="b">
        <v>0</v>
      </c>
      <c r="Z938" t="s">
        <v>1412</v>
      </c>
      <c r="AA938" t="s">
        <v>1412</v>
      </c>
      <c r="AB938" t="s">
        <v>1412</v>
      </c>
      <c r="AC938" t="s">
        <v>1382</v>
      </c>
      <c r="AD938" t="s">
        <v>1397</v>
      </c>
      <c r="AE938" t="s">
        <v>1389</v>
      </c>
    </row>
    <row r="939" spans="1:31" x14ac:dyDescent="0.3">
      <c r="A939" t="s">
        <v>1119</v>
      </c>
      <c r="B939" s="4">
        <v>45531.388888888891</v>
      </c>
      <c r="C939" t="s">
        <v>183</v>
      </c>
      <c r="D939" t="s">
        <v>1182</v>
      </c>
      <c r="E939" t="s">
        <v>1256</v>
      </c>
      <c r="F939" t="str" cm="1">
        <f t="array" ref="F939">_xlfn.IFS(
E939="Ahmedabad","Gujarat",
E939="Bengaluru","Karnataka",
E939="Bhopal","Madhya Pradesh",
E939="Bhubaneswar","Odisha",
E939="Chandigarh","Chandigarh",
E939="Chennai","Tamil Nadu",
E939="Delhi","Delhi",
E939="Guwahati","Assam",
E939="Hyderabad","Telangana",
E939="Indore","Madhya Pradesh",
E939="Jaipur","Rajasthan",
E939="Kochi","Kerala",
E939="Kolkata","West Bengal",
E939="Lucknow","Uttar Pradesh",
E939="Mumbai","Maharashtra",
E939="Nagpur","Maharashtra",
E939="Patna","Bihar",
E939="Pune","Maharashtra",
E939="Raipur","Chhattisgarh",
E939="Surat","Gujarat",
TRUE,"Not Found"
)</f>
        <v>Karnataka</v>
      </c>
      <c r="G939" t="s">
        <v>1228</v>
      </c>
      <c r="H939" t="s">
        <v>1167</v>
      </c>
      <c r="I939" t="s">
        <v>1168</v>
      </c>
      <c r="J939" t="s">
        <v>1169</v>
      </c>
      <c r="K939" t="s">
        <v>1170</v>
      </c>
      <c r="L939">
        <v>2</v>
      </c>
      <c r="M939">
        <v>55110</v>
      </c>
      <c r="N939">
        <v>0.15</v>
      </c>
      <c r="O939">
        <v>46843.5</v>
      </c>
      <c r="P939">
        <v>0.12</v>
      </c>
      <c r="Q939">
        <v>93687</v>
      </c>
      <c r="R939">
        <v>11242.44</v>
      </c>
      <c r="S939">
        <v>104929.44</v>
      </c>
      <c r="T939">
        <f>ROUND(Table2[[#This Row],[TotalAmount]],0)</f>
        <v>104929</v>
      </c>
      <c r="U939" t="s">
        <v>1365</v>
      </c>
      <c r="V939" t="s">
        <v>1361</v>
      </c>
      <c r="W939" s="4">
        <v>45531</v>
      </c>
      <c r="X939" s="4">
        <v>45534</v>
      </c>
      <c r="Y939" t="b">
        <v>0</v>
      </c>
      <c r="Z939" t="s">
        <v>1412</v>
      </c>
      <c r="AA939" t="s">
        <v>1412</v>
      </c>
      <c r="AB939" t="s">
        <v>1412</v>
      </c>
      <c r="AC939" t="s">
        <v>1379</v>
      </c>
      <c r="AD939" t="s">
        <v>1385</v>
      </c>
      <c r="AE939" t="s">
        <v>1380</v>
      </c>
    </row>
    <row r="940" spans="1:31" x14ac:dyDescent="0.3">
      <c r="A940" t="s">
        <v>1120</v>
      </c>
      <c r="B940" s="4">
        <v>45374.493750000001</v>
      </c>
      <c r="C940" t="s">
        <v>382</v>
      </c>
      <c r="D940" t="s">
        <v>1157</v>
      </c>
      <c r="E940" t="s">
        <v>1158</v>
      </c>
      <c r="F940" t="str" cm="1">
        <f t="array" ref="F940">_xlfn.IFS(
E940="Ahmedabad","Gujarat",
E940="Bengaluru","Karnataka",
E940="Bhopal","Madhya Pradesh",
E940="Bhubaneswar","Odisha",
E940="Chandigarh","Chandigarh",
E940="Chennai","Tamil Nadu",
E940="Delhi","Delhi",
E940="Guwahati","Assam",
E940="Hyderabad","Telangana",
E940="Indore","Madhya Pradesh",
E940="Jaipur","Rajasthan",
E940="Kochi","Kerala",
E940="Kolkata","West Bengal",
E940="Lucknow","Uttar Pradesh",
E940="Mumbai","Maharashtra",
E940="Nagpur","Maharashtra",
E940="Patna","Bihar",
E940="Pune","Maharashtra",
E940="Raipur","Chhattisgarh",
E940="Surat","Gujarat",
TRUE,"Not Found"
)</f>
        <v>Gujarat</v>
      </c>
      <c r="G940" t="s">
        <v>1187</v>
      </c>
      <c r="H940" t="s">
        <v>1172</v>
      </c>
      <c r="I940" t="s">
        <v>1173</v>
      </c>
      <c r="J940" t="s">
        <v>1222</v>
      </c>
      <c r="K940" t="s">
        <v>1223</v>
      </c>
      <c r="L940">
        <v>1</v>
      </c>
      <c r="M940">
        <v>8508</v>
      </c>
      <c r="N940">
        <v>0.15</v>
      </c>
      <c r="O940">
        <v>7231.8</v>
      </c>
      <c r="P940">
        <v>0.12</v>
      </c>
      <c r="Q940">
        <v>7231.8</v>
      </c>
      <c r="R940">
        <v>867.81600000000003</v>
      </c>
      <c r="S940">
        <v>8099.616</v>
      </c>
      <c r="T940">
        <f>ROUND(Table2[[#This Row],[TotalAmount]],0)</f>
        <v>8100</v>
      </c>
      <c r="U940" t="s">
        <v>1363</v>
      </c>
      <c r="V940" t="s">
        <v>1361</v>
      </c>
      <c r="W940" s="4">
        <v>45375</v>
      </c>
      <c r="X940" s="4">
        <v>45379</v>
      </c>
      <c r="Y940" t="b">
        <v>0</v>
      </c>
      <c r="Z940" t="s">
        <v>1412</v>
      </c>
      <c r="AA940" t="s">
        <v>1412</v>
      </c>
      <c r="AB940" t="s">
        <v>1412</v>
      </c>
      <c r="AC940" t="s">
        <v>1379</v>
      </c>
      <c r="AD940" t="s">
        <v>1397</v>
      </c>
      <c r="AE940" t="s">
        <v>1391</v>
      </c>
    </row>
    <row r="941" spans="1:31" x14ac:dyDescent="0.3">
      <c r="A941" t="s">
        <v>1121</v>
      </c>
      <c r="B941" s="4">
        <v>45721.482638888891</v>
      </c>
      <c r="C941" t="s">
        <v>83</v>
      </c>
      <c r="D941" t="s">
        <v>1141</v>
      </c>
      <c r="E941" t="s">
        <v>1239</v>
      </c>
      <c r="F941" t="str" cm="1">
        <f t="array" ref="F941">_xlfn.IFS(
E941="Ahmedabad","Gujarat",
E941="Bengaluru","Karnataka",
E941="Bhopal","Madhya Pradesh",
E941="Bhubaneswar","Odisha",
E941="Chandigarh","Chandigarh",
E941="Chennai","Tamil Nadu",
E941="Delhi","Delhi",
E941="Guwahati","Assam",
E941="Hyderabad","Telangana",
E941="Indore","Madhya Pradesh",
E941="Jaipur","Rajasthan",
E941="Kochi","Kerala",
E941="Kolkata","West Bengal",
E941="Lucknow","Uttar Pradesh",
E941="Mumbai","Maharashtra",
E941="Nagpur","Maharashtra",
E941="Patna","Bihar",
E941="Pune","Maharashtra",
E941="Raipur","Chhattisgarh",
E941="Surat","Gujarat",
TRUE,"Not Found"
)</f>
        <v>Odisha</v>
      </c>
      <c r="G941" t="s">
        <v>1150</v>
      </c>
      <c r="H941" t="s">
        <v>1172</v>
      </c>
      <c r="I941" t="s">
        <v>1198</v>
      </c>
      <c r="J941" t="s">
        <v>1250</v>
      </c>
      <c r="K941" t="s">
        <v>1251</v>
      </c>
      <c r="L941">
        <v>2</v>
      </c>
      <c r="M941">
        <v>7461</v>
      </c>
      <c r="N941">
        <v>0</v>
      </c>
      <c r="O941">
        <v>7461</v>
      </c>
      <c r="P941">
        <v>0.18</v>
      </c>
      <c r="Q941">
        <v>14922</v>
      </c>
      <c r="R941">
        <v>2685.96</v>
      </c>
      <c r="S941">
        <v>17607.96</v>
      </c>
      <c r="T941">
        <f>ROUND(Table2[[#This Row],[TotalAmount]],0)</f>
        <v>17608</v>
      </c>
      <c r="U941" t="s">
        <v>1366</v>
      </c>
      <c r="V941" t="s">
        <v>1361</v>
      </c>
      <c r="W941" s="4">
        <v>45723</v>
      </c>
      <c r="X941" s="4">
        <v>45726</v>
      </c>
      <c r="Y941" t="b">
        <v>0</v>
      </c>
      <c r="Z941" t="s">
        <v>1412</v>
      </c>
      <c r="AA941" t="s">
        <v>1412</v>
      </c>
      <c r="AB941" t="s">
        <v>1412</v>
      </c>
      <c r="AC941" t="s">
        <v>1396</v>
      </c>
      <c r="AD941" t="s">
        <v>1400</v>
      </c>
      <c r="AE941" t="s">
        <v>1395</v>
      </c>
    </row>
    <row r="942" spans="1:31" x14ac:dyDescent="0.3">
      <c r="A942" t="s">
        <v>1122</v>
      </c>
      <c r="B942" s="4">
        <v>45681.484027777777</v>
      </c>
      <c r="C942" t="s">
        <v>200</v>
      </c>
      <c r="D942" t="s">
        <v>1182</v>
      </c>
      <c r="E942" t="s">
        <v>1183</v>
      </c>
      <c r="F942" t="str" cm="1">
        <f t="array" ref="F942">_xlfn.IFS(
E942="Ahmedabad","Gujarat",
E942="Bengaluru","Karnataka",
E942="Bhopal","Madhya Pradesh",
E942="Bhubaneswar","Odisha",
E942="Chandigarh","Chandigarh",
E942="Chennai","Tamil Nadu",
E942="Delhi","Delhi",
E942="Guwahati","Assam",
E942="Hyderabad","Telangana",
E942="Indore","Madhya Pradesh",
E942="Jaipur","Rajasthan",
E942="Kochi","Kerala",
E942="Kolkata","West Bengal",
E942="Lucknow","Uttar Pradesh",
E942="Mumbai","Maharashtra",
E942="Nagpur","Maharashtra",
E942="Patna","Bihar",
E942="Pune","Maharashtra",
E942="Raipur","Chhattisgarh",
E942="Surat","Gujarat",
TRUE,"Not Found"
)</f>
        <v>Telangana</v>
      </c>
      <c r="G942" t="s">
        <v>1143</v>
      </c>
      <c r="H942" t="s">
        <v>1167</v>
      </c>
      <c r="I942" t="s">
        <v>1263</v>
      </c>
      <c r="J942" t="s">
        <v>1346</v>
      </c>
      <c r="K942" t="s">
        <v>1347</v>
      </c>
      <c r="L942">
        <v>1</v>
      </c>
      <c r="M942">
        <v>19784</v>
      </c>
      <c r="N942">
        <v>0.15</v>
      </c>
      <c r="O942">
        <v>16816.400000000001</v>
      </c>
      <c r="P942">
        <v>0.05</v>
      </c>
      <c r="Q942">
        <v>16816.400000000001</v>
      </c>
      <c r="R942">
        <v>840.81999999999994</v>
      </c>
      <c r="S942">
        <v>17657.22</v>
      </c>
      <c r="T942">
        <f>ROUND(Table2[[#This Row],[TotalAmount]],0)</f>
        <v>17657</v>
      </c>
      <c r="U942" t="s">
        <v>1360</v>
      </c>
      <c r="V942" t="s">
        <v>1361</v>
      </c>
      <c r="W942" s="4">
        <v>45681</v>
      </c>
      <c r="X942" s="4">
        <v>45686</v>
      </c>
      <c r="Y942" t="b">
        <v>0</v>
      </c>
      <c r="Z942" t="s">
        <v>1412</v>
      </c>
      <c r="AA942" t="s">
        <v>1412</v>
      </c>
      <c r="AB942" t="s">
        <v>1412</v>
      </c>
      <c r="AC942" t="s">
        <v>1388</v>
      </c>
      <c r="AD942" t="s">
        <v>1377</v>
      </c>
      <c r="AE942" t="s">
        <v>1380</v>
      </c>
    </row>
    <row r="943" spans="1:31" x14ac:dyDescent="0.3">
      <c r="A943" t="s">
        <v>1123</v>
      </c>
      <c r="B943" s="4">
        <v>45610.42083333333</v>
      </c>
      <c r="C943" t="s">
        <v>669</v>
      </c>
      <c r="D943" t="s">
        <v>1157</v>
      </c>
      <c r="E943" t="s">
        <v>1181</v>
      </c>
      <c r="F943" t="str" cm="1">
        <f t="array" ref="F943">_xlfn.IFS(
E943="Ahmedabad","Gujarat",
E943="Bengaluru","Karnataka",
E943="Bhopal","Madhya Pradesh",
E943="Bhubaneswar","Odisha",
E943="Chandigarh","Chandigarh",
E943="Chennai","Tamil Nadu",
E943="Delhi","Delhi",
E943="Guwahati","Assam",
E943="Hyderabad","Telangana",
E943="Indore","Madhya Pradesh",
E943="Jaipur","Rajasthan",
E943="Kochi","Kerala",
E943="Kolkata","West Bengal",
E943="Lucknow","Uttar Pradesh",
E943="Mumbai","Maharashtra",
E943="Nagpur","Maharashtra",
E943="Patna","Bihar",
E943="Pune","Maharashtra",
E943="Raipur","Chhattisgarh",
E943="Surat","Gujarat",
TRUE,"Not Found"
)</f>
        <v>Gujarat</v>
      </c>
      <c r="G943" t="s">
        <v>1143</v>
      </c>
      <c r="H943" t="s">
        <v>1167</v>
      </c>
      <c r="I943" t="s">
        <v>1208</v>
      </c>
      <c r="J943" t="s">
        <v>1291</v>
      </c>
      <c r="K943" t="s">
        <v>1292</v>
      </c>
      <c r="L943">
        <v>1</v>
      </c>
      <c r="M943">
        <v>30991</v>
      </c>
      <c r="N943">
        <v>0.05</v>
      </c>
      <c r="O943">
        <v>29441.45</v>
      </c>
      <c r="P943">
        <v>0.18</v>
      </c>
      <c r="Q943">
        <v>29441.45</v>
      </c>
      <c r="R943">
        <v>5299.4609999999993</v>
      </c>
      <c r="S943">
        <v>34740.910999999993</v>
      </c>
      <c r="T943">
        <f>ROUND(Table2[[#This Row],[TotalAmount]],0)</f>
        <v>34741</v>
      </c>
      <c r="U943" t="s">
        <v>1365</v>
      </c>
      <c r="V943" t="s">
        <v>1361</v>
      </c>
      <c r="W943" s="4">
        <v>45611</v>
      </c>
      <c r="X943" s="4">
        <v>45615</v>
      </c>
      <c r="Y943" t="b">
        <v>0</v>
      </c>
      <c r="Z943" t="s">
        <v>1412</v>
      </c>
      <c r="AA943" t="s">
        <v>1412</v>
      </c>
      <c r="AB943" t="s">
        <v>1412</v>
      </c>
      <c r="AC943" t="s">
        <v>1392</v>
      </c>
      <c r="AD943" t="s">
        <v>1399</v>
      </c>
      <c r="AE943" t="s">
        <v>1393</v>
      </c>
    </row>
    <row r="944" spans="1:31" x14ac:dyDescent="0.3">
      <c r="A944" t="s">
        <v>1124</v>
      </c>
      <c r="B944" s="4">
        <v>45428.517361111109</v>
      </c>
      <c r="C944" t="s">
        <v>179</v>
      </c>
      <c r="D944" t="s">
        <v>1141</v>
      </c>
      <c r="E944" t="s">
        <v>1239</v>
      </c>
      <c r="F944" t="str" cm="1">
        <f t="array" ref="F944">_xlfn.IFS(
E944="Ahmedabad","Gujarat",
E944="Bengaluru","Karnataka",
E944="Bhopal","Madhya Pradesh",
E944="Bhubaneswar","Odisha",
E944="Chandigarh","Chandigarh",
E944="Chennai","Tamil Nadu",
E944="Delhi","Delhi",
E944="Guwahati","Assam",
E944="Hyderabad","Telangana",
E944="Indore","Madhya Pradesh",
E944="Jaipur","Rajasthan",
E944="Kochi","Kerala",
E944="Kolkata","West Bengal",
E944="Lucknow","Uttar Pradesh",
E944="Mumbai","Maharashtra",
E944="Nagpur","Maharashtra",
E944="Patna","Bihar",
E944="Pune","Maharashtra",
E944="Raipur","Chhattisgarh",
E944="Surat","Gujarat",
TRUE,"Not Found"
)</f>
        <v>Odisha</v>
      </c>
      <c r="G944" t="s">
        <v>1143</v>
      </c>
      <c r="H944" t="s">
        <v>1177</v>
      </c>
      <c r="I944" t="s">
        <v>1195</v>
      </c>
      <c r="J944" t="s">
        <v>1218</v>
      </c>
      <c r="K944" t="s">
        <v>1219</v>
      </c>
      <c r="L944">
        <v>2</v>
      </c>
      <c r="M944">
        <v>1687</v>
      </c>
      <c r="N944">
        <v>0</v>
      </c>
      <c r="O944">
        <v>1687</v>
      </c>
      <c r="P944">
        <v>0.12</v>
      </c>
      <c r="Q944">
        <v>3374</v>
      </c>
      <c r="R944">
        <v>404.88</v>
      </c>
      <c r="S944">
        <v>3778.88</v>
      </c>
      <c r="T944">
        <f>ROUND(Table2[[#This Row],[TotalAmount]],0)</f>
        <v>3779</v>
      </c>
      <c r="U944" t="s">
        <v>1362</v>
      </c>
      <c r="V944" t="s">
        <v>1369</v>
      </c>
      <c r="W944" s="4" t="s">
        <v>1412</v>
      </c>
      <c r="X944" s="4" t="s">
        <v>1412</v>
      </c>
      <c r="Y944" t="b">
        <v>0</v>
      </c>
      <c r="Z944" t="s">
        <v>1412</v>
      </c>
      <c r="AA944" t="s">
        <v>1412</v>
      </c>
      <c r="AB944" t="s">
        <v>1412</v>
      </c>
      <c r="AC944" t="s">
        <v>1379</v>
      </c>
      <c r="AD944" t="s">
        <v>1400</v>
      </c>
      <c r="AE944" t="s">
        <v>1383</v>
      </c>
    </row>
    <row r="945" spans="1:31" x14ac:dyDescent="0.3">
      <c r="A945" t="s">
        <v>1125</v>
      </c>
      <c r="B945" s="4">
        <v>45392.645138888889</v>
      </c>
      <c r="C945" t="s">
        <v>63</v>
      </c>
      <c r="D945" t="s">
        <v>1141</v>
      </c>
      <c r="E945" t="s">
        <v>1239</v>
      </c>
      <c r="F945" t="str" cm="1">
        <f t="array" ref="F945">_xlfn.IFS(
E945="Ahmedabad","Gujarat",
E945="Bengaluru","Karnataka",
E945="Bhopal","Madhya Pradesh",
E945="Bhubaneswar","Odisha",
E945="Chandigarh","Chandigarh",
E945="Chennai","Tamil Nadu",
E945="Delhi","Delhi",
E945="Guwahati","Assam",
E945="Hyderabad","Telangana",
E945="Indore","Madhya Pradesh",
E945="Jaipur","Rajasthan",
E945="Kochi","Kerala",
E945="Kolkata","West Bengal",
E945="Lucknow","Uttar Pradesh",
E945="Mumbai","Maharashtra",
E945="Nagpur","Maharashtra",
E945="Patna","Bihar",
E945="Pune","Maharashtra",
E945="Raipur","Chhattisgarh",
E945="Surat","Gujarat",
TRUE,"Not Found"
)</f>
        <v>Odisha</v>
      </c>
      <c r="G945" t="s">
        <v>1150</v>
      </c>
      <c r="H945" t="s">
        <v>1144</v>
      </c>
      <c r="I945" t="s">
        <v>1145</v>
      </c>
      <c r="J945" t="s">
        <v>1155</v>
      </c>
      <c r="K945" t="s">
        <v>1156</v>
      </c>
      <c r="L945">
        <v>3</v>
      </c>
      <c r="M945">
        <v>9086</v>
      </c>
      <c r="N945">
        <v>0</v>
      </c>
      <c r="O945">
        <v>9086</v>
      </c>
      <c r="P945">
        <v>0.12</v>
      </c>
      <c r="Q945">
        <v>27258</v>
      </c>
      <c r="R945">
        <v>3270.96</v>
      </c>
      <c r="S945">
        <v>30528.959999999999</v>
      </c>
      <c r="T945">
        <f>ROUND(Table2[[#This Row],[TotalAmount]],0)</f>
        <v>30529</v>
      </c>
      <c r="U945" t="s">
        <v>1365</v>
      </c>
      <c r="V945" t="s">
        <v>1361</v>
      </c>
      <c r="W945" s="4">
        <v>45394</v>
      </c>
      <c r="X945" s="4">
        <v>45397</v>
      </c>
      <c r="Y945" t="b">
        <v>0</v>
      </c>
      <c r="Z945" t="s">
        <v>1412</v>
      </c>
      <c r="AA945" t="s">
        <v>1412</v>
      </c>
      <c r="AB945" t="s">
        <v>1412</v>
      </c>
      <c r="AC945" t="s">
        <v>1390</v>
      </c>
      <c r="AD945" t="s">
        <v>1387</v>
      </c>
      <c r="AE945" t="s">
        <v>1383</v>
      </c>
    </row>
    <row r="946" spans="1:31" x14ac:dyDescent="0.3">
      <c r="A946" t="s">
        <v>1126</v>
      </c>
      <c r="B946" s="4">
        <v>45362.545138888891</v>
      </c>
      <c r="C946" t="s">
        <v>235</v>
      </c>
      <c r="D946" t="s">
        <v>1157</v>
      </c>
      <c r="E946" t="s">
        <v>1158</v>
      </c>
      <c r="F946" t="str" cm="1">
        <f t="array" ref="F946">_xlfn.IFS(
E946="Ahmedabad","Gujarat",
E946="Bengaluru","Karnataka",
E946="Bhopal","Madhya Pradesh",
E946="Bhubaneswar","Odisha",
E946="Chandigarh","Chandigarh",
E946="Chennai","Tamil Nadu",
E946="Delhi","Delhi",
E946="Guwahati","Assam",
E946="Hyderabad","Telangana",
E946="Indore","Madhya Pradesh",
E946="Jaipur","Rajasthan",
E946="Kochi","Kerala",
E946="Kolkata","West Bengal",
E946="Lucknow","Uttar Pradesh",
E946="Mumbai","Maharashtra",
E946="Nagpur","Maharashtra",
E946="Patna","Bihar",
E946="Pune","Maharashtra",
E946="Raipur","Chhattisgarh",
E946="Surat","Gujarat",
TRUE,"Not Found"
)</f>
        <v>Gujarat</v>
      </c>
      <c r="G946" t="s">
        <v>1150</v>
      </c>
      <c r="H946" t="s">
        <v>1144</v>
      </c>
      <c r="I946" t="s">
        <v>1159</v>
      </c>
      <c r="J946" t="s">
        <v>1160</v>
      </c>
      <c r="K946" t="s">
        <v>1161</v>
      </c>
      <c r="L946">
        <v>3</v>
      </c>
      <c r="M946">
        <v>8474</v>
      </c>
      <c r="N946">
        <v>0.05</v>
      </c>
      <c r="O946">
        <v>8050.2999999999993</v>
      </c>
      <c r="P946">
        <v>0.12</v>
      </c>
      <c r="Q946">
        <v>24150.9</v>
      </c>
      <c r="R946">
        <v>2898.1080000000002</v>
      </c>
      <c r="S946">
        <v>27049.008000000002</v>
      </c>
      <c r="T946">
        <f>ROUND(Table2[[#This Row],[TotalAmount]],0)</f>
        <v>27049</v>
      </c>
      <c r="U946" t="s">
        <v>1360</v>
      </c>
      <c r="V946" t="s">
        <v>1361</v>
      </c>
      <c r="W946" s="4">
        <v>45363</v>
      </c>
      <c r="X946" s="4">
        <v>45366</v>
      </c>
      <c r="Y946" t="b">
        <v>0</v>
      </c>
      <c r="Z946" t="s">
        <v>1412</v>
      </c>
      <c r="AA946" t="s">
        <v>1412</v>
      </c>
      <c r="AB946" t="s">
        <v>1412</v>
      </c>
      <c r="AC946" t="s">
        <v>1388</v>
      </c>
      <c r="AD946" t="s">
        <v>1397</v>
      </c>
      <c r="AE946" t="s">
        <v>1391</v>
      </c>
    </row>
    <row r="947" spans="1:31" x14ac:dyDescent="0.3">
      <c r="A947" t="s">
        <v>1127</v>
      </c>
      <c r="B947" s="4">
        <v>45390.532638888893</v>
      </c>
      <c r="C947" t="s">
        <v>304</v>
      </c>
      <c r="D947" t="s">
        <v>1157</v>
      </c>
      <c r="E947" t="s">
        <v>1181</v>
      </c>
      <c r="F947" t="str" cm="1">
        <f t="array" ref="F947">_xlfn.IFS(
E947="Ahmedabad","Gujarat",
E947="Bengaluru","Karnataka",
E947="Bhopal","Madhya Pradesh",
E947="Bhubaneswar","Odisha",
E947="Chandigarh","Chandigarh",
E947="Chennai","Tamil Nadu",
E947="Delhi","Delhi",
E947="Guwahati","Assam",
E947="Hyderabad","Telangana",
E947="Indore","Madhya Pradesh",
E947="Jaipur","Rajasthan",
E947="Kochi","Kerala",
E947="Kolkata","West Bengal",
E947="Lucknow","Uttar Pradesh",
E947="Mumbai","Maharashtra",
E947="Nagpur","Maharashtra",
E947="Patna","Bihar",
E947="Pune","Maharashtra",
E947="Raipur","Chhattisgarh",
E947="Surat","Gujarat",
TRUE,"Not Found"
)</f>
        <v>Gujarat</v>
      </c>
      <c r="G947" t="s">
        <v>1143</v>
      </c>
      <c r="H947" t="s">
        <v>1144</v>
      </c>
      <c r="I947" t="s">
        <v>1145</v>
      </c>
      <c r="J947" t="s">
        <v>1151</v>
      </c>
      <c r="K947" t="s">
        <v>1152</v>
      </c>
      <c r="L947">
        <v>2</v>
      </c>
      <c r="M947">
        <v>11325</v>
      </c>
      <c r="N947">
        <v>0.1</v>
      </c>
      <c r="O947">
        <v>10192.5</v>
      </c>
      <c r="P947">
        <v>0.05</v>
      </c>
      <c r="Q947">
        <v>20385</v>
      </c>
      <c r="R947">
        <v>1019.25</v>
      </c>
      <c r="S947">
        <v>21404.25</v>
      </c>
      <c r="T947">
        <f>ROUND(Table2[[#This Row],[TotalAmount]],0)</f>
        <v>21404</v>
      </c>
      <c r="U947" t="s">
        <v>1360</v>
      </c>
      <c r="V947" t="s">
        <v>1369</v>
      </c>
      <c r="W947" s="4" t="s">
        <v>1412</v>
      </c>
      <c r="X947" s="4" t="s">
        <v>1412</v>
      </c>
      <c r="Y947" t="b">
        <v>0</v>
      </c>
      <c r="Z947" t="s">
        <v>1412</v>
      </c>
      <c r="AA947" t="s">
        <v>1412</v>
      </c>
      <c r="AB947" t="s">
        <v>1412</v>
      </c>
      <c r="AC947" t="s">
        <v>1388</v>
      </c>
      <c r="AD947" t="s">
        <v>1377</v>
      </c>
      <c r="AE947" t="s">
        <v>1389</v>
      </c>
    </row>
    <row r="948" spans="1:31" x14ac:dyDescent="0.3">
      <c r="A948" t="s">
        <v>1128</v>
      </c>
      <c r="B948" s="4">
        <v>45635.644444444442</v>
      </c>
      <c r="C948" t="s">
        <v>130</v>
      </c>
      <c r="D948" t="s">
        <v>1153</v>
      </c>
      <c r="E948" t="s">
        <v>1176</v>
      </c>
      <c r="F948" t="str" cm="1">
        <f t="array" ref="F948">_xlfn.IFS(
E948="Ahmedabad","Gujarat",
E948="Bengaluru","Karnataka",
E948="Bhopal","Madhya Pradesh",
E948="Bhubaneswar","Odisha",
E948="Chandigarh","Chandigarh",
E948="Chennai","Tamil Nadu",
E948="Delhi","Delhi",
E948="Guwahati","Assam",
E948="Hyderabad","Telangana",
E948="Indore","Madhya Pradesh",
E948="Jaipur","Rajasthan",
E948="Kochi","Kerala",
E948="Kolkata","West Bengal",
E948="Lucknow","Uttar Pradesh",
E948="Mumbai","Maharashtra",
E948="Nagpur","Maharashtra",
E948="Patna","Bihar",
E948="Pune","Maharashtra",
E948="Raipur","Chhattisgarh",
E948="Surat","Gujarat",
TRUE,"Not Found"
)</f>
        <v>Chhattisgarh</v>
      </c>
      <c r="G948" t="s">
        <v>1150</v>
      </c>
      <c r="H948" t="s">
        <v>1144</v>
      </c>
      <c r="I948" t="s">
        <v>1159</v>
      </c>
      <c r="J948" t="s">
        <v>1160</v>
      </c>
      <c r="K948" t="s">
        <v>1161</v>
      </c>
      <c r="L948">
        <v>3</v>
      </c>
      <c r="M948">
        <v>14246</v>
      </c>
      <c r="N948">
        <v>0</v>
      </c>
      <c r="O948">
        <v>14246</v>
      </c>
      <c r="P948">
        <v>0.12</v>
      </c>
      <c r="Q948">
        <v>42738</v>
      </c>
      <c r="R948">
        <v>5128.5599999999986</v>
      </c>
      <c r="S948">
        <v>47866.559999999998</v>
      </c>
      <c r="T948">
        <f>ROUND(Table2[[#This Row],[TotalAmount]],0)</f>
        <v>47867</v>
      </c>
      <c r="U948" t="s">
        <v>1365</v>
      </c>
      <c r="V948" t="s">
        <v>1361</v>
      </c>
      <c r="W948" s="4">
        <v>45635</v>
      </c>
      <c r="X948" s="4">
        <v>45638</v>
      </c>
      <c r="Y948" t="b">
        <v>0</v>
      </c>
      <c r="Z948" t="s">
        <v>1412</v>
      </c>
      <c r="AA948" t="s">
        <v>1412</v>
      </c>
      <c r="AB948" t="s">
        <v>1412</v>
      </c>
      <c r="AC948" t="s">
        <v>1386</v>
      </c>
      <c r="AD948" t="s">
        <v>1400</v>
      </c>
      <c r="AE948" t="s">
        <v>1378</v>
      </c>
    </row>
    <row r="949" spans="1:31" x14ac:dyDescent="0.3">
      <c r="A949" t="s">
        <v>1129</v>
      </c>
      <c r="B949" s="4">
        <v>45454.494444444441</v>
      </c>
      <c r="C949" t="s">
        <v>185</v>
      </c>
      <c r="D949" t="s">
        <v>1153</v>
      </c>
      <c r="E949" t="s">
        <v>1154</v>
      </c>
      <c r="F949" t="str" cm="1">
        <f t="array" ref="F949">_xlfn.IFS(
E949="Ahmedabad","Gujarat",
E949="Bengaluru","Karnataka",
E949="Bhopal","Madhya Pradesh",
E949="Bhubaneswar","Odisha",
E949="Chandigarh","Chandigarh",
E949="Chennai","Tamil Nadu",
E949="Delhi","Delhi",
E949="Guwahati","Assam",
E949="Hyderabad","Telangana",
E949="Indore","Madhya Pradesh",
E949="Jaipur","Rajasthan",
E949="Kochi","Kerala",
E949="Kolkata","West Bengal",
E949="Lucknow","Uttar Pradesh",
E949="Mumbai","Maharashtra",
E949="Nagpur","Maharashtra",
E949="Patna","Bihar",
E949="Pune","Maharashtra",
E949="Raipur","Chhattisgarh",
E949="Surat","Gujarat",
TRUE,"Not Found"
)</f>
        <v>Maharashtra</v>
      </c>
      <c r="G949" t="s">
        <v>1143</v>
      </c>
      <c r="H949" t="s">
        <v>1172</v>
      </c>
      <c r="I949" t="s">
        <v>1188</v>
      </c>
      <c r="J949" t="s">
        <v>1258</v>
      </c>
      <c r="K949" t="s">
        <v>1259</v>
      </c>
      <c r="L949">
        <v>3</v>
      </c>
      <c r="M949">
        <v>9809</v>
      </c>
      <c r="N949">
        <v>0.2</v>
      </c>
      <c r="O949">
        <v>7847.2000000000007</v>
      </c>
      <c r="P949">
        <v>0.12</v>
      </c>
      <c r="Q949">
        <v>23541.599999999999</v>
      </c>
      <c r="R949">
        <v>2824.9920000000002</v>
      </c>
      <c r="S949">
        <v>26366.592000000001</v>
      </c>
      <c r="T949">
        <f>ROUND(Table2[[#This Row],[TotalAmount]],0)</f>
        <v>26367</v>
      </c>
      <c r="U949" t="s">
        <v>1362</v>
      </c>
      <c r="V949" t="s">
        <v>1361</v>
      </c>
      <c r="W949" s="4">
        <v>45455</v>
      </c>
      <c r="X949" s="4">
        <v>45457</v>
      </c>
      <c r="Y949" t="b">
        <v>0</v>
      </c>
      <c r="Z949" t="s">
        <v>1412</v>
      </c>
      <c r="AA949" t="s">
        <v>1412</v>
      </c>
      <c r="AB949" t="s">
        <v>1412</v>
      </c>
      <c r="AC949" t="s">
        <v>1376</v>
      </c>
      <c r="AD949" t="s">
        <v>1394</v>
      </c>
      <c r="AE949" t="s">
        <v>1383</v>
      </c>
    </row>
    <row r="950" spans="1:31" x14ac:dyDescent="0.3">
      <c r="A950" t="s">
        <v>1130</v>
      </c>
      <c r="B950" s="4">
        <v>45661.654166666667</v>
      </c>
      <c r="C950" t="s">
        <v>330</v>
      </c>
      <c r="D950" t="s">
        <v>1153</v>
      </c>
      <c r="E950" t="s">
        <v>1162</v>
      </c>
      <c r="F950" t="str" cm="1">
        <f t="array" ref="F950">_xlfn.IFS(
E950="Ahmedabad","Gujarat",
E950="Bengaluru","Karnataka",
E950="Bhopal","Madhya Pradesh",
E950="Bhubaneswar","Odisha",
E950="Chandigarh","Chandigarh",
E950="Chennai","Tamil Nadu",
E950="Delhi","Delhi",
E950="Guwahati","Assam",
E950="Hyderabad","Telangana",
E950="Indore","Madhya Pradesh",
E950="Jaipur","Rajasthan",
E950="Kochi","Kerala",
E950="Kolkata","West Bengal",
E950="Lucknow","Uttar Pradesh",
E950="Mumbai","Maharashtra",
E950="Nagpur","Maharashtra",
E950="Patna","Bihar",
E950="Pune","Maharashtra",
E950="Raipur","Chhattisgarh",
E950="Surat","Gujarat",
TRUE,"Not Found"
)</f>
        <v>Madhya Pradesh</v>
      </c>
      <c r="G950" t="s">
        <v>1187</v>
      </c>
      <c r="H950" t="s">
        <v>1144</v>
      </c>
      <c r="I950" t="s">
        <v>1214</v>
      </c>
      <c r="J950" t="s">
        <v>1320</v>
      </c>
      <c r="K950" t="s">
        <v>1321</v>
      </c>
      <c r="L950">
        <v>2</v>
      </c>
      <c r="M950">
        <v>9176</v>
      </c>
      <c r="N950">
        <v>0.1</v>
      </c>
      <c r="O950">
        <v>8258.4</v>
      </c>
      <c r="P950">
        <v>0.18</v>
      </c>
      <c r="Q950">
        <v>16516.8</v>
      </c>
      <c r="R950">
        <v>2973.0239999999999</v>
      </c>
      <c r="S950">
        <v>19489.824000000001</v>
      </c>
      <c r="T950">
        <f>ROUND(Table2[[#This Row],[TotalAmount]],0)</f>
        <v>19490</v>
      </c>
      <c r="U950" t="s">
        <v>1366</v>
      </c>
      <c r="V950" t="s">
        <v>1361</v>
      </c>
      <c r="W950" s="4">
        <v>45661</v>
      </c>
      <c r="X950" s="4">
        <v>45663</v>
      </c>
      <c r="Y950" t="b">
        <v>0</v>
      </c>
      <c r="Z950" t="s">
        <v>1412</v>
      </c>
      <c r="AA950" t="s">
        <v>1412</v>
      </c>
      <c r="AB950" t="s">
        <v>1412</v>
      </c>
      <c r="AC950" t="s">
        <v>1379</v>
      </c>
      <c r="AD950" t="s">
        <v>1399</v>
      </c>
      <c r="AE950" t="s">
        <v>1395</v>
      </c>
    </row>
    <row r="951" spans="1:31" x14ac:dyDescent="0.3">
      <c r="A951" t="s">
        <v>1131</v>
      </c>
      <c r="B951" s="4">
        <v>45342.540972222218</v>
      </c>
      <c r="C951" t="s">
        <v>95</v>
      </c>
      <c r="D951" t="s">
        <v>1182</v>
      </c>
      <c r="E951" t="s">
        <v>1207</v>
      </c>
      <c r="F951" t="str" cm="1">
        <f t="array" ref="F951">_xlfn.IFS(
E951="Ahmedabad","Gujarat",
E951="Bengaluru","Karnataka",
E951="Bhopal","Madhya Pradesh",
E951="Bhubaneswar","Odisha",
E951="Chandigarh","Chandigarh",
E951="Chennai","Tamil Nadu",
E951="Delhi","Delhi",
E951="Guwahati","Assam",
E951="Hyderabad","Telangana",
E951="Indore","Madhya Pradesh",
E951="Jaipur","Rajasthan",
E951="Kochi","Kerala",
E951="Kolkata","West Bengal",
E951="Lucknow","Uttar Pradesh",
E951="Mumbai","Maharashtra",
E951="Nagpur","Maharashtra",
E951="Patna","Bihar",
E951="Pune","Maharashtra",
E951="Raipur","Chhattisgarh",
E951="Surat","Gujarat",
TRUE,"Not Found"
)</f>
        <v>Tamil Nadu</v>
      </c>
      <c r="G951" t="s">
        <v>1143</v>
      </c>
      <c r="H951" t="s">
        <v>1163</v>
      </c>
      <c r="I951" t="s">
        <v>1224</v>
      </c>
      <c r="J951" t="s">
        <v>1243</v>
      </c>
      <c r="K951" t="s">
        <v>1244</v>
      </c>
      <c r="L951">
        <v>2</v>
      </c>
      <c r="M951">
        <v>965</v>
      </c>
      <c r="N951">
        <v>0</v>
      </c>
      <c r="O951">
        <v>965</v>
      </c>
      <c r="P951">
        <v>0.18</v>
      </c>
      <c r="Q951">
        <v>1930</v>
      </c>
      <c r="R951">
        <v>347.4</v>
      </c>
      <c r="S951">
        <v>2277.4</v>
      </c>
      <c r="T951">
        <f>ROUND(Table2[[#This Row],[TotalAmount]],0)</f>
        <v>2277</v>
      </c>
      <c r="U951" t="s">
        <v>1363</v>
      </c>
      <c r="V951" t="s">
        <v>1368</v>
      </c>
      <c r="W951" s="4">
        <v>45342</v>
      </c>
      <c r="X951" s="4" t="s">
        <v>1412</v>
      </c>
      <c r="Y951" t="b">
        <v>0</v>
      </c>
      <c r="Z951" t="s">
        <v>1412</v>
      </c>
      <c r="AA951" t="s">
        <v>1412</v>
      </c>
      <c r="AB951" t="s">
        <v>1412</v>
      </c>
      <c r="AC951" t="s">
        <v>1388</v>
      </c>
      <c r="AD951" t="s">
        <v>1397</v>
      </c>
      <c r="AE951" t="s">
        <v>1395</v>
      </c>
    </row>
    <row r="952" spans="1:31" x14ac:dyDescent="0.3">
      <c r="A952" t="s">
        <v>1412</v>
      </c>
      <c r="B952" s="4" t="s">
        <v>1412</v>
      </c>
      <c r="C952" t="s">
        <v>1412</v>
      </c>
      <c r="D952" t="s">
        <v>1412</v>
      </c>
      <c r="E952" t="s">
        <v>1412</v>
      </c>
      <c r="G952" t="s">
        <v>1412</v>
      </c>
      <c r="H952" t="s">
        <v>1412</v>
      </c>
      <c r="I952" t="s">
        <v>1412</v>
      </c>
      <c r="J952" t="s">
        <v>1412</v>
      </c>
      <c r="K952" t="s">
        <v>1412</v>
      </c>
      <c r="L952" t="s">
        <v>1412</v>
      </c>
      <c r="M952" t="s">
        <v>1412</v>
      </c>
      <c r="N952" t="s">
        <v>1412</v>
      </c>
      <c r="O952" t="s">
        <v>1412</v>
      </c>
      <c r="P952" t="s">
        <v>1412</v>
      </c>
      <c r="Q952" t="s">
        <v>1412</v>
      </c>
      <c r="R952" t="s">
        <v>1412</v>
      </c>
      <c r="S952" t="s">
        <v>1412</v>
      </c>
      <c r="U952" t="s">
        <v>1412</v>
      </c>
      <c r="V952" t="s">
        <v>1412</v>
      </c>
      <c r="W952" s="4" t="s">
        <v>1412</v>
      </c>
      <c r="X952" s="4" t="s">
        <v>1412</v>
      </c>
      <c r="Y952" t="s">
        <v>1412</v>
      </c>
      <c r="Z952" t="s">
        <v>1412</v>
      </c>
      <c r="AA952" t="s">
        <v>1412</v>
      </c>
      <c r="AB952" t="s">
        <v>1412</v>
      </c>
      <c r="AC952" t="s">
        <v>1412</v>
      </c>
      <c r="AD952" t="s">
        <v>1412</v>
      </c>
      <c r="AE952" t="s">
        <v>1412</v>
      </c>
    </row>
    <row r="953" spans="1:31" x14ac:dyDescent="0.3">
      <c r="A953" t="s">
        <v>1412</v>
      </c>
      <c r="B953" s="4" t="s">
        <v>1412</v>
      </c>
      <c r="C953" t="s">
        <v>1412</v>
      </c>
      <c r="D953" t="s">
        <v>1412</v>
      </c>
      <c r="E953" t="s">
        <v>1412</v>
      </c>
      <c r="G953" t="s">
        <v>1412</v>
      </c>
      <c r="H953" t="s">
        <v>1412</v>
      </c>
      <c r="I953" t="s">
        <v>1412</v>
      </c>
      <c r="J953" t="s">
        <v>1412</v>
      </c>
      <c r="K953" t="s">
        <v>1412</v>
      </c>
      <c r="L953" t="s">
        <v>1412</v>
      </c>
      <c r="M953" t="s">
        <v>1412</v>
      </c>
      <c r="N953" t="s">
        <v>1412</v>
      </c>
      <c r="O953" t="s">
        <v>1412</v>
      </c>
      <c r="P953" t="s">
        <v>1412</v>
      </c>
      <c r="Q953" t="s">
        <v>1412</v>
      </c>
      <c r="R953" t="s">
        <v>1412</v>
      </c>
      <c r="S953" t="s">
        <v>1412</v>
      </c>
      <c r="U953" t="s">
        <v>1412</v>
      </c>
      <c r="V953" t="s">
        <v>1412</v>
      </c>
      <c r="W953" s="4" t="s">
        <v>1412</v>
      </c>
      <c r="X953" s="4" t="s">
        <v>1412</v>
      </c>
      <c r="Y953" t="s">
        <v>1412</v>
      </c>
      <c r="Z953" t="s">
        <v>1412</v>
      </c>
      <c r="AA953" t="s">
        <v>1412</v>
      </c>
      <c r="AB953" t="s">
        <v>1412</v>
      </c>
      <c r="AC953" t="s">
        <v>1412</v>
      </c>
      <c r="AD953" t="s">
        <v>1412</v>
      </c>
      <c r="AE953" t="s">
        <v>1412</v>
      </c>
    </row>
    <row r="954" spans="1:31" x14ac:dyDescent="0.3">
      <c r="A954" t="s">
        <v>1412</v>
      </c>
      <c r="B954" s="4" t="s">
        <v>1412</v>
      </c>
      <c r="C954" t="s">
        <v>1412</v>
      </c>
      <c r="D954" t="s">
        <v>1412</v>
      </c>
      <c r="E954" t="s">
        <v>1412</v>
      </c>
      <c r="G954" t="s">
        <v>1412</v>
      </c>
      <c r="H954" t="s">
        <v>1412</v>
      </c>
      <c r="I954" t="s">
        <v>1412</v>
      </c>
      <c r="J954" t="s">
        <v>1412</v>
      </c>
      <c r="K954" t="s">
        <v>1412</v>
      </c>
      <c r="L954" t="s">
        <v>1412</v>
      </c>
      <c r="M954" t="s">
        <v>1412</v>
      </c>
      <c r="N954" t="s">
        <v>1412</v>
      </c>
      <c r="O954" t="s">
        <v>1412</v>
      </c>
      <c r="P954" t="s">
        <v>1412</v>
      </c>
      <c r="Q954" t="s">
        <v>1412</v>
      </c>
      <c r="R954" t="s">
        <v>1412</v>
      </c>
      <c r="S954" t="s">
        <v>1412</v>
      </c>
      <c r="U954" t="s">
        <v>1412</v>
      </c>
      <c r="V954" t="s">
        <v>1412</v>
      </c>
      <c r="W954" s="4" t="s">
        <v>1412</v>
      </c>
      <c r="X954" s="4" t="s">
        <v>1412</v>
      </c>
      <c r="Y954" t="s">
        <v>1412</v>
      </c>
      <c r="Z954" t="s">
        <v>1412</v>
      </c>
      <c r="AA954" t="s">
        <v>1412</v>
      </c>
      <c r="AB954" t="s">
        <v>1412</v>
      </c>
      <c r="AC954" t="s">
        <v>1412</v>
      </c>
      <c r="AD954" t="s">
        <v>1412</v>
      </c>
      <c r="AE954" t="s">
        <v>1412</v>
      </c>
    </row>
    <row r="955" spans="1:31" x14ac:dyDescent="0.3">
      <c r="A955" t="s">
        <v>1412</v>
      </c>
      <c r="B955" s="4" t="s">
        <v>1412</v>
      </c>
      <c r="C955" t="s">
        <v>1412</v>
      </c>
      <c r="D955" t="s">
        <v>1412</v>
      </c>
      <c r="E955" t="s">
        <v>1412</v>
      </c>
      <c r="G955" t="s">
        <v>1412</v>
      </c>
      <c r="H955" t="s">
        <v>1412</v>
      </c>
      <c r="I955" t="s">
        <v>1412</v>
      </c>
      <c r="J955" t="s">
        <v>1412</v>
      </c>
      <c r="K955" t="s">
        <v>1412</v>
      </c>
      <c r="L955" t="s">
        <v>1412</v>
      </c>
      <c r="M955" t="s">
        <v>1412</v>
      </c>
      <c r="N955" t="s">
        <v>1412</v>
      </c>
      <c r="O955" t="s">
        <v>1412</v>
      </c>
      <c r="P955" t="s">
        <v>1412</v>
      </c>
      <c r="Q955" t="s">
        <v>1412</v>
      </c>
      <c r="R955" t="s">
        <v>1412</v>
      </c>
      <c r="S955" t="s">
        <v>1412</v>
      </c>
      <c r="U955" t="s">
        <v>1412</v>
      </c>
      <c r="V955" t="s">
        <v>1412</v>
      </c>
      <c r="W955" s="4" t="s">
        <v>1412</v>
      </c>
      <c r="X955" s="4" t="s">
        <v>1412</v>
      </c>
      <c r="Y955" t="s">
        <v>1412</v>
      </c>
      <c r="Z955" t="s">
        <v>1412</v>
      </c>
      <c r="AA955" t="s">
        <v>1412</v>
      </c>
      <c r="AB955" t="s">
        <v>1412</v>
      </c>
      <c r="AC955" t="s">
        <v>1412</v>
      </c>
      <c r="AD955" t="s">
        <v>1412</v>
      </c>
      <c r="AE955" t="s">
        <v>1412</v>
      </c>
    </row>
  </sheetData>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537B9-D6A6-4AE0-8EB7-A937336F24AE}">
  <dimension ref="A1"/>
  <sheetViews>
    <sheetView showGridLines="0" tabSelected="1" zoomScale="71" zoomScaleNormal="73" workbookViewId="0">
      <selection activeCell="AH31" sqref="AH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07760-3F6D-4A64-987C-61335D234CEF}">
  <dimension ref="A2:M139"/>
  <sheetViews>
    <sheetView topLeftCell="A84" zoomScale="75" workbookViewId="0">
      <selection activeCell="Q64" sqref="Q64"/>
    </sheetView>
  </sheetViews>
  <sheetFormatPr defaultRowHeight="14.4" x14ac:dyDescent="0.3"/>
  <cols>
    <col min="1" max="1" width="13.44140625" bestFit="1" customWidth="1"/>
    <col min="2" max="2" width="18.33203125" bestFit="1" customWidth="1"/>
    <col min="3" max="3" width="14.6640625" bestFit="1" customWidth="1"/>
    <col min="4" max="4" width="14.44140625" bestFit="1" customWidth="1"/>
    <col min="13" max="13" width="15" bestFit="1" customWidth="1"/>
    <col min="14" max="14" width="12.88671875" bestFit="1" customWidth="1"/>
    <col min="15" max="15" width="18" bestFit="1" customWidth="1"/>
  </cols>
  <sheetData>
    <row r="2" spans="1:13" x14ac:dyDescent="0.3">
      <c r="A2" s="8" t="s">
        <v>1405</v>
      </c>
      <c r="B2" t="s">
        <v>1406</v>
      </c>
    </row>
    <row r="3" spans="1:13" x14ac:dyDescent="0.3">
      <c r="A3" s="18" t="s">
        <v>1388</v>
      </c>
      <c r="B3" s="5">
        <v>2689738.0315000014</v>
      </c>
    </row>
    <row r="4" spans="1:13" x14ac:dyDescent="0.3">
      <c r="A4" s="18" t="s">
        <v>1386</v>
      </c>
      <c r="B4" s="5">
        <v>2086682.2809999995</v>
      </c>
    </row>
    <row r="5" spans="1:13" x14ac:dyDescent="0.3">
      <c r="A5" s="18" t="s">
        <v>1396</v>
      </c>
      <c r="B5" s="5">
        <v>1469446.0585000003</v>
      </c>
    </row>
    <row r="6" spans="1:13" x14ac:dyDescent="0.3">
      <c r="A6" s="18" t="s">
        <v>1379</v>
      </c>
      <c r="B6" s="5">
        <v>1667278.7479999987</v>
      </c>
    </row>
    <row r="7" spans="1:13" x14ac:dyDescent="0.3">
      <c r="A7" s="18" t="s">
        <v>1376</v>
      </c>
      <c r="B7" s="5">
        <v>1605714.6374999995</v>
      </c>
    </row>
    <row r="8" spans="1:13" x14ac:dyDescent="0.3">
      <c r="A8" s="18" t="s">
        <v>1384</v>
      </c>
      <c r="B8" s="5">
        <v>1774052.3295</v>
      </c>
      <c r="M8" t="s">
        <v>1411</v>
      </c>
    </row>
    <row r="9" spans="1:13" x14ac:dyDescent="0.3">
      <c r="A9" s="18" t="s">
        <v>1398</v>
      </c>
      <c r="B9" s="5">
        <v>2507956.8495</v>
      </c>
      <c r="M9" s="5">
        <f>GETPIVOTDATA("TotalAmount",$A$19)</f>
        <v>20066916.785499983</v>
      </c>
    </row>
    <row r="10" spans="1:13" x14ac:dyDescent="0.3">
      <c r="A10" s="18" t="s">
        <v>1390</v>
      </c>
      <c r="B10" s="5">
        <v>1552755.5675000001</v>
      </c>
    </row>
    <row r="11" spans="1:13" x14ac:dyDescent="0.3">
      <c r="A11" s="18" t="s">
        <v>1382</v>
      </c>
      <c r="B11" s="5">
        <v>2638136.8985000001</v>
      </c>
      <c r="M11" s="5">
        <f>GETPIVOTDATA("Quantity",$C$18)</f>
        <v>1940</v>
      </c>
    </row>
    <row r="12" spans="1:13" x14ac:dyDescent="0.3">
      <c r="A12" s="18" t="s">
        <v>1392</v>
      </c>
      <c r="B12" s="5">
        <v>2075155.3840000003</v>
      </c>
    </row>
    <row r="13" spans="1:13" x14ac:dyDescent="0.3">
      <c r="A13" s="18" t="s">
        <v>1410</v>
      </c>
      <c r="B13" s="5">
        <v>20066916.785500001</v>
      </c>
    </row>
    <row r="18" spans="1:13" x14ac:dyDescent="0.3">
      <c r="C18" t="s">
        <v>1407</v>
      </c>
    </row>
    <row r="19" spans="1:13" x14ac:dyDescent="0.3">
      <c r="A19" t="s">
        <v>1406</v>
      </c>
      <c r="C19" s="5">
        <v>1940</v>
      </c>
    </row>
    <row r="20" spans="1:13" x14ac:dyDescent="0.3">
      <c r="A20" s="5">
        <v>20066916.785499983</v>
      </c>
    </row>
    <row r="22" spans="1:13" x14ac:dyDescent="0.3">
      <c r="A22" s="5">
        <f>GETPIVOTDATA("TotalAmount",$A$24)</f>
        <v>20066916.785499983</v>
      </c>
      <c r="M22">
        <v>20066916.789999999</v>
      </c>
    </row>
    <row r="24" spans="1:13" x14ac:dyDescent="0.3">
      <c r="A24" t="s">
        <v>1406</v>
      </c>
    </row>
    <row r="25" spans="1:13" x14ac:dyDescent="0.3">
      <c r="A25" s="5">
        <v>20066916.785499983</v>
      </c>
    </row>
    <row r="28" spans="1:13" x14ac:dyDescent="0.3">
      <c r="A28" s="8" t="s">
        <v>1405</v>
      </c>
      <c r="B28" t="s">
        <v>1406</v>
      </c>
    </row>
    <row r="29" spans="1:13" x14ac:dyDescent="0.3">
      <c r="A29" s="18" t="s">
        <v>1207</v>
      </c>
      <c r="B29" s="5">
        <v>1622410.0644999999</v>
      </c>
    </row>
    <row r="30" spans="1:13" x14ac:dyDescent="0.3">
      <c r="A30" s="18" t="s">
        <v>1191</v>
      </c>
      <c r="B30" s="5">
        <v>1532942.84</v>
      </c>
    </row>
    <row r="31" spans="1:13" x14ac:dyDescent="0.3">
      <c r="A31" s="18" t="s">
        <v>1149</v>
      </c>
      <c r="B31" s="5">
        <v>1488971.2935000006</v>
      </c>
    </row>
    <row r="32" spans="1:13" x14ac:dyDescent="0.3">
      <c r="A32" s="18" t="s">
        <v>1158</v>
      </c>
      <c r="B32" s="5">
        <v>1483810.8129999998</v>
      </c>
    </row>
    <row r="33" spans="1:2" x14ac:dyDescent="0.3">
      <c r="A33" s="18" t="s">
        <v>1162</v>
      </c>
      <c r="B33" s="5">
        <v>1389595.0330000003</v>
      </c>
    </row>
    <row r="34" spans="1:2" x14ac:dyDescent="0.3">
      <c r="A34" s="18" t="s">
        <v>1176</v>
      </c>
      <c r="B34" s="5">
        <v>1304114.3049999999</v>
      </c>
    </row>
    <row r="35" spans="1:2" x14ac:dyDescent="0.3">
      <c r="A35" s="18" t="s">
        <v>1227</v>
      </c>
      <c r="B35" s="5">
        <v>1167701.2680000002</v>
      </c>
    </row>
    <row r="36" spans="1:2" x14ac:dyDescent="0.3">
      <c r="A36" s="18" t="s">
        <v>1181</v>
      </c>
      <c r="B36" s="5">
        <v>1095172.9524999999</v>
      </c>
    </row>
    <row r="37" spans="1:2" x14ac:dyDescent="0.3">
      <c r="A37" s="18" t="s">
        <v>1201</v>
      </c>
      <c r="B37" s="5">
        <v>1076182.9069999999</v>
      </c>
    </row>
    <row r="38" spans="1:2" x14ac:dyDescent="0.3">
      <c r="A38" s="18" t="s">
        <v>1249</v>
      </c>
      <c r="B38" s="5">
        <v>1003101.0610000002</v>
      </c>
    </row>
    <row r="39" spans="1:2" x14ac:dyDescent="0.3">
      <c r="A39" s="18" t="s">
        <v>1410</v>
      </c>
      <c r="B39" s="5">
        <v>13164002.5375</v>
      </c>
    </row>
    <row r="47" spans="1:2" x14ac:dyDescent="0.3">
      <c r="A47" t="s">
        <v>1405</v>
      </c>
      <c r="B47" t="s">
        <v>1406</v>
      </c>
    </row>
    <row r="48" spans="1:2" x14ac:dyDescent="0.3">
      <c r="A48" t="s">
        <v>1182</v>
      </c>
      <c r="B48">
        <v>3138698.8220000006</v>
      </c>
    </row>
    <row r="49" spans="1:2" x14ac:dyDescent="0.3">
      <c r="A49" t="s">
        <v>1141</v>
      </c>
      <c r="B49">
        <v>3334932.4355000006</v>
      </c>
    </row>
    <row r="50" spans="1:2" x14ac:dyDescent="0.3">
      <c r="A50" t="s">
        <v>1148</v>
      </c>
      <c r="B50">
        <v>3749669.1214999994</v>
      </c>
    </row>
    <row r="51" spans="1:2" x14ac:dyDescent="0.3">
      <c r="A51" t="s">
        <v>1157</v>
      </c>
      <c r="B51">
        <v>4658267.7335000029</v>
      </c>
    </row>
    <row r="52" spans="1:2" x14ac:dyDescent="0.3">
      <c r="A52" t="s">
        <v>1153</v>
      </c>
      <c r="B52">
        <v>5185348.6729999995</v>
      </c>
    </row>
    <row r="53" spans="1:2" x14ac:dyDescent="0.3">
      <c r="A53" t="s">
        <v>1410</v>
      </c>
      <c r="B53">
        <v>20066916.785500005</v>
      </c>
    </row>
    <row r="57" spans="1:2" x14ac:dyDescent="0.3">
      <c r="A57" s="8" t="s">
        <v>1405</v>
      </c>
      <c r="B57" t="s">
        <v>1406</v>
      </c>
    </row>
    <row r="58" spans="1:2" x14ac:dyDescent="0.3">
      <c r="A58" s="18" t="s">
        <v>1182</v>
      </c>
      <c r="B58" s="5">
        <v>3138698.8220000006</v>
      </c>
    </row>
    <row r="59" spans="1:2" x14ac:dyDescent="0.3">
      <c r="A59" s="18" t="s">
        <v>1141</v>
      </c>
      <c r="B59" s="5">
        <v>3334932.4355000006</v>
      </c>
    </row>
    <row r="60" spans="1:2" x14ac:dyDescent="0.3">
      <c r="A60" s="18" t="s">
        <v>1148</v>
      </c>
      <c r="B60" s="5">
        <v>3749669.1214999994</v>
      </c>
    </row>
    <row r="61" spans="1:2" x14ac:dyDescent="0.3">
      <c r="A61" s="18" t="s">
        <v>1157</v>
      </c>
      <c r="B61" s="5">
        <v>4658267.7335000029</v>
      </c>
    </row>
    <row r="62" spans="1:2" x14ac:dyDescent="0.3">
      <c r="A62" s="18" t="s">
        <v>1153</v>
      </c>
      <c r="B62" s="5">
        <v>5185348.6729999995</v>
      </c>
    </row>
    <row r="63" spans="1:2" x14ac:dyDescent="0.3">
      <c r="A63" s="18" t="s">
        <v>1410</v>
      </c>
      <c r="B63" s="5">
        <v>20066916.785500005</v>
      </c>
    </row>
    <row r="74" spans="1:2" x14ac:dyDescent="0.3">
      <c r="A74" s="8" t="s">
        <v>1405</v>
      </c>
      <c r="B74" t="s">
        <v>1406</v>
      </c>
    </row>
    <row r="75" spans="1:2" x14ac:dyDescent="0.3">
      <c r="A75" s="18" t="s">
        <v>1143</v>
      </c>
      <c r="B75" s="5">
        <v>10136231.276999995</v>
      </c>
    </row>
    <row r="76" spans="1:2" x14ac:dyDescent="0.3">
      <c r="A76" s="18" t="s">
        <v>1150</v>
      </c>
      <c r="B76" s="5">
        <v>6283084.3035000097</v>
      </c>
    </row>
    <row r="77" spans="1:2" x14ac:dyDescent="0.3">
      <c r="A77" s="18" t="s">
        <v>1228</v>
      </c>
      <c r="B77" s="5">
        <v>1875266.3339999996</v>
      </c>
    </row>
    <row r="78" spans="1:2" x14ac:dyDescent="0.3">
      <c r="A78" s="18" t="s">
        <v>1187</v>
      </c>
      <c r="B78" s="5">
        <v>1772334.8709999993</v>
      </c>
    </row>
    <row r="79" spans="1:2" x14ac:dyDescent="0.3">
      <c r="A79" s="18" t="s">
        <v>1410</v>
      </c>
      <c r="B79" s="5">
        <v>20066916.785500005</v>
      </c>
    </row>
    <row r="93" spans="1:2" x14ac:dyDescent="0.3">
      <c r="A93" s="8" t="s">
        <v>1405</v>
      </c>
      <c r="B93" t="s">
        <v>1406</v>
      </c>
    </row>
    <row r="94" spans="1:2" x14ac:dyDescent="0.3">
      <c r="A94" s="18" t="s">
        <v>1415</v>
      </c>
      <c r="B94" s="5">
        <v>2584735.9375</v>
      </c>
    </row>
    <row r="95" spans="1:2" x14ac:dyDescent="0.3">
      <c r="A95" s="18" t="s">
        <v>1416</v>
      </c>
      <c r="B95" s="5">
        <v>2375880.6890000002</v>
      </c>
    </row>
    <row r="96" spans="1:2" x14ac:dyDescent="0.3">
      <c r="A96" s="18" t="s">
        <v>1417</v>
      </c>
      <c r="B96" s="5">
        <v>2693430.4950000006</v>
      </c>
    </row>
    <row r="97" spans="1:2" x14ac:dyDescent="0.3">
      <c r="A97" s="18" t="s">
        <v>1418</v>
      </c>
      <c r="B97" s="5">
        <v>2522472.0835000006</v>
      </c>
    </row>
    <row r="98" spans="1:2" x14ac:dyDescent="0.3">
      <c r="A98" s="18" t="s">
        <v>1421</v>
      </c>
      <c r="B98" s="5">
        <v>1132925.2310000001</v>
      </c>
    </row>
    <row r="99" spans="1:2" x14ac:dyDescent="0.3">
      <c r="A99" s="18" t="s">
        <v>1422</v>
      </c>
      <c r="B99" s="5">
        <v>1205082.2515000005</v>
      </c>
    </row>
    <row r="100" spans="1:2" x14ac:dyDescent="0.3">
      <c r="A100" s="18" t="s">
        <v>1423</v>
      </c>
      <c r="B100" s="5">
        <v>861787.95750000014</v>
      </c>
    </row>
    <row r="101" spans="1:2" x14ac:dyDescent="0.3">
      <c r="A101" s="18" t="s">
        <v>1424</v>
      </c>
      <c r="B101" s="5">
        <v>1269174.5714999994</v>
      </c>
    </row>
    <row r="102" spans="1:2" x14ac:dyDescent="0.3">
      <c r="A102" s="18" t="s">
        <v>1425</v>
      </c>
      <c r="B102" s="5">
        <v>860156.85</v>
      </c>
    </row>
    <row r="103" spans="1:2" x14ac:dyDescent="0.3">
      <c r="A103" s="18" t="s">
        <v>1426</v>
      </c>
      <c r="B103" s="5">
        <v>1194438.8229999999</v>
      </c>
    </row>
    <row r="104" spans="1:2" x14ac:dyDescent="0.3">
      <c r="A104" s="18" t="s">
        <v>1427</v>
      </c>
      <c r="B104" s="5">
        <v>1462042.7229999998</v>
      </c>
    </row>
    <row r="105" spans="1:2" x14ac:dyDescent="0.3">
      <c r="A105" s="18" t="s">
        <v>1428</v>
      </c>
      <c r="B105" s="5">
        <v>1904789.1730000004</v>
      </c>
    </row>
    <row r="106" spans="1:2" x14ac:dyDescent="0.3">
      <c r="A106" s="18" t="s">
        <v>1410</v>
      </c>
      <c r="B106" s="5">
        <v>20066916.785500005</v>
      </c>
    </row>
    <row r="120" spans="1:2" x14ac:dyDescent="0.3">
      <c r="A120" t="s">
        <v>1419</v>
      </c>
    </row>
    <row r="121" spans="1:2" x14ac:dyDescent="0.3">
      <c r="A121" s="5">
        <v>10010.975789473685</v>
      </c>
    </row>
    <row r="125" spans="1:2" x14ac:dyDescent="0.3">
      <c r="A125" s="8" t="s">
        <v>1405</v>
      </c>
      <c r="B125" t="s">
        <v>1406</v>
      </c>
    </row>
    <row r="126" spans="1:2" x14ac:dyDescent="0.3">
      <c r="A126" s="18" t="s">
        <v>1420</v>
      </c>
      <c r="B126" s="5"/>
    </row>
    <row r="127" spans="1:2" x14ac:dyDescent="0.3">
      <c r="A127" s="18" t="s">
        <v>1415</v>
      </c>
      <c r="B127" s="5">
        <v>2584735.9375</v>
      </c>
    </row>
    <row r="128" spans="1:2" x14ac:dyDescent="0.3">
      <c r="A128" s="18" t="s">
        <v>1416</v>
      </c>
      <c r="B128" s="5">
        <v>2375880.6890000002</v>
      </c>
    </row>
    <row r="129" spans="1:2" x14ac:dyDescent="0.3">
      <c r="A129" s="18" t="s">
        <v>1417</v>
      </c>
      <c r="B129" s="5">
        <v>2693430.4950000006</v>
      </c>
    </row>
    <row r="130" spans="1:2" x14ac:dyDescent="0.3">
      <c r="A130" s="18" t="s">
        <v>1418</v>
      </c>
      <c r="B130" s="5">
        <v>2522472.0835000006</v>
      </c>
    </row>
    <row r="131" spans="1:2" x14ac:dyDescent="0.3">
      <c r="A131" s="18" t="s">
        <v>1421</v>
      </c>
      <c r="B131" s="5">
        <v>1132925.2310000001</v>
      </c>
    </row>
    <row r="132" spans="1:2" x14ac:dyDescent="0.3">
      <c r="A132" s="18" t="s">
        <v>1422</v>
      </c>
      <c r="B132" s="5">
        <v>1205082.2515000005</v>
      </c>
    </row>
    <row r="133" spans="1:2" x14ac:dyDescent="0.3">
      <c r="A133" s="18" t="s">
        <v>1423</v>
      </c>
      <c r="B133" s="5">
        <v>861787.95750000014</v>
      </c>
    </row>
    <row r="134" spans="1:2" x14ac:dyDescent="0.3">
      <c r="A134" s="18" t="s">
        <v>1424</v>
      </c>
      <c r="B134" s="5">
        <v>1269174.5714999994</v>
      </c>
    </row>
    <row r="135" spans="1:2" x14ac:dyDescent="0.3">
      <c r="A135" s="18" t="s">
        <v>1425</v>
      </c>
      <c r="B135" s="5">
        <v>860156.85</v>
      </c>
    </row>
    <row r="136" spans="1:2" x14ac:dyDescent="0.3">
      <c r="A136" s="18" t="s">
        <v>1426</v>
      </c>
      <c r="B136" s="5">
        <v>1194438.8229999999</v>
      </c>
    </row>
    <row r="137" spans="1:2" x14ac:dyDescent="0.3">
      <c r="A137" s="18" t="s">
        <v>1427</v>
      </c>
      <c r="B137" s="5">
        <v>1462042.7229999998</v>
      </c>
    </row>
    <row r="138" spans="1:2" x14ac:dyDescent="0.3">
      <c r="A138" s="18" t="s">
        <v>1428</v>
      </c>
      <c r="B138" s="5">
        <v>1904789.1730000004</v>
      </c>
    </row>
    <row r="139" spans="1:2" x14ac:dyDescent="0.3">
      <c r="A139" s="18" t="s">
        <v>1410</v>
      </c>
      <c r="B139" s="5">
        <v>20066916.785500005</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Detail1</vt:lpstr>
      <vt:lpstr>Sheet5</vt:lpstr>
      <vt:lpstr>Sheet1</vt:lpstr>
      <vt:lpstr>DATA</vt:lpstr>
      <vt:lpstr>DASHBOARD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Tiwari</dc:creator>
  <cp:lastModifiedBy>Mayank Tiwari</cp:lastModifiedBy>
  <dcterms:created xsi:type="dcterms:W3CDTF">2026-01-02T18:13:54Z</dcterms:created>
  <dcterms:modified xsi:type="dcterms:W3CDTF">2026-02-01T12:06:10Z</dcterms:modified>
</cp:coreProperties>
</file>